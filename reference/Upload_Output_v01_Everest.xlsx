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matthewevans\Code\hx_testing\reference\"/>
    </mc:Choice>
  </mc:AlternateContent>
  <xr:revisionPtr revIDLastSave="0" documentId="13_ncr:1_{39222706-729F-4CA0-BC0C-251319DC7770}" xr6:coauthVersionLast="47" xr6:coauthVersionMax="47" xr10:uidLastSave="{00000000-0000-0000-0000-000000000000}"/>
  <bookViews>
    <workbookView xWindow="2475" yWindow="4200" windowWidth="43200" windowHeight="17145" tabRatio="812" xr2:uid="{00000000-000D-0000-FFFF-FFFF00000000}"/>
  </bookViews>
  <sheets>
    <sheet name="Parameters" sheetId="1" r:id="rId1"/>
    <sheet name="Triangles" sheetId="2" r:id="rId2"/>
    <sheet name="Projections" sheetId="3" r:id="rId3"/>
    <sheet name="admin" sheetId="4" state="hidden" r:id="rId4"/>
    <sheet name="Other" sheetId="5" r:id="rId5"/>
    <sheet name="&lt;&gt;" sheetId="6" r:id="rId6"/>
    <sheet name="Example - Parameters" sheetId="7" r:id="rId7"/>
    <sheet name="Example - Triangles" sheetId="8" r:id="rId8"/>
    <sheet name="Example - Projections" sheetId="9" r:id="rId9"/>
    <sheet name="DevelopmentPatterns" sheetId="10" state="hidden" r:id="rId10"/>
    <sheet name="BusinessPlan" sheetId="11" state="hidden" r:id="rId11"/>
    <sheet name="Lookups" sheetId="12" state="hidden" r:id="rId12"/>
    <sheet name="Questions" sheetId="13" state="hidden" r:id="rId13"/>
    <sheet name="Hidden Tab" sheetId="14" state="hidden" r:id="rId14"/>
  </sheets>
  <definedNames>
    <definedName name="Country_list">Lookups!$H$3:$H$252</definedName>
    <definedName name="Currency_list">Lookups!$P$3:$P$163</definedName>
    <definedName name="current_date">Parameters!$D$9</definedName>
    <definedName name="Development_classes">Parameters!$C$14:$C$213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DF_type_options">Lookups!$R$3:$R$6</definedName>
    <definedName name="LOBs_names">Lookups!$B$3:$B$25</definedName>
    <definedName name="month_final_development">Parameters!$D$8</definedName>
    <definedName name="month_first_development">Parameters!$D$5</definedName>
    <definedName name="P_NP_types">Lookups!$E$3:$E$6</definedName>
    <definedName name="Projection_classes">Parameters!$C$219:$C$418</definedName>
    <definedName name="re_insurance_list">Lookups!$N$3:$N$5</definedName>
    <definedName name="Region_list">Lookups!$K$3:$K$8</definedName>
    <definedName name="triangle_grouping_data">Parameters!$C$219:$AA$418</definedName>
    <definedName name="triangle_increments_months">Parameters!$D$6</definedName>
    <definedName name="triangle_start_date">Parameters!$D$4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4" l="1"/>
  <c r="H68" i="14"/>
  <c r="G68" i="14"/>
  <c r="I67" i="14"/>
  <c r="I32" i="14" s="1"/>
  <c r="H67" i="14"/>
  <c r="G67" i="14"/>
  <c r="J66" i="14"/>
  <c r="I66" i="14"/>
  <c r="H66" i="14"/>
  <c r="G66" i="14"/>
  <c r="K65" i="14"/>
  <c r="K30" i="14" s="1"/>
  <c r="J65" i="14"/>
  <c r="J30" i="14" s="1"/>
  <c r="I65" i="14"/>
  <c r="I30" i="14" s="1"/>
  <c r="H65" i="14"/>
  <c r="H30" i="14" s="1"/>
  <c r="G65" i="14"/>
  <c r="L64" i="14"/>
  <c r="L29" i="14" s="1"/>
  <c r="K64" i="14"/>
  <c r="J64" i="14"/>
  <c r="I64" i="14"/>
  <c r="H64" i="14"/>
  <c r="H29" i="14" s="1"/>
  <c r="G64" i="14"/>
  <c r="M63" i="14"/>
  <c r="M28" i="14" s="1"/>
  <c r="L63" i="14"/>
  <c r="K63" i="14"/>
  <c r="J63" i="14"/>
  <c r="I63" i="14"/>
  <c r="I28" i="14" s="1"/>
  <c r="H63" i="14"/>
  <c r="H28" i="14" s="1"/>
  <c r="G63" i="14"/>
  <c r="N62" i="14"/>
  <c r="N27" i="14" s="1"/>
  <c r="M62" i="14"/>
  <c r="M27" i="14" s="1"/>
  <c r="L62" i="14"/>
  <c r="L27" i="14" s="1"/>
  <c r="K62" i="14"/>
  <c r="K27" i="14" s="1"/>
  <c r="J62" i="14"/>
  <c r="I62" i="14"/>
  <c r="H62" i="14"/>
  <c r="G62" i="14"/>
  <c r="G27" i="14" s="1"/>
  <c r="O61" i="14"/>
  <c r="N61" i="14"/>
  <c r="M61" i="14"/>
  <c r="L61" i="14"/>
  <c r="K61" i="14"/>
  <c r="J61" i="14"/>
  <c r="J26" i="14" s="1"/>
  <c r="I61" i="14"/>
  <c r="I26" i="14" s="1"/>
  <c r="H61" i="14"/>
  <c r="G61" i="14"/>
  <c r="G26" i="14" s="1"/>
  <c r="P60" i="14"/>
  <c r="P25" i="14" s="1"/>
  <c r="O60" i="14"/>
  <c r="O25" i="14" s="1"/>
  <c r="N60" i="14"/>
  <c r="N25" i="14" s="1"/>
  <c r="M60" i="14"/>
  <c r="L60" i="14"/>
  <c r="K60" i="14"/>
  <c r="J60" i="14"/>
  <c r="J25" i="14" s="1"/>
  <c r="I60" i="14"/>
  <c r="H60" i="14"/>
  <c r="G60" i="14"/>
  <c r="G58" i="14"/>
  <c r="H57" i="14"/>
  <c r="G57" i="14"/>
  <c r="I56" i="14"/>
  <c r="I21" i="14" s="1"/>
  <c r="H56" i="14"/>
  <c r="G56" i="14"/>
  <c r="G21" i="14" s="1"/>
  <c r="J55" i="14"/>
  <c r="J20" i="14" s="1"/>
  <c r="I55" i="14"/>
  <c r="I20" i="14" s="1"/>
  <c r="H55" i="14"/>
  <c r="H20" i="14" s="1"/>
  <c r="G55" i="14"/>
  <c r="K54" i="14"/>
  <c r="J54" i="14"/>
  <c r="I54" i="14"/>
  <c r="I19" i="14" s="1"/>
  <c r="H54" i="14"/>
  <c r="G54" i="14"/>
  <c r="G19" i="14" s="1"/>
  <c r="L53" i="14"/>
  <c r="K53" i="14"/>
  <c r="J53" i="14"/>
  <c r="I53" i="14"/>
  <c r="I18" i="14" s="1"/>
  <c r="H53" i="14"/>
  <c r="H18" i="14" s="1"/>
  <c r="G53" i="14"/>
  <c r="M52" i="14"/>
  <c r="M17" i="14" s="1"/>
  <c r="L52" i="14"/>
  <c r="L17" i="14" s="1"/>
  <c r="K52" i="14"/>
  <c r="K17" i="14" s="1"/>
  <c r="J52" i="14"/>
  <c r="J17" i="14" s="1"/>
  <c r="I52" i="14"/>
  <c r="H52" i="14"/>
  <c r="G52" i="14"/>
  <c r="N51" i="14"/>
  <c r="N16" i="14" s="1"/>
  <c r="M51" i="14"/>
  <c r="L51" i="14"/>
  <c r="K51" i="14"/>
  <c r="J51" i="14"/>
  <c r="I51" i="14"/>
  <c r="H51" i="14"/>
  <c r="H16" i="14" s="1"/>
  <c r="G51" i="14"/>
  <c r="G16" i="14" s="1"/>
  <c r="O50" i="14"/>
  <c r="N50" i="14"/>
  <c r="N15" i="14" s="1"/>
  <c r="M50" i="14"/>
  <c r="M15" i="14" s="1"/>
  <c r="L50" i="14"/>
  <c r="L15" i="14" s="1"/>
  <c r="K50" i="14"/>
  <c r="K15" i="14" s="1"/>
  <c r="J50" i="14"/>
  <c r="I50" i="14"/>
  <c r="H50" i="14"/>
  <c r="G50" i="14"/>
  <c r="G15" i="14" s="1"/>
  <c r="P49" i="14"/>
  <c r="O49" i="14"/>
  <c r="N49" i="14"/>
  <c r="M49" i="14"/>
  <c r="L49" i="14"/>
  <c r="K49" i="14"/>
  <c r="J49" i="14"/>
  <c r="J14" i="14" s="1"/>
  <c r="I49" i="14"/>
  <c r="H49" i="14"/>
  <c r="H14" i="14" s="1"/>
  <c r="G49" i="14"/>
  <c r="G14" i="14" s="1"/>
  <c r="G47" i="14"/>
  <c r="G12" i="14" s="1"/>
  <c r="H46" i="14"/>
  <c r="H11" i="14" s="1"/>
  <c r="G46" i="14"/>
  <c r="I45" i="14"/>
  <c r="H45" i="14"/>
  <c r="G45" i="14"/>
  <c r="G10" i="14" s="1"/>
  <c r="J44" i="14"/>
  <c r="I44" i="14"/>
  <c r="H44" i="14"/>
  <c r="G44" i="14"/>
  <c r="K43" i="14"/>
  <c r="J43" i="14"/>
  <c r="I43" i="14"/>
  <c r="I8" i="14" s="1"/>
  <c r="H43" i="14"/>
  <c r="G43" i="14"/>
  <c r="G8" i="14" s="1"/>
  <c r="L42" i="14"/>
  <c r="L7" i="14" s="1"/>
  <c r="K42" i="14"/>
  <c r="K7" i="14" s="1"/>
  <c r="J42" i="14"/>
  <c r="J7" i="14" s="1"/>
  <c r="I42" i="14"/>
  <c r="H42" i="14"/>
  <c r="G42" i="14"/>
  <c r="M41" i="14"/>
  <c r="M6" i="14" s="1"/>
  <c r="L41" i="14"/>
  <c r="K41" i="14"/>
  <c r="K6" i="14" s="1"/>
  <c r="J41" i="14"/>
  <c r="I41" i="14"/>
  <c r="H41" i="14"/>
  <c r="G41" i="14"/>
  <c r="G6" i="14" s="1"/>
  <c r="N40" i="14"/>
  <c r="N5" i="14" s="1"/>
  <c r="M40" i="14"/>
  <c r="L40" i="14"/>
  <c r="L5" i="14" s="1"/>
  <c r="K40" i="14"/>
  <c r="K5" i="14" s="1"/>
  <c r="J40" i="14"/>
  <c r="J5" i="14" s="1"/>
  <c r="I40" i="14"/>
  <c r="I5" i="14" s="1"/>
  <c r="H40" i="14"/>
  <c r="G40" i="14"/>
  <c r="O39" i="14"/>
  <c r="N39" i="14"/>
  <c r="N4" i="14" s="1"/>
  <c r="M39" i="14"/>
  <c r="L39" i="14"/>
  <c r="K39" i="14"/>
  <c r="J39" i="14"/>
  <c r="I39" i="14"/>
  <c r="H39" i="14"/>
  <c r="G39" i="14"/>
  <c r="G4" i="14" s="1"/>
  <c r="P38" i="14"/>
  <c r="O38" i="14"/>
  <c r="O3" i="14" s="1"/>
  <c r="N38" i="14"/>
  <c r="N3" i="14" s="1"/>
  <c r="M38" i="14"/>
  <c r="M3" i="14" s="1"/>
  <c r="L38" i="14"/>
  <c r="L3" i="14" s="1"/>
  <c r="K38" i="14"/>
  <c r="J38" i="14"/>
  <c r="I38" i="14"/>
  <c r="H38" i="14"/>
  <c r="H3" i="14" s="1"/>
  <c r="G38" i="14"/>
  <c r="G34" i="14"/>
  <c r="H33" i="14"/>
  <c r="G33" i="14"/>
  <c r="H32" i="14"/>
  <c r="G32" i="14"/>
  <c r="J31" i="14"/>
  <c r="I31" i="14"/>
  <c r="H31" i="14"/>
  <c r="G31" i="14"/>
  <c r="G30" i="14"/>
  <c r="K29" i="14"/>
  <c r="J29" i="14"/>
  <c r="I29" i="14"/>
  <c r="G29" i="14"/>
  <c r="L28" i="14"/>
  <c r="K28" i="14"/>
  <c r="J28" i="14"/>
  <c r="G28" i="14"/>
  <c r="J27" i="14"/>
  <c r="I27" i="14"/>
  <c r="H27" i="14"/>
  <c r="O26" i="14"/>
  <c r="N26" i="14"/>
  <c r="M26" i="14"/>
  <c r="L26" i="14"/>
  <c r="K26" i="14"/>
  <c r="H26" i="14"/>
  <c r="M25" i="14"/>
  <c r="L25" i="14"/>
  <c r="K25" i="14"/>
  <c r="I25" i="14"/>
  <c r="H25" i="14"/>
  <c r="G25" i="14"/>
  <c r="G23" i="14"/>
  <c r="H22" i="14"/>
  <c r="G22" i="14"/>
  <c r="H21" i="14"/>
  <c r="G20" i="14"/>
  <c r="K19" i="14"/>
  <c r="J19" i="14"/>
  <c r="H19" i="14"/>
  <c r="L18" i="14"/>
  <c r="K18" i="14"/>
  <c r="J18" i="14"/>
  <c r="G18" i="14"/>
  <c r="I17" i="14"/>
  <c r="H17" i="14"/>
  <c r="G17" i="14"/>
  <c r="M16" i="14"/>
  <c r="L16" i="14"/>
  <c r="K16" i="14"/>
  <c r="J16" i="14"/>
  <c r="I16" i="14"/>
  <c r="O15" i="14"/>
  <c r="J15" i="14"/>
  <c r="I15" i="14"/>
  <c r="H15" i="14"/>
  <c r="P14" i="14"/>
  <c r="O14" i="14"/>
  <c r="N14" i="14"/>
  <c r="M14" i="14"/>
  <c r="L14" i="14"/>
  <c r="K14" i="14"/>
  <c r="I14" i="14"/>
  <c r="G11" i="14"/>
  <c r="I10" i="14"/>
  <c r="H10" i="14"/>
  <c r="J9" i="14"/>
  <c r="I9" i="14"/>
  <c r="H9" i="14"/>
  <c r="G9" i="14"/>
  <c r="K8" i="14"/>
  <c r="J8" i="14"/>
  <c r="H8" i="14"/>
  <c r="I7" i="14"/>
  <c r="H7" i="14"/>
  <c r="G7" i="14"/>
  <c r="L6" i="14"/>
  <c r="J6" i="14"/>
  <c r="I6" i="14"/>
  <c r="H6" i="14"/>
  <c r="M5" i="14"/>
  <c r="H5" i="14"/>
  <c r="G5" i="14"/>
  <c r="O4" i="14"/>
  <c r="M4" i="14"/>
  <c r="L4" i="14"/>
  <c r="K4" i="14"/>
  <c r="J4" i="14"/>
  <c r="I4" i="14"/>
  <c r="H4" i="14"/>
  <c r="P3" i="14"/>
  <c r="K3" i="14"/>
  <c r="J3" i="14"/>
  <c r="I3" i="14"/>
  <c r="G3" i="14"/>
  <c r="G2" i="14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B102" i="9"/>
  <c r="B83" i="9"/>
  <c r="B82" i="9"/>
  <c r="B62" i="9"/>
  <c r="B42" i="9"/>
  <c r="B22" i="9"/>
  <c r="E6" i="9"/>
  <c r="E5" i="9"/>
  <c r="E4" i="9"/>
  <c r="S3" i="9" a="1"/>
  <c r="S3" i="9"/>
  <c r="R3" i="9" s="1"/>
  <c r="E3" i="9"/>
  <c r="B3" i="9"/>
  <c r="B4" i="9" s="1"/>
  <c r="B5" i="9" s="1"/>
  <c r="S2" i="9" a="1"/>
  <c r="S2" i="9" s="1"/>
  <c r="R2" i="9" s="1"/>
  <c r="E2" i="9"/>
  <c r="B2" i="9"/>
  <c r="P1" i="9"/>
  <c r="N1" i="9"/>
  <c r="K963" i="9" s="1"/>
  <c r="F360" i="8"/>
  <c r="F361" i="8" s="1"/>
  <c r="F362" i="8" s="1"/>
  <c r="F363" i="8" s="1"/>
  <c r="F364" i="8" s="1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F379" i="8" s="1"/>
  <c r="F339" i="8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19" i="8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18" i="8"/>
  <c r="F309" i="8"/>
  <c r="F310" i="8" s="1"/>
  <c r="F311" i="8" s="1"/>
  <c r="F312" i="8" s="1"/>
  <c r="F313" i="8" s="1"/>
  <c r="F314" i="8" s="1"/>
  <c r="F315" i="8" s="1"/>
  <c r="F316" i="8" s="1"/>
  <c r="F298" i="8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297" i="8"/>
  <c r="F277" i="8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76" i="8"/>
  <c r="F256" i="8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55" i="8"/>
  <c r="F237" i="8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35" i="8"/>
  <c r="F236" i="8" s="1"/>
  <c r="F234" i="8"/>
  <c r="F213" i="8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03" i="8"/>
  <c r="F204" i="8" s="1"/>
  <c r="F205" i="8" s="1"/>
  <c r="F206" i="8" s="1"/>
  <c r="F207" i="8" s="1"/>
  <c r="F208" i="8" s="1"/>
  <c r="F209" i="8" s="1"/>
  <c r="F210" i="8" s="1"/>
  <c r="F211" i="8" s="1"/>
  <c r="F196" i="8"/>
  <c r="F197" i="8" s="1"/>
  <c r="F198" i="8" s="1"/>
  <c r="F199" i="8" s="1"/>
  <c r="F200" i="8" s="1"/>
  <c r="F201" i="8" s="1"/>
  <c r="F202" i="8" s="1"/>
  <c r="F192" i="8"/>
  <c r="F193" i="8" s="1"/>
  <c r="F194" i="8" s="1"/>
  <c r="F195" i="8" s="1"/>
  <c r="F171" i="8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62" i="8"/>
  <c r="F163" i="8" s="1"/>
  <c r="F164" i="8" s="1"/>
  <c r="F165" i="8" s="1"/>
  <c r="F166" i="8" s="1"/>
  <c r="F167" i="8" s="1"/>
  <c r="F168" i="8" s="1"/>
  <c r="F169" i="8" s="1"/>
  <c r="F153" i="8"/>
  <c r="F154" i="8" s="1"/>
  <c r="F155" i="8" s="1"/>
  <c r="F156" i="8" s="1"/>
  <c r="F157" i="8" s="1"/>
  <c r="F158" i="8" s="1"/>
  <c r="F159" i="8" s="1"/>
  <c r="F160" i="8" s="1"/>
  <c r="F161" i="8" s="1"/>
  <c r="F151" i="8"/>
  <c r="F152" i="8" s="1"/>
  <c r="F150" i="8"/>
  <c r="F129" i="8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08" i="8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02" i="8"/>
  <c r="F103" i="8" s="1"/>
  <c r="F104" i="8" s="1"/>
  <c r="F105" i="8" s="1"/>
  <c r="F106" i="8" s="1"/>
  <c r="F95" i="8"/>
  <c r="F96" i="8" s="1"/>
  <c r="F97" i="8" s="1"/>
  <c r="F98" i="8" s="1"/>
  <c r="F99" i="8" s="1"/>
  <c r="F100" i="8" s="1"/>
  <c r="F101" i="8" s="1"/>
  <c r="F87" i="8"/>
  <c r="F88" i="8" s="1"/>
  <c r="F89" i="8" s="1"/>
  <c r="F90" i="8" s="1"/>
  <c r="F91" i="8" s="1"/>
  <c r="F92" i="8" s="1"/>
  <c r="F93" i="8" s="1"/>
  <c r="F94" i="8" s="1"/>
  <c r="F67" i="8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66" i="8"/>
  <c r="F52" i="8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45" i="8"/>
  <c r="F46" i="8" s="1"/>
  <c r="F47" i="8" s="1"/>
  <c r="F48" i="8" s="1"/>
  <c r="F49" i="8" s="1"/>
  <c r="F50" i="8" s="1"/>
  <c r="F51" i="8" s="1"/>
  <c r="F24" i="8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18" i="8"/>
  <c r="F19" i="8" s="1"/>
  <c r="F20" i="8" s="1"/>
  <c r="F21" i="8" s="1"/>
  <c r="F22" i="8" s="1"/>
  <c r="F11" i="8"/>
  <c r="F12" i="8" s="1"/>
  <c r="F13" i="8" s="1"/>
  <c r="F14" i="8" s="1"/>
  <c r="F15" i="8" s="1"/>
  <c r="F16" i="8" s="1"/>
  <c r="F17" i="8" s="1"/>
  <c r="F3" i="8"/>
  <c r="F4" i="8" s="1"/>
  <c r="F5" i="8" s="1"/>
  <c r="F6" i="8" s="1"/>
  <c r="F7" i="8" s="1"/>
  <c r="F8" i="8" s="1"/>
  <c r="F9" i="8" s="1"/>
  <c r="F10" i="8" s="1"/>
  <c r="I2" i="8"/>
  <c r="J2" i="8" s="1"/>
  <c r="K2" i="8" s="1"/>
  <c r="L2" i="8" s="1"/>
  <c r="M2" i="8" s="1"/>
  <c r="H2" i="8"/>
  <c r="G2" i="8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E224" i="7"/>
  <c r="D224" i="7"/>
  <c r="C224" i="7"/>
  <c r="D223" i="7"/>
  <c r="C223" i="7"/>
  <c r="D222" i="7"/>
  <c r="C222" i="7"/>
  <c r="T221" i="7"/>
  <c r="E221" i="7"/>
  <c r="D221" i="7"/>
  <c r="C221" i="7"/>
  <c r="A42" i="9" s="1"/>
  <c r="D220" i="7"/>
  <c r="C220" i="7"/>
  <c r="D219" i="7"/>
  <c r="C219" i="7"/>
  <c r="R213" i="7"/>
  <c r="R37" i="7"/>
  <c r="R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F4" i="7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K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K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K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K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K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K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K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K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K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K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K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K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K238" i="3"/>
  <c r="L237" i="3"/>
  <c r="L236" i="3"/>
  <c r="L235" i="3"/>
  <c r="L234" i="3"/>
  <c r="L233" i="3"/>
  <c r="L232" i="3"/>
  <c r="L231" i="3"/>
  <c r="L230" i="3"/>
  <c r="L229" i="3"/>
  <c r="L228" i="3"/>
  <c r="L227" i="3"/>
  <c r="K227" i="3"/>
  <c r="L226" i="3"/>
  <c r="L225" i="3"/>
  <c r="L224" i="3"/>
  <c r="L223" i="3"/>
  <c r="L222" i="3"/>
  <c r="K222" i="3"/>
  <c r="L221" i="3"/>
  <c r="L220" i="3"/>
  <c r="L219" i="3"/>
  <c r="K219" i="3"/>
  <c r="L218" i="3"/>
  <c r="L217" i="3"/>
  <c r="L216" i="3"/>
  <c r="L215" i="3"/>
  <c r="L214" i="3"/>
  <c r="L213" i="3"/>
  <c r="L212" i="3"/>
  <c r="L211" i="3"/>
  <c r="K211" i="3"/>
  <c r="L210" i="3"/>
  <c r="L209" i="3"/>
  <c r="L208" i="3"/>
  <c r="L207" i="3"/>
  <c r="L206" i="3"/>
  <c r="L205" i="3"/>
  <c r="L204" i="3"/>
  <c r="L203" i="3"/>
  <c r="K203" i="3"/>
  <c r="L202" i="3"/>
  <c r="L201" i="3"/>
  <c r="L200" i="3"/>
  <c r="L199" i="3"/>
  <c r="L198" i="3"/>
  <c r="L197" i="3"/>
  <c r="L196" i="3"/>
  <c r="L195" i="3"/>
  <c r="K195" i="3"/>
  <c r="L194" i="3"/>
  <c r="L193" i="3"/>
  <c r="L192" i="3"/>
  <c r="L191" i="3"/>
  <c r="L190" i="3"/>
  <c r="L189" i="3"/>
  <c r="L188" i="3"/>
  <c r="L187" i="3"/>
  <c r="K187" i="3"/>
  <c r="L186" i="3"/>
  <c r="L185" i="3"/>
  <c r="L184" i="3"/>
  <c r="L183" i="3"/>
  <c r="L182" i="3"/>
  <c r="L181" i="3"/>
  <c r="L180" i="3"/>
  <c r="L179" i="3"/>
  <c r="K179" i="3"/>
  <c r="L178" i="3"/>
  <c r="L177" i="3"/>
  <c r="L176" i="3"/>
  <c r="L175" i="3"/>
  <c r="L174" i="3"/>
  <c r="L173" i="3"/>
  <c r="L172" i="3"/>
  <c r="L171" i="3"/>
  <c r="K171" i="3"/>
  <c r="L170" i="3"/>
  <c r="L169" i="3"/>
  <c r="L168" i="3"/>
  <c r="L167" i="3"/>
  <c r="L166" i="3"/>
  <c r="L165" i="3"/>
  <c r="L164" i="3"/>
  <c r="L163" i="3"/>
  <c r="K163" i="3"/>
  <c r="L162" i="3"/>
  <c r="L161" i="3"/>
  <c r="L160" i="3"/>
  <c r="L159" i="3"/>
  <c r="L158" i="3"/>
  <c r="L157" i="3"/>
  <c r="L156" i="3"/>
  <c r="L155" i="3"/>
  <c r="K155" i="3"/>
  <c r="L154" i="3"/>
  <c r="L153" i="3"/>
  <c r="L152" i="3"/>
  <c r="L151" i="3"/>
  <c r="L150" i="3"/>
  <c r="L149" i="3"/>
  <c r="L148" i="3"/>
  <c r="L147" i="3"/>
  <c r="K147" i="3"/>
  <c r="L146" i="3"/>
  <c r="L145" i="3"/>
  <c r="L144" i="3"/>
  <c r="L143" i="3"/>
  <c r="L142" i="3"/>
  <c r="L141" i="3"/>
  <c r="L140" i="3"/>
  <c r="L139" i="3"/>
  <c r="K139" i="3"/>
  <c r="L138" i="3"/>
  <c r="L137" i="3"/>
  <c r="L136" i="3"/>
  <c r="L135" i="3"/>
  <c r="L134" i="3"/>
  <c r="L133" i="3"/>
  <c r="L132" i="3"/>
  <c r="L131" i="3"/>
  <c r="K131" i="3"/>
  <c r="L130" i="3"/>
  <c r="L129" i="3"/>
  <c r="L128" i="3"/>
  <c r="L127" i="3"/>
  <c r="L126" i="3"/>
  <c r="L125" i="3"/>
  <c r="L124" i="3"/>
  <c r="L123" i="3"/>
  <c r="K123" i="3"/>
  <c r="L122" i="3"/>
  <c r="L121" i="3"/>
  <c r="L120" i="3"/>
  <c r="L119" i="3"/>
  <c r="L118" i="3"/>
  <c r="L117" i="3"/>
  <c r="L116" i="3"/>
  <c r="L115" i="3"/>
  <c r="K115" i="3"/>
  <c r="L114" i="3"/>
  <c r="L113" i="3"/>
  <c r="L112" i="3"/>
  <c r="L111" i="3"/>
  <c r="L110" i="3"/>
  <c r="L109" i="3"/>
  <c r="L108" i="3"/>
  <c r="L107" i="3"/>
  <c r="K107" i="3"/>
  <c r="L106" i="3"/>
  <c r="L105" i="3"/>
  <c r="L104" i="3"/>
  <c r="L103" i="3"/>
  <c r="L102" i="3"/>
  <c r="L101" i="3"/>
  <c r="L100" i="3"/>
  <c r="L99" i="3"/>
  <c r="K99" i="3"/>
  <c r="L98" i="3"/>
  <c r="L97" i="3"/>
  <c r="L96" i="3"/>
  <c r="L95" i="3"/>
  <c r="L94" i="3"/>
  <c r="L93" i="3"/>
  <c r="L92" i="3"/>
  <c r="L91" i="3"/>
  <c r="K91" i="3"/>
  <c r="L90" i="3"/>
  <c r="L89" i="3"/>
  <c r="L88" i="3"/>
  <c r="L87" i="3"/>
  <c r="L86" i="3"/>
  <c r="L85" i="3"/>
  <c r="L84" i="3"/>
  <c r="L83" i="3"/>
  <c r="K83" i="3"/>
  <c r="L82" i="3"/>
  <c r="L81" i="3"/>
  <c r="L80" i="3"/>
  <c r="L79" i="3"/>
  <c r="L78" i="3"/>
  <c r="L77" i="3"/>
  <c r="L76" i="3"/>
  <c r="L75" i="3"/>
  <c r="K75" i="3"/>
  <c r="L74" i="3"/>
  <c r="L73" i="3"/>
  <c r="L72" i="3"/>
  <c r="L71" i="3"/>
  <c r="L70" i="3"/>
  <c r="L69" i="3"/>
  <c r="L68" i="3"/>
  <c r="L67" i="3"/>
  <c r="K67" i="3"/>
  <c r="L66" i="3"/>
  <c r="L65" i="3"/>
  <c r="L64" i="3"/>
  <c r="L63" i="3"/>
  <c r="L62" i="3"/>
  <c r="L61" i="3"/>
  <c r="L60" i="3"/>
  <c r="L59" i="3"/>
  <c r="K59" i="3"/>
  <c r="L58" i="3"/>
  <c r="L57" i="3"/>
  <c r="L56" i="3"/>
  <c r="L55" i="3"/>
  <c r="L54" i="3"/>
  <c r="L53" i="3"/>
  <c r="L52" i="3"/>
  <c r="L51" i="3"/>
  <c r="K51" i="3"/>
  <c r="L50" i="3"/>
  <c r="L49" i="3"/>
  <c r="L48" i="3"/>
  <c r="L47" i="3"/>
  <c r="L46" i="3"/>
  <c r="L45" i="3"/>
  <c r="L44" i="3"/>
  <c r="L43" i="3"/>
  <c r="K43" i="3"/>
  <c r="L42" i="3"/>
  <c r="L41" i="3"/>
  <c r="L40" i="3"/>
  <c r="L39" i="3"/>
  <c r="L38" i="3"/>
  <c r="L37" i="3"/>
  <c r="L36" i="3"/>
  <c r="L35" i="3"/>
  <c r="K35" i="3"/>
  <c r="L34" i="3"/>
  <c r="L33" i="3"/>
  <c r="L32" i="3"/>
  <c r="L31" i="3"/>
  <c r="L30" i="3"/>
  <c r="L29" i="3"/>
  <c r="L28" i="3"/>
  <c r="L27" i="3"/>
  <c r="K27" i="3"/>
  <c r="L26" i="3"/>
  <c r="L25" i="3"/>
  <c r="L24" i="3"/>
  <c r="L23" i="3"/>
  <c r="L22" i="3"/>
  <c r="L21" i="3"/>
  <c r="L20" i="3"/>
  <c r="L19" i="3"/>
  <c r="K19" i="3"/>
  <c r="L18" i="3"/>
  <c r="L17" i="3"/>
  <c r="L16" i="3"/>
  <c r="L15" i="3"/>
  <c r="L14" i="3"/>
  <c r="L13" i="3"/>
  <c r="L12" i="3"/>
  <c r="L11" i="3"/>
  <c r="K11" i="3"/>
  <c r="L10" i="3"/>
  <c r="L9" i="3"/>
  <c r="L8" i="3"/>
  <c r="L7" i="3"/>
  <c r="L6" i="3"/>
  <c r="L5" i="3"/>
  <c r="L4" i="3"/>
  <c r="S3" i="3" a="1"/>
  <c r="S3" i="3" s="1"/>
  <c r="R3" i="3" s="1"/>
  <c r="L3" i="3"/>
  <c r="S2" i="3" a="1"/>
  <c r="S2" i="3" s="1"/>
  <c r="R2" i="3" s="1"/>
  <c r="L2" i="3"/>
  <c r="P1" i="3"/>
  <c r="N1" i="3"/>
  <c r="K995" i="3" s="1"/>
  <c r="H2" i="2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G2" i="2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F4" i="1"/>
  <c r="K3" i="3" l="1"/>
  <c r="K273" i="3"/>
  <c r="K286" i="3"/>
  <c r="K337" i="3"/>
  <c r="K350" i="3"/>
  <c r="K401" i="3"/>
  <c r="K414" i="3"/>
  <c r="K465" i="3"/>
  <c r="K478" i="3"/>
  <c r="K529" i="3"/>
  <c r="K542" i="3"/>
  <c r="K593" i="3"/>
  <c r="K606" i="3"/>
  <c r="K657" i="3"/>
  <c r="K670" i="3"/>
  <c r="K721" i="3"/>
  <c r="K734" i="3"/>
  <c r="K785" i="3"/>
  <c r="K798" i="3"/>
  <c r="K849" i="3"/>
  <c r="F8" i="1"/>
  <c r="K10" i="3"/>
  <c r="K18" i="3"/>
  <c r="K26" i="3"/>
  <c r="K34" i="3"/>
  <c r="K42" i="3"/>
  <c r="K50" i="3"/>
  <c r="K58" i="3"/>
  <c r="K66" i="3"/>
  <c r="K74" i="3"/>
  <c r="K82" i="3"/>
  <c r="K90" i="3"/>
  <c r="K98" i="3"/>
  <c r="K106" i="3"/>
  <c r="K114" i="3"/>
  <c r="K122" i="3"/>
  <c r="K130" i="3"/>
  <c r="K138" i="3"/>
  <c r="K146" i="3"/>
  <c r="K154" i="3"/>
  <c r="K162" i="3"/>
  <c r="K170" i="3"/>
  <c r="K178" i="3"/>
  <c r="K186" i="3"/>
  <c r="K194" i="3"/>
  <c r="K202" i="3"/>
  <c r="K210" i="3"/>
  <c r="K218" i="3"/>
  <c r="K226" i="3"/>
  <c r="K909" i="3"/>
  <c r="N2" i="8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BE2" i="8" s="1"/>
  <c r="BF2" i="8" s="1"/>
  <c r="BG2" i="8" s="1"/>
  <c r="BH2" i="8" s="1"/>
  <c r="BI2" i="8" s="1"/>
  <c r="BJ2" i="8" s="1"/>
  <c r="BK2" i="8" s="1"/>
  <c r="BL2" i="8" s="1"/>
  <c r="BM2" i="8" s="1"/>
  <c r="BN2" i="8" s="1"/>
  <c r="BO2" i="8" s="1"/>
  <c r="BP2" i="8" s="1"/>
  <c r="BQ2" i="8" s="1"/>
  <c r="BR2" i="8" s="1"/>
  <c r="BS2" i="8" s="1"/>
  <c r="BT2" i="8" s="1"/>
  <c r="BU2" i="8" s="1"/>
  <c r="BV2" i="8" s="1"/>
  <c r="BW2" i="8" s="1"/>
  <c r="BX2" i="8" s="1"/>
  <c r="BY2" i="8" s="1"/>
  <c r="BZ2" i="8" s="1"/>
  <c r="CA2" i="8" s="1"/>
  <c r="CB2" i="8" s="1"/>
  <c r="CC2" i="8" s="1"/>
  <c r="CD2" i="8" s="1"/>
  <c r="CE2" i="8" s="1"/>
  <c r="CF2" i="8" s="1"/>
  <c r="CG2" i="8" s="1"/>
  <c r="CH2" i="8" s="1"/>
  <c r="CI2" i="8" s="1"/>
  <c r="CJ2" i="8" s="1"/>
  <c r="CK2" i="8" s="1"/>
  <c r="CL2" i="8" s="1"/>
  <c r="CM2" i="8" s="1"/>
  <c r="CN2" i="8" s="1"/>
  <c r="CO2" i="8" s="1"/>
  <c r="CP2" i="8" s="1"/>
  <c r="CQ2" i="8" s="1"/>
  <c r="CR2" i="8" s="1"/>
  <c r="CS2" i="8" s="1"/>
  <c r="CT2" i="8" s="1"/>
  <c r="CU2" i="8" s="1"/>
  <c r="CV2" i="8" s="1"/>
  <c r="CW2" i="8" s="1"/>
  <c r="CX2" i="8" s="1"/>
  <c r="CY2" i="8" s="1"/>
  <c r="CZ2" i="8" s="1"/>
  <c r="DA2" i="8" s="1"/>
  <c r="DB2" i="8" s="1"/>
  <c r="DC2" i="8" s="1"/>
  <c r="DD2" i="8" s="1"/>
  <c r="DE2" i="8" s="1"/>
  <c r="DF2" i="8" s="1"/>
  <c r="DG2" i="8" s="1"/>
  <c r="DH2" i="8" s="1"/>
  <c r="DI2" i="8" s="1"/>
  <c r="DJ2" i="8" s="1"/>
  <c r="DK2" i="8" s="1"/>
  <c r="DL2" i="8" s="1"/>
  <c r="DM2" i="8" s="1"/>
  <c r="DN2" i="8" s="1"/>
  <c r="DO2" i="8" s="1"/>
  <c r="DP2" i="8" s="1"/>
  <c r="DQ2" i="8" s="1"/>
  <c r="DR2" i="8" s="1"/>
  <c r="DS2" i="8" s="1"/>
  <c r="DT2" i="8" s="1"/>
  <c r="DU2" i="8" s="1"/>
  <c r="DV2" i="8" s="1"/>
  <c r="DW2" i="8" s="1"/>
  <c r="DX2" i="8" s="1"/>
  <c r="DY2" i="8" s="1"/>
  <c r="DZ2" i="8" s="1"/>
  <c r="EA2" i="8" s="1"/>
  <c r="EB2" i="8" s="1"/>
  <c r="EC2" i="8" s="1"/>
  <c r="ED2" i="8" s="1"/>
  <c r="EE2" i="8" s="1"/>
  <c r="EF2" i="8" s="1"/>
  <c r="EG2" i="8" s="1"/>
  <c r="EH2" i="8" s="1"/>
  <c r="EI2" i="8" s="1"/>
  <c r="EJ2" i="8" s="1"/>
  <c r="EK2" i="8" s="1"/>
  <c r="EL2" i="8" s="1"/>
  <c r="EM2" i="8" s="1"/>
  <c r="EN2" i="8" s="1"/>
  <c r="EO2" i="8" s="1"/>
  <c r="EP2" i="8" s="1"/>
  <c r="EQ2" i="8" s="1"/>
  <c r="ER2" i="8" s="1"/>
  <c r="ES2" i="8" s="1"/>
  <c r="ET2" i="8" s="1"/>
  <c r="EU2" i="8" s="1"/>
  <c r="EV2" i="8" s="1"/>
  <c r="EW2" i="8" s="1"/>
  <c r="EX2" i="8" s="1"/>
  <c r="EY2" i="8" s="1"/>
  <c r="EZ2" i="8" s="1"/>
  <c r="FA2" i="8" s="1"/>
  <c r="F8" i="7"/>
  <c r="K38" i="3"/>
  <c r="K230" i="3"/>
  <c r="K249" i="3"/>
  <c r="K262" i="3"/>
  <c r="K313" i="3"/>
  <c r="K326" i="3"/>
  <c r="K377" i="3"/>
  <c r="K390" i="3"/>
  <c r="K441" i="3"/>
  <c r="K454" i="3"/>
  <c r="K505" i="3"/>
  <c r="K518" i="3"/>
  <c r="K569" i="3"/>
  <c r="K582" i="3"/>
  <c r="K633" i="3"/>
  <c r="K646" i="3"/>
  <c r="K697" i="3"/>
  <c r="K710" i="3"/>
  <c r="K761" i="3"/>
  <c r="K774" i="3"/>
  <c r="K825" i="3"/>
  <c r="K838" i="3"/>
  <c r="K686" i="3"/>
  <c r="K750" i="3"/>
  <c r="K801" i="3"/>
  <c r="K941" i="3"/>
  <c r="K4" i="3"/>
  <c r="K12" i="3"/>
  <c r="K20" i="3"/>
  <c r="K28" i="3"/>
  <c r="K36" i="3"/>
  <c r="K44" i="3"/>
  <c r="K52" i="3"/>
  <c r="K60" i="3"/>
  <c r="K68" i="3"/>
  <c r="K76" i="3"/>
  <c r="K84" i="3"/>
  <c r="K92" i="3"/>
  <c r="K100" i="3"/>
  <c r="K108" i="3"/>
  <c r="K116" i="3"/>
  <c r="K124" i="3"/>
  <c r="K132" i="3"/>
  <c r="K140" i="3"/>
  <c r="K148" i="3"/>
  <c r="K156" i="3"/>
  <c r="K164" i="3"/>
  <c r="K172" i="3"/>
  <c r="K180" i="3"/>
  <c r="K188" i="3"/>
  <c r="K196" i="3"/>
  <c r="K204" i="3"/>
  <c r="K212" i="3"/>
  <c r="K220" i="3"/>
  <c r="K228" i="3"/>
  <c r="K265" i="3"/>
  <c r="K278" i="3"/>
  <c r="K329" i="3"/>
  <c r="K342" i="3"/>
  <c r="K393" i="3"/>
  <c r="K406" i="3"/>
  <c r="K457" i="3"/>
  <c r="K470" i="3"/>
  <c r="K521" i="3"/>
  <c r="K534" i="3"/>
  <c r="K585" i="3"/>
  <c r="K598" i="3"/>
  <c r="K649" i="3"/>
  <c r="K662" i="3"/>
  <c r="K713" i="3"/>
  <c r="K726" i="3"/>
  <c r="K777" i="3"/>
  <c r="K790" i="3"/>
  <c r="K841" i="3"/>
  <c r="K899" i="3"/>
  <c r="K913" i="3"/>
  <c r="K973" i="3"/>
  <c r="K609" i="3"/>
  <c r="K622" i="3"/>
  <c r="K673" i="3"/>
  <c r="K5" i="3"/>
  <c r="K13" i="3"/>
  <c r="K21" i="3"/>
  <c r="K29" i="3"/>
  <c r="K37" i="3"/>
  <c r="K45" i="3"/>
  <c r="K53" i="3"/>
  <c r="K61" i="3"/>
  <c r="K69" i="3"/>
  <c r="K77" i="3"/>
  <c r="K85" i="3"/>
  <c r="K93" i="3"/>
  <c r="K101" i="3"/>
  <c r="K109" i="3"/>
  <c r="K117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737" i="3"/>
  <c r="K814" i="3"/>
  <c r="K241" i="3"/>
  <c r="K254" i="3"/>
  <c r="K305" i="3"/>
  <c r="K318" i="3"/>
  <c r="K369" i="3"/>
  <c r="K382" i="3"/>
  <c r="K433" i="3"/>
  <c r="K446" i="3"/>
  <c r="K497" i="3"/>
  <c r="K510" i="3"/>
  <c r="K561" i="3"/>
  <c r="K574" i="3"/>
  <c r="K625" i="3"/>
  <c r="K638" i="3"/>
  <c r="K689" i="3"/>
  <c r="K702" i="3"/>
  <c r="K753" i="3"/>
  <c r="K766" i="3"/>
  <c r="K817" i="3"/>
  <c r="K830" i="3"/>
  <c r="A82" i="9"/>
  <c r="T223" i="7"/>
  <c r="E223" i="7"/>
  <c r="K931" i="3"/>
  <c r="K6" i="3"/>
  <c r="K54" i="3"/>
  <c r="K86" i="3"/>
  <c r="K118" i="3"/>
  <c r="K134" i="3"/>
  <c r="K158" i="3"/>
  <c r="K174" i="3"/>
  <c r="K214" i="3"/>
  <c r="K281" i="3"/>
  <c r="K294" i="3"/>
  <c r="K345" i="3"/>
  <c r="K358" i="3"/>
  <c r="K409" i="3"/>
  <c r="K422" i="3"/>
  <c r="K473" i="3"/>
  <c r="K486" i="3"/>
  <c r="K537" i="3"/>
  <c r="K550" i="3"/>
  <c r="K601" i="3"/>
  <c r="K614" i="3"/>
  <c r="K665" i="3"/>
  <c r="K678" i="3"/>
  <c r="K729" i="3"/>
  <c r="K742" i="3"/>
  <c r="K793" i="3"/>
  <c r="K806" i="3"/>
  <c r="K22" i="3"/>
  <c r="K62" i="3"/>
  <c r="K102" i="3"/>
  <c r="K142" i="3"/>
  <c r="K190" i="3"/>
  <c r="K2" i="3"/>
  <c r="K7" i="3"/>
  <c r="K15" i="3"/>
  <c r="K23" i="3"/>
  <c r="K31" i="3"/>
  <c r="K39" i="3"/>
  <c r="K47" i="3"/>
  <c r="K55" i="3"/>
  <c r="K63" i="3"/>
  <c r="K71" i="3"/>
  <c r="K79" i="3"/>
  <c r="K87" i="3"/>
  <c r="K95" i="3"/>
  <c r="K103" i="3"/>
  <c r="K111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963" i="3"/>
  <c r="K14" i="3"/>
  <c r="K46" i="3"/>
  <c r="K78" i="3"/>
  <c r="K110" i="3"/>
  <c r="K166" i="3"/>
  <c r="K182" i="3"/>
  <c r="K206" i="3"/>
  <c r="K257" i="3"/>
  <c r="K270" i="3"/>
  <c r="K321" i="3"/>
  <c r="K334" i="3"/>
  <c r="K385" i="3"/>
  <c r="K398" i="3"/>
  <c r="K449" i="3"/>
  <c r="K462" i="3"/>
  <c r="K513" i="3"/>
  <c r="K526" i="3"/>
  <c r="K577" i="3"/>
  <c r="K590" i="3"/>
  <c r="K641" i="3"/>
  <c r="K654" i="3"/>
  <c r="K705" i="3"/>
  <c r="K718" i="3"/>
  <c r="K769" i="3"/>
  <c r="K782" i="3"/>
  <c r="K833" i="3"/>
  <c r="K846" i="3"/>
  <c r="K94" i="3"/>
  <c r="K8" i="3"/>
  <c r="K16" i="3"/>
  <c r="K24" i="3"/>
  <c r="K32" i="3"/>
  <c r="K40" i="3"/>
  <c r="K48" i="3"/>
  <c r="K56" i="3"/>
  <c r="K64" i="3"/>
  <c r="K72" i="3"/>
  <c r="K80" i="3"/>
  <c r="K88" i="3"/>
  <c r="K96" i="3"/>
  <c r="K104" i="3"/>
  <c r="K112" i="3"/>
  <c r="K120" i="3"/>
  <c r="K128" i="3"/>
  <c r="K136" i="3"/>
  <c r="K144" i="3"/>
  <c r="K152" i="3"/>
  <c r="K160" i="3"/>
  <c r="K168" i="3"/>
  <c r="K176" i="3"/>
  <c r="K184" i="3"/>
  <c r="K192" i="3"/>
  <c r="K200" i="3"/>
  <c r="K208" i="3"/>
  <c r="K216" i="3"/>
  <c r="K224" i="3"/>
  <c r="K994" i="3"/>
  <c r="K986" i="3"/>
  <c r="K978" i="3"/>
  <c r="K970" i="3"/>
  <c r="K962" i="3"/>
  <c r="K954" i="3"/>
  <c r="K946" i="3"/>
  <c r="K938" i="3"/>
  <c r="K930" i="3"/>
  <c r="K922" i="3"/>
  <c r="K914" i="3"/>
  <c r="K906" i="3"/>
  <c r="K898" i="3"/>
  <c r="K890" i="3"/>
  <c r="K882" i="3"/>
  <c r="K874" i="3"/>
  <c r="K866" i="3"/>
  <c r="K858" i="3"/>
  <c r="K850" i="3"/>
  <c r="K1000" i="3"/>
  <c r="K992" i="3"/>
  <c r="K984" i="3"/>
  <c r="K976" i="3"/>
  <c r="K968" i="3"/>
  <c r="K960" i="3"/>
  <c r="K952" i="3"/>
  <c r="K944" i="3"/>
  <c r="K936" i="3"/>
  <c r="K928" i="3"/>
  <c r="K920" i="3"/>
  <c r="K912" i="3"/>
  <c r="K904" i="3"/>
  <c r="K896" i="3"/>
  <c r="K888" i="3"/>
  <c r="K880" i="3"/>
  <c r="K872" i="3"/>
  <c r="K864" i="3"/>
  <c r="K856" i="3"/>
  <c r="K999" i="3"/>
  <c r="K991" i="3"/>
  <c r="K983" i="3"/>
  <c r="K975" i="3"/>
  <c r="K967" i="3"/>
  <c r="K959" i="3"/>
  <c r="K951" i="3"/>
  <c r="K943" i="3"/>
  <c r="K935" i="3"/>
  <c r="K927" i="3"/>
  <c r="K919" i="3"/>
  <c r="K911" i="3"/>
  <c r="K903" i="3"/>
  <c r="K895" i="3"/>
  <c r="K887" i="3"/>
  <c r="K879" i="3"/>
  <c r="K871" i="3"/>
  <c r="K863" i="3"/>
  <c r="K855" i="3"/>
  <c r="K998" i="3"/>
  <c r="K990" i="3"/>
  <c r="K982" i="3"/>
  <c r="K974" i="3"/>
  <c r="K966" i="3"/>
  <c r="K958" i="3"/>
  <c r="K950" i="3"/>
  <c r="K942" i="3"/>
  <c r="K934" i="3"/>
  <c r="K926" i="3"/>
  <c r="K918" i="3"/>
  <c r="K910" i="3"/>
  <c r="K902" i="3"/>
  <c r="K894" i="3"/>
  <c r="K886" i="3"/>
  <c r="K878" i="3"/>
  <c r="K870" i="3"/>
  <c r="K862" i="3"/>
  <c r="K854" i="3"/>
  <c r="K993" i="3"/>
  <c r="K961" i="3"/>
  <c r="K929" i="3"/>
  <c r="K897" i="3"/>
  <c r="K865" i="3"/>
  <c r="K845" i="3"/>
  <c r="K837" i="3"/>
  <c r="K829" i="3"/>
  <c r="K821" i="3"/>
  <c r="K813" i="3"/>
  <c r="K805" i="3"/>
  <c r="K797" i="3"/>
  <c r="K789" i="3"/>
  <c r="K781" i="3"/>
  <c r="K773" i="3"/>
  <c r="K765" i="3"/>
  <c r="K757" i="3"/>
  <c r="K749" i="3"/>
  <c r="K741" i="3"/>
  <c r="K733" i="3"/>
  <c r="K725" i="3"/>
  <c r="K717" i="3"/>
  <c r="K709" i="3"/>
  <c r="K701" i="3"/>
  <c r="K693" i="3"/>
  <c r="K685" i="3"/>
  <c r="K677" i="3"/>
  <c r="K669" i="3"/>
  <c r="K661" i="3"/>
  <c r="K653" i="3"/>
  <c r="K645" i="3"/>
  <c r="K637" i="3"/>
  <c r="K629" i="3"/>
  <c r="K621" i="3"/>
  <c r="K613" i="3"/>
  <c r="K605" i="3"/>
  <c r="K597" i="3"/>
  <c r="K589" i="3"/>
  <c r="K581" i="3"/>
  <c r="K573" i="3"/>
  <c r="K565" i="3"/>
  <c r="K557" i="3"/>
  <c r="K549" i="3"/>
  <c r="K541" i="3"/>
  <c r="K533" i="3"/>
  <c r="K525" i="3"/>
  <c r="K517" i="3"/>
  <c r="K509" i="3"/>
  <c r="K501" i="3"/>
  <c r="K493" i="3"/>
  <c r="K485" i="3"/>
  <c r="K477" i="3"/>
  <c r="K469" i="3"/>
  <c r="K461" i="3"/>
  <c r="K453" i="3"/>
  <c r="K445" i="3"/>
  <c r="K437" i="3"/>
  <c r="K429" i="3"/>
  <c r="K421" i="3"/>
  <c r="K413" i="3"/>
  <c r="K405" i="3"/>
  <c r="K397" i="3"/>
  <c r="K389" i="3"/>
  <c r="K381" i="3"/>
  <c r="K373" i="3"/>
  <c r="K365" i="3"/>
  <c r="K357" i="3"/>
  <c r="K349" i="3"/>
  <c r="K341" i="3"/>
  <c r="K333" i="3"/>
  <c r="K325" i="3"/>
  <c r="K317" i="3"/>
  <c r="K309" i="3"/>
  <c r="K301" i="3"/>
  <c r="K293" i="3"/>
  <c r="K285" i="3"/>
  <c r="K277" i="3"/>
  <c r="K269" i="3"/>
  <c r="K261" i="3"/>
  <c r="K253" i="3"/>
  <c r="K245" i="3"/>
  <c r="K237" i="3"/>
  <c r="K981" i="3"/>
  <c r="K971" i="3"/>
  <c r="K949" i="3"/>
  <c r="K939" i="3"/>
  <c r="K917" i="3"/>
  <c r="K907" i="3"/>
  <c r="K885" i="3"/>
  <c r="K875" i="3"/>
  <c r="K853" i="3"/>
  <c r="K844" i="3"/>
  <c r="K836" i="3"/>
  <c r="K828" i="3"/>
  <c r="K820" i="3"/>
  <c r="K812" i="3"/>
  <c r="K804" i="3"/>
  <c r="K796" i="3"/>
  <c r="K788" i="3"/>
  <c r="K780" i="3"/>
  <c r="K772" i="3"/>
  <c r="K764" i="3"/>
  <c r="K756" i="3"/>
  <c r="K748" i="3"/>
  <c r="K740" i="3"/>
  <c r="K732" i="3"/>
  <c r="K724" i="3"/>
  <c r="K716" i="3"/>
  <c r="K708" i="3"/>
  <c r="K700" i="3"/>
  <c r="K692" i="3"/>
  <c r="K684" i="3"/>
  <c r="K676" i="3"/>
  <c r="K668" i="3"/>
  <c r="K660" i="3"/>
  <c r="K652" i="3"/>
  <c r="K644" i="3"/>
  <c r="K636" i="3"/>
  <c r="K628" i="3"/>
  <c r="K620" i="3"/>
  <c r="K612" i="3"/>
  <c r="K604" i="3"/>
  <c r="K596" i="3"/>
  <c r="K588" i="3"/>
  <c r="K580" i="3"/>
  <c r="K572" i="3"/>
  <c r="K564" i="3"/>
  <c r="K556" i="3"/>
  <c r="K548" i="3"/>
  <c r="K540" i="3"/>
  <c r="K532" i="3"/>
  <c r="K524" i="3"/>
  <c r="K516" i="3"/>
  <c r="K508" i="3"/>
  <c r="K500" i="3"/>
  <c r="K492" i="3"/>
  <c r="K484" i="3"/>
  <c r="K476" i="3"/>
  <c r="K468" i="3"/>
  <c r="K460" i="3"/>
  <c r="K452" i="3"/>
  <c r="K444" i="3"/>
  <c r="K436" i="3"/>
  <c r="K428" i="3"/>
  <c r="K420" i="3"/>
  <c r="K412" i="3"/>
  <c r="K404" i="3"/>
  <c r="K396" i="3"/>
  <c r="K388" i="3"/>
  <c r="K380" i="3"/>
  <c r="K372" i="3"/>
  <c r="K364" i="3"/>
  <c r="K356" i="3"/>
  <c r="K348" i="3"/>
  <c r="K340" i="3"/>
  <c r="K332" i="3"/>
  <c r="K324" i="3"/>
  <c r="K316" i="3"/>
  <c r="K308" i="3"/>
  <c r="K300" i="3"/>
  <c r="K292" i="3"/>
  <c r="K284" i="3"/>
  <c r="K276" i="3"/>
  <c r="K268" i="3"/>
  <c r="K260" i="3"/>
  <c r="K252" i="3"/>
  <c r="K244" i="3"/>
  <c r="K236" i="3"/>
  <c r="K980" i="3"/>
  <c r="K948" i="3"/>
  <c r="K916" i="3"/>
  <c r="K884" i="3"/>
  <c r="K852" i="3"/>
  <c r="K969" i="3"/>
  <c r="K937" i="3"/>
  <c r="K905" i="3"/>
  <c r="K873" i="3"/>
  <c r="K843" i="3"/>
  <c r="K835" i="3"/>
  <c r="K827" i="3"/>
  <c r="K819" i="3"/>
  <c r="K811" i="3"/>
  <c r="K803" i="3"/>
  <c r="K795" i="3"/>
  <c r="K787" i="3"/>
  <c r="K779" i="3"/>
  <c r="K771" i="3"/>
  <c r="K763" i="3"/>
  <c r="K755" i="3"/>
  <c r="K747" i="3"/>
  <c r="K739" i="3"/>
  <c r="K731" i="3"/>
  <c r="K723" i="3"/>
  <c r="K715" i="3"/>
  <c r="K707" i="3"/>
  <c r="K699" i="3"/>
  <c r="K691" i="3"/>
  <c r="K683" i="3"/>
  <c r="K675" i="3"/>
  <c r="K667" i="3"/>
  <c r="K659" i="3"/>
  <c r="K651" i="3"/>
  <c r="K643" i="3"/>
  <c r="K635" i="3"/>
  <c r="K627" i="3"/>
  <c r="K619" i="3"/>
  <c r="K611" i="3"/>
  <c r="K603" i="3"/>
  <c r="K595" i="3"/>
  <c r="K587" i="3"/>
  <c r="K579" i="3"/>
  <c r="K571" i="3"/>
  <c r="K563" i="3"/>
  <c r="K555" i="3"/>
  <c r="K547" i="3"/>
  <c r="K539" i="3"/>
  <c r="K531" i="3"/>
  <c r="K523" i="3"/>
  <c r="K515" i="3"/>
  <c r="K507" i="3"/>
  <c r="K499" i="3"/>
  <c r="K491" i="3"/>
  <c r="K483" i="3"/>
  <c r="K475" i="3"/>
  <c r="K467" i="3"/>
  <c r="K459" i="3"/>
  <c r="K451" i="3"/>
  <c r="K443" i="3"/>
  <c r="K435" i="3"/>
  <c r="K427" i="3"/>
  <c r="K419" i="3"/>
  <c r="K411" i="3"/>
  <c r="K403" i="3"/>
  <c r="K395" i="3"/>
  <c r="K387" i="3"/>
  <c r="K379" i="3"/>
  <c r="K371" i="3"/>
  <c r="K363" i="3"/>
  <c r="K355" i="3"/>
  <c r="K347" i="3"/>
  <c r="K339" i="3"/>
  <c r="K331" i="3"/>
  <c r="K323" i="3"/>
  <c r="K315" i="3"/>
  <c r="K307" i="3"/>
  <c r="K299" i="3"/>
  <c r="K291" i="3"/>
  <c r="K283" i="3"/>
  <c r="K275" i="3"/>
  <c r="K267" i="3"/>
  <c r="K259" i="3"/>
  <c r="K251" i="3"/>
  <c r="K243" i="3"/>
  <c r="K235" i="3"/>
  <c r="K989" i="3"/>
  <c r="K979" i="3"/>
  <c r="K957" i="3"/>
  <c r="K947" i="3"/>
  <c r="K925" i="3"/>
  <c r="K915" i="3"/>
  <c r="K893" i="3"/>
  <c r="K883" i="3"/>
  <c r="K861" i="3"/>
  <c r="K851" i="3"/>
  <c r="K842" i="3"/>
  <c r="K834" i="3"/>
  <c r="K826" i="3"/>
  <c r="K818" i="3"/>
  <c r="K810" i="3"/>
  <c r="K802" i="3"/>
  <c r="K794" i="3"/>
  <c r="K786" i="3"/>
  <c r="K778" i="3"/>
  <c r="K770" i="3"/>
  <c r="K762" i="3"/>
  <c r="K754" i="3"/>
  <c r="K746" i="3"/>
  <c r="K738" i="3"/>
  <c r="K730" i="3"/>
  <c r="K722" i="3"/>
  <c r="K714" i="3"/>
  <c r="K706" i="3"/>
  <c r="K698" i="3"/>
  <c r="K690" i="3"/>
  <c r="K682" i="3"/>
  <c r="K674" i="3"/>
  <c r="K666" i="3"/>
  <c r="K658" i="3"/>
  <c r="K650" i="3"/>
  <c r="K642" i="3"/>
  <c r="K634" i="3"/>
  <c r="K626" i="3"/>
  <c r="K618" i="3"/>
  <c r="K610" i="3"/>
  <c r="K602" i="3"/>
  <c r="K594" i="3"/>
  <c r="K586" i="3"/>
  <c r="K578" i="3"/>
  <c r="K570" i="3"/>
  <c r="K562" i="3"/>
  <c r="K554" i="3"/>
  <c r="K546" i="3"/>
  <c r="K538" i="3"/>
  <c r="K530" i="3"/>
  <c r="K522" i="3"/>
  <c r="K514" i="3"/>
  <c r="K506" i="3"/>
  <c r="K498" i="3"/>
  <c r="K490" i="3"/>
  <c r="K482" i="3"/>
  <c r="K474" i="3"/>
  <c r="K466" i="3"/>
  <c r="K458" i="3"/>
  <c r="K450" i="3"/>
  <c r="K442" i="3"/>
  <c r="K434" i="3"/>
  <c r="K426" i="3"/>
  <c r="K418" i="3"/>
  <c r="K410" i="3"/>
  <c r="K402" i="3"/>
  <c r="K394" i="3"/>
  <c r="K386" i="3"/>
  <c r="K378" i="3"/>
  <c r="K370" i="3"/>
  <c r="K362" i="3"/>
  <c r="K354" i="3"/>
  <c r="K346" i="3"/>
  <c r="K338" i="3"/>
  <c r="K330" i="3"/>
  <c r="K322" i="3"/>
  <c r="K314" i="3"/>
  <c r="K306" i="3"/>
  <c r="K298" i="3"/>
  <c r="K290" i="3"/>
  <c r="K282" i="3"/>
  <c r="K274" i="3"/>
  <c r="K266" i="3"/>
  <c r="K258" i="3"/>
  <c r="K250" i="3"/>
  <c r="K242" i="3"/>
  <c r="K234" i="3"/>
  <c r="K988" i="3"/>
  <c r="K956" i="3"/>
  <c r="K924" i="3"/>
  <c r="K892" i="3"/>
  <c r="K860" i="3"/>
  <c r="K977" i="3"/>
  <c r="K945" i="3"/>
  <c r="K997" i="3"/>
  <c r="K987" i="3"/>
  <c r="K965" i="3"/>
  <c r="K955" i="3"/>
  <c r="K933" i="3"/>
  <c r="K923" i="3"/>
  <c r="K901" i="3"/>
  <c r="K891" i="3"/>
  <c r="K869" i="3"/>
  <c r="K859" i="3"/>
  <c r="K848" i="3"/>
  <c r="K840" i="3"/>
  <c r="K832" i="3"/>
  <c r="K824" i="3"/>
  <c r="K816" i="3"/>
  <c r="K808" i="3"/>
  <c r="K800" i="3"/>
  <c r="K792" i="3"/>
  <c r="K784" i="3"/>
  <c r="K776" i="3"/>
  <c r="K768" i="3"/>
  <c r="K760" i="3"/>
  <c r="K752" i="3"/>
  <c r="K744" i="3"/>
  <c r="K736" i="3"/>
  <c r="K728" i="3"/>
  <c r="K720" i="3"/>
  <c r="K712" i="3"/>
  <c r="K704" i="3"/>
  <c r="K696" i="3"/>
  <c r="K688" i="3"/>
  <c r="K680" i="3"/>
  <c r="K672" i="3"/>
  <c r="K664" i="3"/>
  <c r="K656" i="3"/>
  <c r="K648" i="3"/>
  <c r="K640" i="3"/>
  <c r="K632" i="3"/>
  <c r="K624" i="3"/>
  <c r="K616" i="3"/>
  <c r="K608" i="3"/>
  <c r="K600" i="3"/>
  <c r="K592" i="3"/>
  <c r="K584" i="3"/>
  <c r="K576" i="3"/>
  <c r="K568" i="3"/>
  <c r="K560" i="3"/>
  <c r="K552" i="3"/>
  <c r="K544" i="3"/>
  <c r="K536" i="3"/>
  <c r="K528" i="3"/>
  <c r="K520" i="3"/>
  <c r="K512" i="3"/>
  <c r="K504" i="3"/>
  <c r="K496" i="3"/>
  <c r="K488" i="3"/>
  <c r="K480" i="3"/>
  <c r="K472" i="3"/>
  <c r="K464" i="3"/>
  <c r="K456" i="3"/>
  <c r="K448" i="3"/>
  <c r="K440" i="3"/>
  <c r="K432" i="3"/>
  <c r="K424" i="3"/>
  <c r="K416" i="3"/>
  <c r="K408" i="3"/>
  <c r="K400" i="3"/>
  <c r="K392" i="3"/>
  <c r="K384" i="3"/>
  <c r="K376" i="3"/>
  <c r="K368" i="3"/>
  <c r="K360" i="3"/>
  <c r="K352" i="3"/>
  <c r="K344" i="3"/>
  <c r="K336" i="3"/>
  <c r="K328" i="3"/>
  <c r="K320" i="3"/>
  <c r="K312" i="3"/>
  <c r="K304" i="3"/>
  <c r="K296" i="3"/>
  <c r="K288" i="3"/>
  <c r="K280" i="3"/>
  <c r="K272" i="3"/>
  <c r="K264" i="3"/>
  <c r="K256" i="3"/>
  <c r="K248" i="3"/>
  <c r="K240" i="3"/>
  <c r="K232" i="3"/>
  <c r="K996" i="3"/>
  <c r="K964" i="3"/>
  <c r="K932" i="3"/>
  <c r="K900" i="3"/>
  <c r="K868" i="3"/>
  <c r="K985" i="3"/>
  <c r="K953" i="3"/>
  <c r="K921" i="3"/>
  <c r="K889" i="3"/>
  <c r="K857" i="3"/>
  <c r="K847" i="3"/>
  <c r="K839" i="3"/>
  <c r="K831" i="3"/>
  <c r="K823" i="3"/>
  <c r="K815" i="3"/>
  <c r="K807" i="3"/>
  <c r="K799" i="3"/>
  <c r="K791" i="3"/>
  <c r="K783" i="3"/>
  <c r="K775" i="3"/>
  <c r="K767" i="3"/>
  <c r="K759" i="3"/>
  <c r="K751" i="3"/>
  <c r="K743" i="3"/>
  <c r="K735" i="3"/>
  <c r="K727" i="3"/>
  <c r="K719" i="3"/>
  <c r="K711" i="3"/>
  <c r="K703" i="3"/>
  <c r="K695" i="3"/>
  <c r="K687" i="3"/>
  <c r="K679" i="3"/>
  <c r="K671" i="3"/>
  <c r="K663" i="3"/>
  <c r="K655" i="3"/>
  <c r="K647" i="3"/>
  <c r="K639" i="3"/>
  <c r="K631" i="3"/>
  <c r="K623" i="3"/>
  <c r="K615" i="3"/>
  <c r="K607" i="3"/>
  <c r="K599" i="3"/>
  <c r="K591" i="3"/>
  <c r="K583" i="3"/>
  <c r="K575" i="3"/>
  <c r="K567" i="3"/>
  <c r="K559" i="3"/>
  <c r="K551" i="3"/>
  <c r="K543" i="3"/>
  <c r="K535" i="3"/>
  <c r="K527" i="3"/>
  <c r="K519" i="3"/>
  <c r="K511" i="3"/>
  <c r="K503" i="3"/>
  <c r="K495" i="3"/>
  <c r="K487" i="3"/>
  <c r="K479" i="3"/>
  <c r="K471" i="3"/>
  <c r="K463" i="3"/>
  <c r="K455" i="3"/>
  <c r="K447" i="3"/>
  <c r="K439" i="3"/>
  <c r="K431" i="3"/>
  <c r="K423" i="3"/>
  <c r="K415" i="3"/>
  <c r="K407" i="3"/>
  <c r="K399" i="3"/>
  <c r="K391" i="3"/>
  <c r="K383" i="3"/>
  <c r="K375" i="3"/>
  <c r="K367" i="3"/>
  <c r="K359" i="3"/>
  <c r="K351" i="3"/>
  <c r="K343" i="3"/>
  <c r="K335" i="3"/>
  <c r="K327" i="3"/>
  <c r="K319" i="3"/>
  <c r="K311" i="3"/>
  <c r="K303" i="3"/>
  <c r="K295" i="3"/>
  <c r="K287" i="3"/>
  <c r="K279" i="3"/>
  <c r="K271" i="3"/>
  <c r="K263" i="3"/>
  <c r="K255" i="3"/>
  <c r="K247" i="3"/>
  <c r="K239" i="3"/>
  <c r="K972" i="3"/>
  <c r="K940" i="3"/>
  <c r="K908" i="3"/>
  <c r="K876" i="3"/>
  <c r="K30" i="3"/>
  <c r="K70" i="3"/>
  <c r="K126" i="3"/>
  <c r="K150" i="3"/>
  <c r="K198" i="3"/>
  <c r="K233" i="3"/>
  <c r="K246" i="3"/>
  <c r="K297" i="3"/>
  <c r="K310" i="3"/>
  <c r="K361" i="3"/>
  <c r="K374" i="3"/>
  <c r="K425" i="3"/>
  <c r="K438" i="3"/>
  <c r="K489" i="3"/>
  <c r="K502" i="3"/>
  <c r="K553" i="3"/>
  <c r="K566" i="3"/>
  <c r="K617" i="3"/>
  <c r="K630" i="3"/>
  <c r="K681" i="3"/>
  <c r="K694" i="3"/>
  <c r="K745" i="3"/>
  <c r="K758" i="3"/>
  <c r="K809" i="3"/>
  <c r="K822" i="3"/>
  <c r="K877" i="3"/>
  <c r="K9" i="3"/>
  <c r="K17" i="3"/>
  <c r="K25" i="3"/>
  <c r="K33" i="3"/>
  <c r="K41" i="3"/>
  <c r="K49" i="3"/>
  <c r="K57" i="3"/>
  <c r="K65" i="3"/>
  <c r="K73" i="3"/>
  <c r="K81" i="3"/>
  <c r="K89" i="3"/>
  <c r="K97" i="3"/>
  <c r="K105" i="3"/>
  <c r="K113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E222" i="7"/>
  <c r="A62" i="9"/>
  <c r="T222" i="7"/>
  <c r="A102" i="9"/>
  <c r="T224" i="7"/>
  <c r="T219" i="7"/>
  <c r="A2" i="9"/>
  <c r="E219" i="7"/>
  <c r="A22" i="9"/>
  <c r="T220" i="7"/>
  <c r="E220" i="7"/>
  <c r="A43" i="9"/>
  <c r="L42" i="9"/>
  <c r="B6" i="9"/>
  <c r="K5" i="9"/>
  <c r="K82" i="9"/>
  <c r="K128" i="9"/>
  <c r="K150" i="9"/>
  <c r="K160" i="9"/>
  <c r="K182" i="9"/>
  <c r="K192" i="9"/>
  <c r="K214" i="9"/>
  <c r="K272" i="9"/>
  <c r="K330" i="9"/>
  <c r="K342" i="9"/>
  <c r="K994" i="9"/>
  <c r="K986" i="9"/>
  <c r="K978" i="9"/>
  <c r="K970" i="9"/>
  <c r="K962" i="9"/>
  <c r="K954" i="9"/>
  <c r="K946" i="9"/>
  <c r="K938" i="9"/>
  <c r="K930" i="9"/>
  <c r="K922" i="9"/>
  <c r="K914" i="9"/>
  <c r="K906" i="9"/>
  <c r="K898" i="9"/>
  <c r="K890" i="9"/>
  <c r="K882" i="9"/>
  <c r="K874" i="9"/>
  <c r="K866" i="9"/>
  <c r="K858" i="9"/>
  <c r="K850" i="9"/>
  <c r="K842" i="9"/>
  <c r="K834" i="9"/>
  <c r="K826" i="9"/>
  <c r="K818" i="9"/>
  <c r="K810" i="9"/>
  <c r="K802" i="9"/>
  <c r="K794" i="9"/>
  <c r="K786" i="9"/>
  <c r="K778" i="9"/>
  <c r="K770" i="9"/>
  <c r="K762" i="9"/>
  <c r="K754" i="9"/>
  <c r="K746" i="9"/>
  <c r="K738" i="9"/>
  <c r="K730" i="9"/>
  <c r="K722" i="9"/>
  <c r="K714" i="9"/>
  <c r="K706" i="9"/>
  <c r="K698" i="9"/>
  <c r="K690" i="9"/>
  <c r="K682" i="9"/>
  <c r="K674" i="9"/>
  <c r="K666" i="9"/>
  <c r="K658" i="9"/>
  <c r="K650" i="9"/>
  <c r="K642" i="9"/>
  <c r="K634" i="9"/>
  <c r="K626" i="9"/>
  <c r="K618" i="9"/>
  <c r="K610" i="9"/>
  <c r="K602" i="9"/>
  <c r="K594" i="9"/>
  <c r="K586" i="9"/>
  <c r="K578" i="9"/>
  <c r="K570" i="9"/>
  <c r="K562" i="9"/>
  <c r="K554" i="9"/>
  <c r="K546" i="9"/>
  <c r="K538" i="9"/>
  <c r="K530" i="9"/>
  <c r="K522" i="9"/>
  <c r="K514" i="9"/>
  <c r="K506" i="9"/>
  <c r="K498" i="9"/>
  <c r="K490" i="9"/>
  <c r="K482" i="9"/>
  <c r="K474" i="9"/>
  <c r="K466" i="9"/>
  <c r="K458" i="9"/>
  <c r="K450" i="9"/>
  <c r="K442" i="9"/>
  <c r="K434" i="9"/>
  <c r="K426" i="9"/>
  <c r="K418" i="9"/>
  <c r="K410" i="9"/>
  <c r="K402" i="9"/>
  <c r="K394" i="9"/>
  <c r="K386" i="9"/>
  <c r="K378" i="9"/>
  <c r="K370" i="9"/>
  <c r="K362" i="9"/>
  <c r="K354" i="9"/>
  <c r="K346" i="9"/>
  <c r="K993" i="9"/>
  <c r="K985" i="9"/>
  <c r="K977" i="9"/>
  <c r="K969" i="9"/>
  <c r="K961" i="9"/>
  <c r="K953" i="9"/>
  <c r="K945" i="9"/>
  <c r="K937" i="9"/>
  <c r="K929" i="9"/>
  <c r="K921" i="9"/>
  <c r="K913" i="9"/>
  <c r="K905" i="9"/>
  <c r="K897" i="9"/>
  <c r="K889" i="9"/>
  <c r="K881" i="9"/>
  <c r="K873" i="9"/>
  <c r="K865" i="9"/>
  <c r="K857" i="9"/>
  <c r="K849" i="9"/>
  <c r="K841" i="9"/>
  <c r="K833" i="9"/>
  <c r="K825" i="9"/>
  <c r="K817" i="9"/>
  <c r="K809" i="9"/>
  <c r="K801" i="9"/>
  <c r="K793" i="9"/>
  <c r="K785" i="9"/>
  <c r="K777" i="9"/>
  <c r="K769" i="9"/>
  <c r="K761" i="9"/>
  <c r="K1000" i="9"/>
  <c r="K992" i="9"/>
  <c r="K984" i="9"/>
  <c r="K976" i="9"/>
  <c r="K968" i="9"/>
  <c r="K960" i="9"/>
  <c r="K952" i="9"/>
  <c r="K944" i="9"/>
  <c r="K936" i="9"/>
  <c r="K928" i="9"/>
  <c r="K920" i="9"/>
  <c r="K912" i="9"/>
  <c r="K904" i="9"/>
  <c r="K896" i="9"/>
  <c r="K888" i="9"/>
  <c r="K880" i="9"/>
  <c r="K872" i="9"/>
  <c r="K864" i="9"/>
  <c r="K856" i="9"/>
  <c r="K848" i="9"/>
  <c r="K840" i="9"/>
  <c r="K832" i="9"/>
  <c r="K824" i="9"/>
  <c r="K816" i="9"/>
  <c r="K808" i="9"/>
  <c r="K800" i="9"/>
  <c r="K792" i="9"/>
  <c r="K784" i="9"/>
  <c r="K776" i="9"/>
  <c r="K768" i="9"/>
  <c r="K760" i="9"/>
  <c r="K752" i="9"/>
  <c r="K744" i="9"/>
  <c r="K736" i="9"/>
  <c r="K728" i="9"/>
  <c r="K720" i="9"/>
  <c r="K712" i="9"/>
  <c r="K704" i="9"/>
  <c r="K696" i="9"/>
  <c r="K688" i="9"/>
  <c r="K680" i="9"/>
  <c r="K672" i="9"/>
  <c r="K664" i="9"/>
  <c r="K656" i="9"/>
  <c r="K648" i="9"/>
  <c r="K640" i="9"/>
  <c r="K632" i="9"/>
  <c r="K624" i="9"/>
  <c r="K616" i="9"/>
  <c r="K608" i="9"/>
  <c r="K600" i="9"/>
  <c r="K592" i="9"/>
  <c r="K584" i="9"/>
  <c r="K576" i="9"/>
  <c r="K568" i="9"/>
  <c r="K560" i="9"/>
  <c r="K552" i="9"/>
  <c r="K544" i="9"/>
  <c r="K536" i="9"/>
  <c r="K528" i="9"/>
  <c r="K520" i="9"/>
  <c r="K512" i="9"/>
  <c r="K504" i="9"/>
  <c r="K496" i="9"/>
  <c r="K488" i="9"/>
  <c r="K480" i="9"/>
  <c r="K472" i="9"/>
  <c r="K464" i="9"/>
  <c r="K456" i="9"/>
  <c r="K448" i="9"/>
  <c r="K440" i="9"/>
  <c r="K432" i="9"/>
  <c r="K424" i="9"/>
  <c r="K416" i="9"/>
  <c r="K999" i="9"/>
  <c r="K991" i="9"/>
  <c r="K983" i="9"/>
  <c r="K975" i="9"/>
  <c r="K967" i="9"/>
  <c r="K959" i="9"/>
  <c r="K951" i="9"/>
  <c r="K943" i="9"/>
  <c r="K935" i="9"/>
  <c r="K927" i="9"/>
  <c r="K919" i="9"/>
  <c r="K911" i="9"/>
  <c r="K903" i="9"/>
  <c r="K895" i="9"/>
  <c r="K887" i="9"/>
  <c r="K879" i="9"/>
  <c r="K871" i="9"/>
  <c r="K863" i="9"/>
  <c r="K855" i="9"/>
  <c r="K847" i="9"/>
  <c r="K839" i="9"/>
  <c r="K831" i="9"/>
  <c r="K823" i="9"/>
  <c r="K815" i="9"/>
  <c r="K807" i="9"/>
  <c r="K799" i="9"/>
  <c r="K791" i="9"/>
  <c r="K783" i="9"/>
  <c r="K775" i="9"/>
  <c r="K767" i="9"/>
  <c r="K759" i="9"/>
  <c r="K751" i="9"/>
  <c r="K743" i="9"/>
  <c r="K735" i="9"/>
  <c r="K727" i="9"/>
  <c r="K719" i="9"/>
  <c r="K711" i="9"/>
  <c r="K703" i="9"/>
  <c r="K695" i="9"/>
  <c r="K687" i="9"/>
  <c r="K679" i="9"/>
  <c r="K671" i="9"/>
  <c r="K663" i="9"/>
  <c r="K655" i="9"/>
  <c r="K647" i="9"/>
  <c r="K639" i="9"/>
  <c r="K631" i="9"/>
  <c r="K623" i="9"/>
  <c r="K615" i="9"/>
  <c r="K607" i="9"/>
  <c r="K599" i="9"/>
  <c r="K591" i="9"/>
  <c r="K583" i="9"/>
  <c r="K575" i="9"/>
  <c r="K567" i="9"/>
  <c r="K559" i="9"/>
  <c r="K551" i="9"/>
  <c r="K543" i="9"/>
  <c r="K535" i="9"/>
  <c r="K527" i="9"/>
  <c r="K519" i="9"/>
  <c r="K511" i="9"/>
  <c r="K503" i="9"/>
  <c r="K495" i="9"/>
  <c r="K487" i="9"/>
  <c r="K479" i="9"/>
  <c r="K471" i="9"/>
  <c r="K463" i="9"/>
  <c r="K455" i="9"/>
  <c r="K447" i="9"/>
  <c r="K439" i="9"/>
  <c r="K431" i="9"/>
  <c r="K423" i="9"/>
  <c r="K415" i="9"/>
  <c r="K407" i="9"/>
  <c r="K399" i="9"/>
  <c r="K391" i="9"/>
  <c r="K383" i="9"/>
  <c r="K375" i="9"/>
  <c r="K367" i="9"/>
  <c r="K359" i="9"/>
  <c r="K351" i="9"/>
  <c r="K998" i="9"/>
  <c r="K990" i="9"/>
  <c r="K982" i="9"/>
  <c r="K974" i="9"/>
  <c r="K966" i="9"/>
  <c r="K958" i="9"/>
  <c r="K950" i="9"/>
  <c r="K942" i="9"/>
  <c r="K934" i="9"/>
  <c r="K926" i="9"/>
  <c r="K918" i="9"/>
  <c r="K910" i="9"/>
  <c r="K902" i="9"/>
  <c r="K894" i="9"/>
  <c r="K886" i="9"/>
  <c r="K878" i="9"/>
  <c r="K870" i="9"/>
  <c r="K862" i="9"/>
  <c r="K854" i="9"/>
  <c r="K846" i="9"/>
  <c r="K838" i="9"/>
  <c r="K830" i="9"/>
  <c r="K822" i="9"/>
  <c r="K814" i="9"/>
  <c r="K806" i="9"/>
  <c r="K798" i="9"/>
  <c r="K790" i="9"/>
  <c r="K782" i="9"/>
  <c r="K774" i="9"/>
  <c r="K766" i="9"/>
  <c r="K758" i="9"/>
  <c r="K750" i="9"/>
  <c r="K742" i="9"/>
  <c r="K734" i="9"/>
  <c r="K726" i="9"/>
  <c r="K718" i="9"/>
  <c r="K710" i="9"/>
  <c r="K702" i="9"/>
  <c r="K694" i="9"/>
  <c r="K686" i="9"/>
  <c r="K678" i="9"/>
  <c r="K670" i="9"/>
  <c r="K662" i="9"/>
  <c r="K654" i="9"/>
  <c r="K646" i="9"/>
  <c r="K638" i="9"/>
  <c r="K630" i="9"/>
  <c r="K622" i="9"/>
  <c r="K614" i="9"/>
  <c r="K606" i="9"/>
  <c r="K598" i="9"/>
  <c r="K590" i="9"/>
  <c r="K582" i="9"/>
  <c r="K574" i="9"/>
  <c r="K566" i="9"/>
  <c r="K558" i="9"/>
  <c r="K550" i="9"/>
  <c r="K542" i="9"/>
  <c r="K534" i="9"/>
  <c r="K526" i="9"/>
  <c r="K518" i="9"/>
  <c r="K510" i="9"/>
  <c r="K502" i="9"/>
  <c r="K494" i="9"/>
  <c r="K486" i="9"/>
  <c r="K478" i="9"/>
  <c r="K470" i="9"/>
  <c r="K462" i="9"/>
  <c r="K454" i="9"/>
  <c r="K446" i="9"/>
  <c r="K438" i="9"/>
  <c r="K430" i="9"/>
  <c r="K422" i="9"/>
  <c r="K996" i="9"/>
  <c r="K988" i="9"/>
  <c r="K980" i="9"/>
  <c r="K972" i="9"/>
  <c r="K964" i="9"/>
  <c r="K956" i="9"/>
  <c r="K948" i="9"/>
  <c r="K940" i="9"/>
  <c r="K932" i="9"/>
  <c r="K924" i="9"/>
  <c r="K916" i="9"/>
  <c r="K908" i="9"/>
  <c r="K900" i="9"/>
  <c r="K892" i="9"/>
  <c r="K884" i="9"/>
  <c r="K876" i="9"/>
  <c r="K868" i="9"/>
  <c r="K860" i="9"/>
  <c r="K852" i="9"/>
  <c r="K844" i="9"/>
  <c r="K836" i="9"/>
  <c r="K828" i="9"/>
  <c r="K820" i="9"/>
  <c r="K812" i="9"/>
  <c r="K804" i="9"/>
  <c r="K796" i="9"/>
  <c r="K788" i="9"/>
  <c r="K780" i="9"/>
  <c r="K772" i="9"/>
  <c r="K764" i="9"/>
  <c r="K756" i="9"/>
  <c r="K748" i="9"/>
  <c r="K740" i="9"/>
  <c r="K732" i="9"/>
  <c r="K724" i="9"/>
  <c r="K716" i="9"/>
  <c r="K708" i="9"/>
  <c r="K700" i="9"/>
  <c r="K692" i="9"/>
  <c r="K684" i="9"/>
  <c r="K676" i="9"/>
  <c r="K668" i="9"/>
  <c r="K660" i="9"/>
  <c r="K652" i="9"/>
  <c r="K644" i="9"/>
  <c r="K636" i="9"/>
  <c r="K628" i="9"/>
  <c r="K620" i="9"/>
  <c r="K612" i="9"/>
  <c r="K604" i="9"/>
  <c r="K596" i="9"/>
  <c r="K588" i="9"/>
  <c r="K580" i="9"/>
  <c r="K572" i="9"/>
  <c r="K564" i="9"/>
  <c r="K556" i="9"/>
  <c r="K548" i="9"/>
  <c r="K540" i="9"/>
  <c r="K532" i="9"/>
  <c r="K524" i="9"/>
  <c r="K516" i="9"/>
  <c r="K508" i="9"/>
  <c r="K500" i="9"/>
  <c r="K492" i="9"/>
  <c r="K484" i="9"/>
  <c r="K949" i="9"/>
  <c r="K885" i="9"/>
  <c r="K821" i="9"/>
  <c r="K757" i="9"/>
  <c r="K699" i="9"/>
  <c r="K641" i="9"/>
  <c r="K629" i="9"/>
  <c r="K571" i="9"/>
  <c r="K513" i="9"/>
  <c r="K501" i="9"/>
  <c r="K457" i="9"/>
  <c r="K425" i="9"/>
  <c r="K414" i="9"/>
  <c r="K405" i="9"/>
  <c r="K396" i="9"/>
  <c r="K387" i="9"/>
  <c r="K350" i="9"/>
  <c r="K987" i="9"/>
  <c r="K923" i="9"/>
  <c r="K859" i="9"/>
  <c r="K795" i="9"/>
  <c r="K745" i="9"/>
  <c r="K733" i="9"/>
  <c r="K675" i="9"/>
  <c r="K617" i="9"/>
  <c r="K605" i="9"/>
  <c r="K547" i="9"/>
  <c r="K489" i="9"/>
  <c r="K477" i="9"/>
  <c r="K467" i="9"/>
  <c r="K445" i="9"/>
  <c r="K435" i="9"/>
  <c r="K377" i="9"/>
  <c r="K368" i="9"/>
  <c r="K341" i="9"/>
  <c r="K333" i="9"/>
  <c r="K325" i="9"/>
  <c r="K317" i="9"/>
  <c r="K309" i="9"/>
  <c r="K301" i="9"/>
  <c r="K293" i="9"/>
  <c r="K285" i="9"/>
  <c r="K277" i="9"/>
  <c r="K269" i="9"/>
  <c r="K261" i="9"/>
  <c r="K253" i="9"/>
  <c r="K245" i="9"/>
  <c r="K237" i="9"/>
  <c r="K229" i="9"/>
  <c r="K221" i="9"/>
  <c r="K213" i="9"/>
  <c r="K205" i="9"/>
  <c r="K197" i="9"/>
  <c r="K189" i="9"/>
  <c r="K181" i="9"/>
  <c r="K173" i="9"/>
  <c r="K165" i="9"/>
  <c r="K157" i="9"/>
  <c r="K149" i="9"/>
  <c r="K141" i="9"/>
  <c r="K133" i="9"/>
  <c r="K125" i="9"/>
  <c r="K973" i="9"/>
  <c r="K909" i="9"/>
  <c r="K845" i="9"/>
  <c r="K781" i="9"/>
  <c r="K721" i="9"/>
  <c r="K709" i="9"/>
  <c r="K651" i="9"/>
  <c r="K593" i="9"/>
  <c r="K581" i="9"/>
  <c r="K523" i="9"/>
  <c r="K413" i="9"/>
  <c r="K404" i="9"/>
  <c r="K395" i="9"/>
  <c r="K358" i="9"/>
  <c r="K349" i="9"/>
  <c r="K947" i="9"/>
  <c r="K883" i="9"/>
  <c r="K819" i="9"/>
  <c r="K755" i="9"/>
  <c r="K697" i="9"/>
  <c r="K685" i="9"/>
  <c r="K627" i="9"/>
  <c r="K569" i="9"/>
  <c r="K557" i="9"/>
  <c r="K499" i="9"/>
  <c r="K476" i="9"/>
  <c r="K444" i="9"/>
  <c r="K385" i="9"/>
  <c r="K376" i="9"/>
  <c r="K340" i="9"/>
  <c r="K332" i="9"/>
  <c r="K324" i="9"/>
  <c r="K316" i="9"/>
  <c r="K308" i="9"/>
  <c r="K300" i="9"/>
  <c r="K292" i="9"/>
  <c r="K284" i="9"/>
  <c r="K276" i="9"/>
  <c r="K268" i="9"/>
  <c r="K260" i="9"/>
  <c r="K252" i="9"/>
  <c r="K244" i="9"/>
  <c r="K236" i="9"/>
  <c r="K228" i="9"/>
  <c r="K220" i="9"/>
  <c r="K212" i="9"/>
  <c r="K204" i="9"/>
  <c r="K196" i="9"/>
  <c r="K188" i="9"/>
  <c r="K180" i="9"/>
  <c r="K172" i="9"/>
  <c r="K164" i="9"/>
  <c r="K156" i="9"/>
  <c r="K148" i="9"/>
  <c r="K140" i="9"/>
  <c r="K132" i="9"/>
  <c r="K124" i="9"/>
  <c r="K997" i="9"/>
  <c r="K933" i="9"/>
  <c r="K869" i="9"/>
  <c r="K805" i="9"/>
  <c r="K731" i="9"/>
  <c r="K673" i="9"/>
  <c r="K661" i="9"/>
  <c r="K603" i="9"/>
  <c r="K545" i="9"/>
  <c r="K533" i="9"/>
  <c r="K465" i="9"/>
  <c r="K433" i="9"/>
  <c r="K412" i="9"/>
  <c r="K403" i="9"/>
  <c r="K366" i="9"/>
  <c r="K357" i="9"/>
  <c r="K348" i="9"/>
  <c r="K971" i="9"/>
  <c r="K907" i="9"/>
  <c r="K843" i="9"/>
  <c r="K779" i="9"/>
  <c r="K707" i="9"/>
  <c r="K649" i="9"/>
  <c r="K637" i="9"/>
  <c r="K579" i="9"/>
  <c r="K521" i="9"/>
  <c r="K509" i="9"/>
  <c r="K475" i="9"/>
  <c r="K453" i="9"/>
  <c r="K443" i="9"/>
  <c r="K421" i="9"/>
  <c r="K393" i="9"/>
  <c r="K384" i="9"/>
  <c r="K339" i="9"/>
  <c r="K331" i="9"/>
  <c r="K323" i="9"/>
  <c r="K315" i="9"/>
  <c r="K307" i="9"/>
  <c r="K299" i="9"/>
  <c r="K291" i="9"/>
  <c r="K283" i="9"/>
  <c r="K275" i="9"/>
  <c r="K267" i="9"/>
  <c r="K259" i="9"/>
  <c r="K251" i="9"/>
  <c r="K243" i="9"/>
  <c r="K235" i="9"/>
  <c r="K227" i="9"/>
  <c r="K219" i="9"/>
  <c r="K211" i="9"/>
  <c r="K203" i="9"/>
  <c r="K195" i="9"/>
  <c r="K187" i="9"/>
  <c r="K179" i="9"/>
  <c r="K171" i="9"/>
  <c r="K163" i="9"/>
  <c r="K155" i="9"/>
  <c r="K147" i="9"/>
  <c r="K139" i="9"/>
  <c r="K131" i="9"/>
  <c r="K123" i="9"/>
  <c r="K957" i="9"/>
  <c r="K893" i="9"/>
  <c r="K829" i="9"/>
  <c r="K765" i="9"/>
  <c r="K753" i="9"/>
  <c r="K741" i="9"/>
  <c r="K683" i="9"/>
  <c r="K625" i="9"/>
  <c r="K613" i="9"/>
  <c r="K555" i="9"/>
  <c r="K497" i="9"/>
  <c r="K485" i="9"/>
  <c r="K411" i="9"/>
  <c r="K374" i="9"/>
  <c r="K365" i="9"/>
  <c r="K356" i="9"/>
  <c r="K347" i="9"/>
  <c r="K995" i="9"/>
  <c r="K931" i="9"/>
  <c r="K867" i="9"/>
  <c r="K803" i="9"/>
  <c r="K729" i="9"/>
  <c r="K717" i="9"/>
  <c r="K659" i="9"/>
  <c r="K601" i="9"/>
  <c r="K589" i="9"/>
  <c r="K981" i="9"/>
  <c r="K917" i="9"/>
  <c r="K853" i="9"/>
  <c r="K789" i="9"/>
  <c r="K705" i="9"/>
  <c r="K693" i="9"/>
  <c r="K635" i="9"/>
  <c r="K577" i="9"/>
  <c r="K565" i="9"/>
  <c r="K507" i="9"/>
  <c r="K473" i="9"/>
  <c r="K441" i="9"/>
  <c r="K382" i="9"/>
  <c r="K373" i="9"/>
  <c r="K364" i="9"/>
  <c r="K355" i="9"/>
  <c r="K955" i="9"/>
  <c r="K891" i="9"/>
  <c r="K827" i="9"/>
  <c r="K763" i="9"/>
  <c r="K739" i="9"/>
  <c r="K681" i="9"/>
  <c r="K669" i="9"/>
  <c r="K611" i="9"/>
  <c r="K553" i="9"/>
  <c r="K541" i="9"/>
  <c r="K483" i="9"/>
  <c r="K461" i="9"/>
  <c r="K451" i="9"/>
  <c r="K429" i="9"/>
  <c r="K419" i="9"/>
  <c r="K409" i="9"/>
  <c r="K400" i="9"/>
  <c r="K345" i="9"/>
  <c r="K337" i="9"/>
  <c r="K329" i="9"/>
  <c r="K321" i="9"/>
  <c r="K313" i="9"/>
  <c r="K305" i="9"/>
  <c r="K297" i="9"/>
  <c r="K289" i="9"/>
  <c r="K281" i="9"/>
  <c r="K273" i="9"/>
  <c r="K265" i="9"/>
  <c r="K257" i="9"/>
  <c r="K249" i="9"/>
  <c r="K241" i="9"/>
  <c r="K233" i="9"/>
  <c r="K225" i="9"/>
  <c r="K217" i="9"/>
  <c r="K209" i="9"/>
  <c r="K201" i="9"/>
  <c r="K193" i="9"/>
  <c r="K185" i="9"/>
  <c r="K177" i="9"/>
  <c r="K169" i="9"/>
  <c r="K161" i="9"/>
  <c r="K153" i="9"/>
  <c r="K145" i="9"/>
  <c r="K137" i="9"/>
  <c r="K129" i="9"/>
  <c r="K941" i="9"/>
  <c r="K877" i="9"/>
  <c r="K813" i="9"/>
  <c r="K715" i="9"/>
  <c r="K657" i="9"/>
  <c r="K645" i="9"/>
  <c r="K587" i="9"/>
  <c r="K529" i="9"/>
  <c r="K517" i="9"/>
  <c r="K390" i="9"/>
  <c r="K381" i="9"/>
  <c r="K372" i="9"/>
  <c r="K363" i="9"/>
  <c r="K979" i="9"/>
  <c r="K915" i="9"/>
  <c r="K851" i="9"/>
  <c r="K787" i="9"/>
  <c r="K749" i="9"/>
  <c r="K691" i="9"/>
  <c r="K633" i="9"/>
  <c r="K621" i="9"/>
  <c r="K563" i="9"/>
  <c r="K505" i="9"/>
  <c r="K493" i="9"/>
  <c r="K460" i="9"/>
  <c r="K428" i="9"/>
  <c r="K408" i="9"/>
  <c r="K965" i="9"/>
  <c r="K901" i="9"/>
  <c r="K837" i="9"/>
  <c r="K773" i="9"/>
  <c r="K737" i="9"/>
  <c r="K725" i="9"/>
  <c r="K667" i="9"/>
  <c r="K609" i="9"/>
  <c r="K597" i="9"/>
  <c r="K539" i="9"/>
  <c r="K481" i="9"/>
  <c r="K449" i="9"/>
  <c r="K417" i="9"/>
  <c r="K398" i="9"/>
  <c r="K389" i="9"/>
  <c r="K380" i="9"/>
  <c r="K371" i="9"/>
  <c r="K939" i="9"/>
  <c r="K875" i="9"/>
  <c r="K811" i="9"/>
  <c r="K713" i="9"/>
  <c r="K701" i="9"/>
  <c r="K643" i="9"/>
  <c r="K585" i="9"/>
  <c r="K573" i="9"/>
  <c r="K515" i="9"/>
  <c r="K469" i="9"/>
  <c r="K459" i="9"/>
  <c r="K437" i="9"/>
  <c r="K427" i="9"/>
  <c r="K361" i="9"/>
  <c r="K352" i="9"/>
  <c r="K343" i="9"/>
  <c r="K335" i="9"/>
  <c r="K327" i="9"/>
  <c r="K319" i="9"/>
  <c r="K311" i="9"/>
  <c r="K303" i="9"/>
  <c r="K295" i="9"/>
  <c r="K287" i="9"/>
  <c r="K279" i="9"/>
  <c r="K271" i="9"/>
  <c r="K263" i="9"/>
  <c r="K255" i="9"/>
  <c r="K247" i="9"/>
  <c r="K239" i="9"/>
  <c r="K231" i="9"/>
  <c r="K223" i="9"/>
  <c r="K215" i="9"/>
  <c r="K226" i="9"/>
  <c r="K238" i="9"/>
  <c r="K296" i="9"/>
  <c r="K747" i="9"/>
  <c r="K83" i="9"/>
  <c r="K151" i="9"/>
  <c r="K183" i="9"/>
  <c r="K250" i="9"/>
  <c r="K262" i="9"/>
  <c r="K320" i="9"/>
  <c r="K549" i="9"/>
  <c r="K595" i="9"/>
  <c r="K130" i="9"/>
  <c r="K162" i="9"/>
  <c r="K194" i="9"/>
  <c r="K216" i="9"/>
  <c r="K274" i="9"/>
  <c r="K286" i="9"/>
  <c r="K344" i="9"/>
  <c r="K4" i="9"/>
  <c r="K62" i="9"/>
  <c r="K142" i="9"/>
  <c r="K152" i="9"/>
  <c r="K174" i="9"/>
  <c r="K184" i="9"/>
  <c r="K206" i="9"/>
  <c r="K240" i="9"/>
  <c r="K298" i="9"/>
  <c r="K310" i="9"/>
  <c r="K388" i="9"/>
  <c r="K401" i="9"/>
  <c r="K491" i="9"/>
  <c r="B84" i="9"/>
  <c r="K264" i="9"/>
  <c r="K322" i="9"/>
  <c r="K334" i="9"/>
  <c r="K360" i="9"/>
  <c r="K537" i="9"/>
  <c r="K689" i="9"/>
  <c r="K797" i="9"/>
  <c r="K2" i="9"/>
  <c r="B63" i="9"/>
  <c r="K143" i="9"/>
  <c r="K175" i="9"/>
  <c r="K207" i="9"/>
  <c r="K218" i="9"/>
  <c r="K230" i="9"/>
  <c r="K288" i="9"/>
  <c r="K122" i="9"/>
  <c r="K154" i="9"/>
  <c r="K186" i="9"/>
  <c r="K242" i="9"/>
  <c r="K254" i="9"/>
  <c r="K312" i="9"/>
  <c r="K525" i="9"/>
  <c r="K861" i="9"/>
  <c r="K42" i="9"/>
  <c r="K134" i="9"/>
  <c r="K144" i="9"/>
  <c r="K166" i="9"/>
  <c r="K176" i="9"/>
  <c r="K198" i="9"/>
  <c r="K208" i="9"/>
  <c r="K266" i="9"/>
  <c r="K278" i="9"/>
  <c r="K336" i="9"/>
  <c r="K677" i="9"/>
  <c r="K723" i="9"/>
  <c r="K232" i="9"/>
  <c r="K290" i="9"/>
  <c r="K302" i="9"/>
  <c r="K392" i="9"/>
  <c r="K420" i="9"/>
  <c r="K925" i="9"/>
  <c r="B43" i="9"/>
  <c r="K135" i="9"/>
  <c r="K167" i="9"/>
  <c r="K199" i="9"/>
  <c r="K256" i="9"/>
  <c r="K314" i="9"/>
  <c r="K326" i="9"/>
  <c r="K379" i="9"/>
  <c r="K406" i="9"/>
  <c r="K436" i="9"/>
  <c r="K771" i="9"/>
  <c r="K146" i="9"/>
  <c r="K178" i="9"/>
  <c r="K210" i="9"/>
  <c r="K222" i="9"/>
  <c r="K280" i="9"/>
  <c r="K338" i="9"/>
  <c r="K452" i="9"/>
  <c r="K619" i="9"/>
  <c r="K665" i="9"/>
  <c r="K989" i="9"/>
  <c r="K22" i="9"/>
  <c r="K102" i="9"/>
  <c r="K126" i="9"/>
  <c r="K136" i="9"/>
  <c r="K158" i="9"/>
  <c r="K168" i="9"/>
  <c r="K190" i="9"/>
  <c r="K200" i="9"/>
  <c r="K234" i="9"/>
  <c r="K246" i="9"/>
  <c r="K304" i="9"/>
  <c r="K468" i="9"/>
  <c r="K835" i="9"/>
  <c r="K258" i="9"/>
  <c r="K270" i="9"/>
  <c r="K328" i="9"/>
  <c r="K353" i="9"/>
  <c r="K3" i="9"/>
  <c r="B23" i="9"/>
  <c r="B103" i="9"/>
  <c r="K127" i="9"/>
  <c r="K159" i="9"/>
  <c r="K191" i="9"/>
  <c r="K224" i="9"/>
  <c r="K282" i="9"/>
  <c r="K294" i="9"/>
  <c r="K531" i="9"/>
  <c r="K653" i="9"/>
  <c r="K899" i="9"/>
  <c r="K138" i="9"/>
  <c r="K170" i="9"/>
  <c r="K202" i="9"/>
  <c r="K248" i="9"/>
  <c r="K306" i="9"/>
  <c r="K318" i="9"/>
  <c r="K369" i="9"/>
  <c r="K397" i="9"/>
  <c r="K561" i="9"/>
  <c r="K6" i="9" l="1"/>
  <c r="B7" i="9"/>
  <c r="A44" i="9"/>
  <c r="L43" i="9"/>
  <c r="K103" i="9"/>
  <c r="B104" i="9"/>
  <c r="A23" i="9"/>
  <c r="L22" i="9"/>
  <c r="B85" i="9"/>
  <c r="K84" i="9"/>
  <c r="A3" i="9"/>
  <c r="L2" i="9"/>
  <c r="A83" i="9"/>
  <c r="L82" i="9"/>
  <c r="A103" i="9"/>
  <c r="L102" i="9"/>
  <c r="K23" i="9"/>
  <c r="B24" i="9"/>
  <c r="A63" i="9"/>
  <c r="L62" i="9"/>
  <c r="K43" i="9"/>
  <c r="B44" i="9"/>
  <c r="K63" i="9"/>
  <c r="B64" i="9"/>
  <c r="K7" i="9" l="1"/>
  <c r="B8" i="9"/>
  <c r="L103" i="9"/>
  <c r="A104" i="9"/>
  <c r="A84" i="9"/>
  <c r="L83" i="9"/>
  <c r="L3" i="9"/>
  <c r="A4" i="9"/>
  <c r="K85" i="9"/>
  <c r="B86" i="9"/>
  <c r="L23" i="9"/>
  <c r="A24" i="9"/>
  <c r="B65" i="9"/>
  <c r="K64" i="9"/>
  <c r="K44" i="9"/>
  <c r="B45" i="9"/>
  <c r="B105" i="9"/>
  <c r="K104" i="9"/>
  <c r="B25" i="9"/>
  <c r="K24" i="9"/>
  <c r="A64" i="9"/>
  <c r="L63" i="9"/>
  <c r="L44" i="9"/>
  <c r="A45" i="9"/>
  <c r="K65" i="9" l="1"/>
  <c r="B66" i="9"/>
  <c r="A25" i="9"/>
  <c r="L24" i="9"/>
  <c r="K86" i="9"/>
  <c r="B87" i="9"/>
  <c r="A46" i="9"/>
  <c r="L45" i="9"/>
  <c r="A5" i="9"/>
  <c r="L4" i="9"/>
  <c r="K105" i="9"/>
  <c r="B106" i="9"/>
  <c r="K45" i="9"/>
  <c r="B46" i="9"/>
  <c r="A65" i="9"/>
  <c r="L64" i="9"/>
  <c r="A85" i="9"/>
  <c r="L84" i="9"/>
  <c r="A105" i="9"/>
  <c r="L104" i="9"/>
  <c r="K25" i="9"/>
  <c r="B26" i="9"/>
  <c r="B9" i="9"/>
  <c r="K8" i="9"/>
  <c r="K46" i="9" l="1"/>
  <c r="B47" i="9"/>
  <c r="A66" i="9"/>
  <c r="L65" i="9"/>
  <c r="K106" i="9"/>
  <c r="B107" i="9"/>
  <c r="A47" i="9"/>
  <c r="L46" i="9"/>
  <c r="K87" i="9"/>
  <c r="B88" i="9"/>
  <c r="A106" i="9"/>
  <c r="L105" i="9"/>
  <c r="A26" i="9"/>
  <c r="L25" i="9"/>
  <c r="L5" i="9"/>
  <c r="A6" i="9"/>
  <c r="K9" i="9"/>
  <c r="B10" i="9"/>
  <c r="K26" i="9"/>
  <c r="B27" i="9"/>
  <c r="K66" i="9"/>
  <c r="B67" i="9"/>
  <c r="A86" i="9"/>
  <c r="L85" i="9"/>
  <c r="A7" i="9" l="1"/>
  <c r="L6" i="9"/>
  <c r="A27" i="9"/>
  <c r="L26" i="9"/>
  <c r="A67" i="9"/>
  <c r="L66" i="9"/>
  <c r="A87" i="9"/>
  <c r="L86" i="9"/>
  <c r="K67" i="9"/>
  <c r="B68" i="9"/>
  <c r="K10" i="9"/>
  <c r="B11" i="9"/>
  <c r="K47" i="9"/>
  <c r="B48" i="9"/>
  <c r="A107" i="9"/>
  <c r="L106" i="9"/>
  <c r="B89" i="9"/>
  <c r="K88" i="9"/>
  <c r="A48" i="9"/>
  <c r="L47" i="9"/>
  <c r="K107" i="9"/>
  <c r="B108" i="9"/>
  <c r="K27" i="9"/>
  <c r="B28" i="9"/>
  <c r="B49" i="9" l="1"/>
  <c r="K48" i="9"/>
  <c r="B69" i="9"/>
  <c r="K68" i="9"/>
  <c r="L87" i="9"/>
  <c r="A88" i="9"/>
  <c r="A68" i="9"/>
  <c r="L67" i="9"/>
  <c r="A108" i="9"/>
  <c r="L107" i="9"/>
  <c r="K11" i="9"/>
  <c r="B12" i="9"/>
  <c r="A28" i="9"/>
  <c r="L27" i="9"/>
  <c r="K28" i="9"/>
  <c r="B29" i="9"/>
  <c r="K108" i="9"/>
  <c r="B109" i="9"/>
  <c r="A49" i="9"/>
  <c r="L48" i="9"/>
  <c r="K89" i="9"/>
  <c r="B90" i="9"/>
  <c r="L7" i="9"/>
  <c r="A8" i="9"/>
  <c r="A9" i="9" l="1"/>
  <c r="L8" i="9"/>
  <c r="L28" i="9"/>
  <c r="A29" i="9"/>
  <c r="K12" i="9"/>
  <c r="B13" i="9"/>
  <c r="K69" i="9"/>
  <c r="B70" i="9"/>
  <c r="K29" i="9"/>
  <c r="B30" i="9"/>
  <c r="A69" i="9"/>
  <c r="L68" i="9"/>
  <c r="K90" i="9"/>
  <c r="B91" i="9"/>
  <c r="A89" i="9"/>
  <c r="L88" i="9"/>
  <c r="L108" i="9"/>
  <c r="A109" i="9"/>
  <c r="A50" i="9"/>
  <c r="L49" i="9"/>
  <c r="K109" i="9"/>
  <c r="B110" i="9"/>
  <c r="K49" i="9"/>
  <c r="B50" i="9"/>
  <c r="K50" i="9" l="1"/>
  <c r="B51" i="9"/>
  <c r="A30" i="9"/>
  <c r="L29" i="9"/>
  <c r="A90" i="9"/>
  <c r="L89" i="9"/>
  <c r="K91" i="9"/>
  <c r="B92" i="9"/>
  <c r="A70" i="9"/>
  <c r="L69" i="9"/>
  <c r="A51" i="9"/>
  <c r="L50" i="9"/>
  <c r="K30" i="9"/>
  <c r="B31" i="9"/>
  <c r="K70" i="9"/>
  <c r="B71" i="9"/>
  <c r="K110" i="9"/>
  <c r="B111" i="9"/>
  <c r="K13" i="9"/>
  <c r="B14" i="9"/>
  <c r="A110" i="9"/>
  <c r="L109" i="9"/>
  <c r="A10" i="9"/>
  <c r="L9" i="9"/>
  <c r="K51" i="9" l="1"/>
  <c r="B52" i="9"/>
  <c r="K71" i="9"/>
  <c r="B72" i="9"/>
  <c r="K31" i="9"/>
  <c r="B32" i="9"/>
  <c r="A52" i="9"/>
  <c r="L51" i="9"/>
  <c r="K92" i="9"/>
  <c r="B93" i="9"/>
  <c r="A71" i="9"/>
  <c r="L70" i="9"/>
  <c r="A11" i="9"/>
  <c r="L10" i="9"/>
  <c r="A111" i="9"/>
  <c r="L110" i="9"/>
  <c r="A91" i="9"/>
  <c r="L90" i="9"/>
  <c r="K14" i="9"/>
  <c r="B15" i="9"/>
  <c r="A31" i="9"/>
  <c r="L30" i="9"/>
  <c r="K111" i="9"/>
  <c r="B112" i="9"/>
  <c r="A12" i="9" l="1"/>
  <c r="L11" i="9"/>
  <c r="B113" i="9"/>
  <c r="K112" i="9"/>
  <c r="A112" i="9"/>
  <c r="L111" i="9"/>
  <c r="K93" i="9"/>
  <c r="B94" i="9"/>
  <c r="A92" i="9"/>
  <c r="L91" i="9"/>
  <c r="B33" i="9"/>
  <c r="K32" i="9"/>
  <c r="A32" i="9"/>
  <c r="L31" i="9"/>
  <c r="K15" i="9"/>
  <c r="B16" i="9"/>
  <c r="B73" i="9"/>
  <c r="K72" i="9"/>
  <c r="L71" i="9"/>
  <c r="A72" i="9"/>
  <c r="A53" i="9"/>
  <c r="L52" i="9"/>
  <c r="B53" i="9"/>
  <c r="K52" i="9"/>
  <c r="B17" i="9" l="1"/>
  <c r="K16" i="9"/>
  <c r="K33" i="9"/>
  <c r="B34" i="9"/>
  <c r="A54" i="9"/>
  <c r="L53" i="9"/>
  <c r="A113" i="9"/>
  <c r="L112" i="9"/>
  <c r="K73" i="9"/>
  <c r="B74" i="9"/>
  <c r="L92" i="9"/>
  <c r="A93" i="9"/>
  <c r="K53" i="9"/>
  <c r="B54" i="9"/>
  <c r="A33" i="9"/>
  <c r="L32" i="9"/>
  <c r="K94" i="9"/>
  <c r="B95" i="9"/>
  <c r="K113" i="9"/>
  <c r="B114" i="9"/>
  <c r="A73" i="9"/>
  <c r="L72" i="9"/>
  <c r="L12" i="9"/>
  <c r="A13" i="9"/>
  <c r="A34" i="9" l="1"/>
  <c r="L33" i="9"/>
  <c r="A94" i="9"/>
  <c r="L93" i="9"/>
  <c r="K74" i="9"/>
  <c r="B75" i="9"/>
  <c r="K54" i="9"/>
  <c r="B55" i="9"/>
  <c r="A14" i="9"/>
  <c r="L13" i="9"/>
  <c r="A55" i="9"/>
  <c r="L54" i="9"/>
  <c r="A114" i="9"/>
  <c r="L113" i="9"/>
  <c r="A74" i="9"/>
  <c r="L73" i="9"/>
  <c r="K34" i="9"/>
  <c r="B35" i="9"/>
  <c r="K114" i="9"/>
  <c r="B115" i="9"/>
  <c r="K95" i="9"/>
  <c r="B96" i="9"/>
  <c r="K17" i="9"/>
  <c r="B18" i="9"/>
  <c r="A35" i="9" l="1"/>
  <c r="L34" i="9"/>
  <c r="A75" i="9"/>
  <c r="L74" i="9"/>
  <c r="K55" i="9"/>
  <c r="B56" i="9"/>
  <c r="K18" i="9"/>
  <c r="B19" i="9"/>
  <c r="K75" i="9"/>
  <c r="B76" i="9"/>
  <c r="L55" i="9"/>
  <c r="A56" i="9"/>
  <c r="K115" i="9"/>
  <c r="B116" i="9"/>
  <c r="A95" i="9"/>
  <c r="L94" i="9"/>
  <c r="A115" i="9"/>
  <c r="L114" i="9"/>
  <c r="A15" i="9"/>
  <c r="L14" i="9"/>
  <c r="B97" i="9"/>
  <c r="K96" i="9"/>
  <c r="K35" i="9"/>
  <c r="B36" i="9"/>
  <c r="A57" i="9" l="1"/>
  <c r="L56" i="9"/>
  <c r="K19" i="9"/>
  <c r="B20" i="9"/>
  <c r="A36" i="9"/>
  <c r="L35" i="9"/>
  <c r="K76" i="9"/>
  <c r="B77" i="9"/>
  <c r="B117" i="9"/>
  <c r="K116" i="9"/>
  <c r="B57" i="9"/>
  <c r="K56" i="9"/>
  <c r="A116" i="9"/>
  <c r="L115" i="9"/>
  <c r="B37" i="9"/>
  <c r="K36" i="9"/>
  <c r="K97" i="9"/>
  <c r="B98" i="9"/>
  <c r="A96" i="9"/>
  <c r="L95" i="9"/>
  <c r="A16" i="9"/>
  <c r="L15" i="9"/>
  <c r="A76" i="9"/>
  <c r="L75" i="9"/>
  <c r="A117" i="9" l="1"/>
  <c r="L116" i="9"/>
  <c r="K57" i="9"/>
  <c r="B58" i="9"/>
  <c r="K117" i="9"/>
  <c r="B118" i="9"/>
  <c r="L76" i="9"/>
  <c r="A77" i="9"/>
  <c r="A17" i="9"/>
  <c r="L16" i="9"/>
  <c r="A37" i="9"/>
  <c r="L36" i="9"/>
  <c r="B21" i="9"/>
  <c r="K21" i="9" s="1"/>
  <c r="K20" i="9"/>
  <c r="A58" i="9"/>
  <c r="L57" i="9"/>
  <c r="K37" i="9"/>
  <c r="B38" i="9"/>
  <c r="A97" i="9"/>
  <c r="L96" i="9"/>
  <c r="K77" i="9"/>
  <c r="B78" i="9"/>
  <c r="K98" i="9"/>
  <c r="B99" i="9"/>
  <c r="A59" i="9" l="1"/>
  <c r="L58" i="9"/>
  <c r="A38" i="9"/>
  <c r="L37" i="9"/>
  <c r="K58" i="9"/>
  <c r="B59" i="9"/>
  <c r="A98" i="9"/>
  <c r="L97" i="9"/>
  <c r="A18" i="9"/>
  <c r="L17" i="9"/>
  <c r="K99" i="9"/>
  <c r="B100" i="9"/>
  <c r="A78" i="9"/>
  <c r="L77" i="9"/>
  <c r="K78" i="9"/>
  <c r="B79" i="9"/>
  <c r="K38" i="9"/>
  <c r="B39" i="9"/>
  <c r="K118" i="9"/>
  <c r="B119" i="9"/>
  <c r="A118" i="9"/>
  <c r="L117" i="9"/>
  <c r="B101" i="9" l="1"/>
  <c r="K101" i="9" s="1"/>
  <c r="K100" i="9"/>
  <c r="A99" i="9"/>
  <c r="L98" i="9"/>
  <c r="A60" i="9"/>
  <c r="L59" i="9"/>
  <c r="K79" i="9"/>
  <c r="B80" i="9"/>
  <c r="K59" i="9"/>
  <c r="B60" i="9"/>
  <c r="A119" i="9"/>
  <c r="L118" i="9"/>
  <c r="K119" i="9"/>
  <c r="B120" i="9"/>
  <c r="A39" i="9"/>
  <c r="L38" i="9"/>
  <c r="A79" i="9"/>
  <c r="L78" i="9"/>
  <c r="A19" i="9"/>
  <c r="L18" i="9"/>
  <c r="K39" i="9"/>
  <c r="B40" i="9"/>
  <c r="B81" i="9" l="1"/>
  <c r="K81" i="9" s="1"/>
  <c r="K80" i="9"/>
  <c r="L39" i="9"/>
  <c r="A40" i="9"/>
  <c r="A80" i="9"/>
  <c r="L79" i="9"/>
  <c r="B121" i="9"/>
  <c r="K121" i="9" s="1"/>
  <c r="K120" i="9"/>
  <c r="K60" i="9"/>
  <c r="B61" i="9"/>
  <c r="K61" i="9" s="1"/>
  <c r="B41" i="9"/>
  <c r="K41" i="9" s="1"/>
  <c r="K40" i="9"/>
  <c r="L60" i="9"/>
  <c r="A61" i="9"/>
  <c r="L61" i="9" s="1"/>
  <c r="L119" i="9"/>
  <c r="A120" i="9"/>
  <c r="A20" i="9"/>
  <c r="L19" i="9"/>
  <c r="A100" i="9"/>
  <c r="L99" i="9"/>
  <c r="A21" i="9" l="1"/>
  <c r="L21" i="9" s="1"/>
  <c r="L20" i="9"/>
  <c r="A121" i="9"/>
  <c r="L121" i="9" s="1"/>
  <c r="L120" i="9"/>
  <c r="A81" i="9"/>
  <c r="L81" i="9" s="1"/>
  <c r="L80" i="9"/>
  <c r="A41" i="9"/>
  <c r="L41" i="9" s="1"/>
  <c r="L40" i="9"/>
  <c r="A101" i="9"/>
  <c r="L101" i="9" s="1"/>
  <c r="L10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Paul Bassan:
This is not yet a concept in our hx model, so ignore this column</t>
        </r>
      </text>
    </comment>
    <comment ref="G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These are derived from the Parameters page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Khaleel Daley</author>
  </authors>
  <commentList>
    <comment ref="K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Khaleel Daley:
Indicator used in Hx to determine which rows should be loaded as historic data on the projections page.
</t>
        </r>
      </text>
    </comment>
    <comment ref="L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Khaleel Daley:
Indicator used in Hx to determine which rows should be loaded as historic data on the projections page.</t>
        </r>
      </text>
    </comment>
    <comment ref="R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Khaleel Daley:
When deleting data on this tab avoid deleting entire rows as there are hidden columns used by Hx. 
Instead Select the data points in Columns A:H you wish to delete.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Paul Bassan:
This is not yet a concept in our hx model, so ignore this column</t>
        </r>
      </text>
    </comment>
    <comment ref="G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These are derived from the Parameters page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Khaleel Daley</author>
    <author>Jianhua Siew</author>
  </authors>
  <commentList>
    <comment ref="K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Khaleel Daley:
Indicator used in Hx to determine which rows should be loaded as historic data on the projections page.
</t>
        </r>
      </text>
    </comment>
    <comment ref="L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Khaleel Daley:
Indicator used in Hx to determine which rows should be loaded as historic data on the projections page.</t>
        </r>
      </text>
    </comment>
    <comment ref="C2" authorId="1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Jianhua Siew:
auto populated in hx from the triangles if data is not provided</t>
        </r>
      </text>
    </comment>
    <comment ref="R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Khaleel Daley:
When deleting data on this tab avoid deleting entire rows as there are hidden columns used by Hx. 
Instead Select the data points in Columns A:H you wish to delete.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Paul Bassan:
This is not yet a concept in our hx model, so ignore this column</t>
        </r>
      </text>
    </comment>
    <comment ref="G2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These are derived from the Parameters page</t>
        </r>
      </text>
    </comment>
  </commentList>
</comments>
</file>

<file path=xl/sharedStrings.xml><?xml version="1.0" encoding="utf-8"?>
<sst xmlns="http://schemas.openxmlformats.org/spreadsheetml/2006/main" count="7847" uniqueCount="823">
  <si>
    <t>Triangle Shape Parameters</t>
  </si>
  <si>
    <t>guide</t>
  </si>
  <si>
    <t>Checks</t>
  </si>
  <si>
    <t>Triangle start (t=0) date</t>
  </si>
  <si>
    <t>YYYY-MM-DD</t>
  </si>
  <si>
    <t>Mandatory</t>
  </si>
  <si>
    <t>Month of first development</t>
  </si>
  <si>
    <t>first month in triangle</t>
  </si>
  <si>
    <t>Optional</t>
  </si>
  <si>
    <t>Development period increments (months)</t>
  </si>
  <si>
    <t>triangle increments (column)</t>
  </si>
  <si>
    <t>Origin period increments (months)</t>
  </si>
  <si>
    <t>triangle increments (row)</t>
  </si>
  <si>
    <t>Month of final development</t>
  </si>
  <si>
    <t>Latest month in the largest triangle</t>
  </si>
  <si>
    <t>Inception Date</t>
  </si>
  <si>
    <t>Expiry Date</t>
  </si>
  <si>
    <t>Triangular data list (LOB/Class)</t>
  </si>
  <si>
    <t>Cedant Business Segment Names (Optional)</t>
  </si>
  <si>
    <t>#</t>
  </si>
  <si>
    <t>Triangle Name</t>
  </si>
  <si>
    <t>Proportional/Non-proportional</t>
  </si>
  <si>
    <t>Start Year</t>
  </si>
  <si>
    <t>End Year</t>
  </si>
  <si>
    <t>Region</t>
  </si>
  <si>
    <t>Country</t>
  </si>
  <si>
    <t>Re/Ins/Retro</t>
  </si>
  <si>
    <t>LT LOB 1 (Dropdown List)</t>
  </si>
  <si>
    <t>LT LOB 1 Allocation</t>
  </si>
  <si>
    <t>LT LOB 2 (Dropdown List)</t>
  </si>
  <si>
    <t>LT LOB 2 Allocation</t>
  </si>
  <si>
    <t>LT LOB 3 (Dropdown List)</t>
  </si>
  <si>
    <t>LT LOB 3 Allocation</t>
  </si>
  <si>
    <t>LT LOB 4 (Dropdown List)</t>
  </si>
  <si>
    <t>LT LOB 4 Allocation</t>
  </si>
  <si>
    <t>LT LOB 5 (Dropdown List)</t>
  </si>
  <si>
    <t>LT LOB 5 Allocation</t>
  </si>
  <si>
    <t>Allocation Check</t>
  </si>
  <si>
    <t>Currency</t>
  </si>
  <si>
    <t>Currency Rate</t>
  </si>
  <si>
    <t>Segment 1</t>
  </si>
  <si>
    <t>Segment 2</t>
  </si>
  <si>
    <t>Segment 3</t>
  </si>
  <si>
    <t>Segment 4</t>
  </si>
  <si>
    <t>Segment 5</t>
  </si>
  <si>
    <t>Premium Triangle Source</t>
  </si>
  <si>
    <t>Incurred Triangle Source</t>
  </si>
  <si>
    <t>Paid Triangle Source</t>
  </si>
  <si>
    <t>Ultimate Triangle Source</t>
  </si>
  <si>
    <t>Umbrella Ex C V Starr</t>
  </si>
  <si>
    <t>Proportional</t>
  </si>
  <si>
    <t>North America</t>
  </si>
  <si>
    <t>Casualty</t>
  </si>
  <si>
    <t>Cedant provided</t>
  </si>
  <si>
    <t>General Liability ex ARL</t>
  </si>
  <si>
    <t>Risk Management</t>
  </si>
  <si>
    <t>Auto Liability</t>
  </si>
  <si>
    <t>EverSports</t>
  </si>
  <si>
    <t>California Workers Compensation</t>
  </si>
  <si>
    <t>Management Liability Excess</t>
  </si>
  <si>
    <t>Non Proportional</t>
  </si>
  <si>
    <t>Management Liability Primary</t>
  </si>
  <si>
    <t>Canada Casualty</t>
  </si>
  <si>
    <t>Countrywide Workers Compensation</t>
  </si>
  <si>
    <t>General Liability ARL</t>
  </si>
  <si>
    <t>Define aggregation/grouping of triangles for projection</t>
  </si>
  <si>
    <t>Description (free text)</t>
  </si>
  <si>
    <t>Triangle 1</t>
  </si>
  <si>
    <t>Triangle 2</t>
  </si>
  <si>
    <t>Development months</t>
  </si>
  <si>
    <t>LOB (dropdown)</t>
  </si>
  <si>
    <t>Type (Incurred / Paid …)</t>
  </si>
  <si>
    <t>Loss type</t>
  </si>
  <si>
    <t>Basis (Accident Year / UW Year)</t>
  </si>
  <si>
    <t>Currency (e.g. USD, GBP …)</t>
  </si>
  <si>
    <t>Origin Year</t>
  </si>
  <si>
    <t>Net Written Premium</t>
  </si>
  <si>
    <t>All</t>
  </si>
  <si>
    <t>USD</t>
  </si>
  <si>
    <t>Incurred</t>
  </si>
  <si>
    <t>Paid</t>
  </si>
  <si>
    <t>Longtail Reference</t>
  </si>
  <si>
    <t>UW Year</t>
  </si>
  <si>
    <t xml:space="preserve"> Ultimate GG Prem ($M) </t>
  </si>
  <si>
    <t xml:space="preserve"> Latest GG Prem 
($M) </t>
  </si>
  <si>
    <t xml:space="preserve"> Latest GN Prem 
($M) </t>
  </si>
  <si>
    <t>Acq Cost</t>
  </si>
  <si>
    <t>Cedant Provided Ultimate Loss Ratio</t>
  </si>
  <si>
    <t>Cedant Provided CoV</t>
  </si>
  <si>
    <t>Rate Change</t>
  </si>
  <si>
    <t>Inflation</t>
  </si>
  <si>
    <t>Historic Year Check</t>
  </si>
  <si>
    <t>Current Year Check</t>
  </si>
  <si>
    <t>Min Origin Year:</t>
  </si>
  <si>
    <t>Max Origin Year:</t>
  </si>
  <si>
    <t>template_version</t>
  </si>
  <si>
    <t>Professional Lines</t>
  </si>
  <si>
    <t>Mixed</t>
  </si>
  <si>
    <t>Worldwide</t>
  </si>
  <si>
    <t>Multi-country</t>
  </si>
  <si>
    <t>Retrocession</t>
  </si>
  <si>
    <t>Professional Liability</t>
  </si>
  <si>
    <t>Liability</t>
  </si>
  <si>
    <t>Credit &amp; Surety</t>
  </si>
  <si>
    <t>Fidelity &amp; Surety</t>
  </si>
  <si>
    <t>Motor NP</t>
  </si>
  <si>
    <t>Worldwide ex US</t>
  </si>
  <si>
    <t>Motor</t>
  </si>
  <si>
    <t>Motor PR</t>
  </si>
  <si>
    <t>Cyber</t>
  </si>
  <si>
    <t>&lt;in millions&gt;</t>
  </si>
  <si>
    <t>&lt;drag down above formula&gt;</t>
  </si>
  <si>
    <t>Source</t>
  </si>
  <si>
    <t>Comment</t>
  </si>
  <si>
    <t>Development Month (the months here are user selectable)</t>
  </si>
  <si>
    <t>Executive Risk - M&amp;A</t>
  </si>
  <si>
    <t xml:space="preserve">Cedent pattern from as at </t>
  </si>
  <si>
    <t>Benchmark data</t>
  </si>
  <si>
    <t>Benchmark from whatever</t>
  </si>
  <si>
    <t>Premium Currency</t>
  </si>
  <si>
    <t>Gross Gross Premium</t>
  </si>
  <si>
    <t>Gross Net Premium</t>
  </si>
  <si>
    <t>Net Gross Premium</t>
  </si>
  <si>
    <t>Net Net Premium</t>
  </si>
  <si>
    <t>Estimated RI Cost (in addition to this deal)</t>
  </si>
  <si>
    <t>Loss Ratio type</t>
  </si>
  <si>
    <t>Loss Ratio (%)</t>
  </si>
  <si>
    <t>Rate Change (%) (from prior to this year)</t>
  </si>
  <si>
    <t>Claims inflatio (from prior to this year) (%)</t>
  </si>
  <si>
    <t>Acquisition Costs basis</t>
  </si>
  <si>
    <t>Acquisition Costs (exc internal expense ratio) (%)</t>
  </si>
  <si>
    <t>Internal expense basis</t>
  </si>
  <si>
    <t>Internal expense ratio (%)</t>
  </si>
  <si>
    <t>Cession to Longtail (%)</t>
  </si>
  <si>
    <t>D&amp;O</t>
  </si>
  <si>
    <t>Gross Gross</t>
  </si>
  <si>
    <t>LOBs</t>
  </si>
  <si>
    <t>Prop/Non-Prop</t>
  </si>
  <si>
    <t>LDF Source Options</t>
  </si>
  <si>
    <t>id</t>
  </si>
  <si>
    <t>name</t>
  </si>
  <si>
    <t>value</t>
  </si>
  <si>
    <t>UNSPECIFIED</t>
  </si>
  <si>
    <t>MULTI</t>
  </si>
  <si>
    <t>Insurance</t>
  </si>
  <si>
    <t>Derived from cedant data</t>
  </si>
  <si>
    <t>UNKNOWN</t>
  </si>
  <si>
    <t>Unknown</t>
  </si>
  <si>
    <t>Reinsurance</t>
  </si>
  <si>
    <t>EUR</t>
  </si>
  <si>
    <t>Credit</t>
  </si>
  <si>
    <t>US</t>
  </si>
  <si>
    <t>United States</t>
  </si>
  <si>
    <t>GBP</t>
  </si>
  <si>
    <t>CA</t>
  </si>
  <si>
    <t>Canada</t>
  </si>
  <si>
    <t>Europe</t>
  </si>
  <si>
    <t>AED</t>
  </si>
  <si>
    <t>Broker provided</t>
  </si>
  <si>
    <t>GB</t>
  </si>
  <si>
    <t>United Kingdom</t>
  </si>
  <si>
    <t>Asia/Pac</t>
  </si>
  <si>
    <t>AFN</t>
  </si>
  <si>
    <t>E&amp;O</t>
  </si>
  <si>
    <t>AF</t>
  </si>
  <si>
    <t>Afghanistan</t>
  </si>
  <si>
    <t>MEA</t>
  </si>
  <si>
    <t>ALL</t>
  </si>
  <si>
    <t>Environmental</t>
  </si>
  <si>
    <t>AL</t>
  </si>
  <si>
    <t>Albania</t>
  </si>
  <si>
    <t>AMD</t>
  </si>
  <si>
    <t>Excess Casualty</t>
  </si>
  <si>
    <t>DZ</t>
  </si>
  <si>
    <t>Algeria</t>
  </si>
  <si>
    <t>ANG</t>
  </si>
  <si>
    <t>AS</t>
  </si>
  <si>
    <t>American Samoa</t>
  </si>
  <si>
    <t>AOA</t>
  </si>
  <si>
    <t>Financial Institutions</t>
  </si>
  <si>
    <t>AD</t>
  </si>
  <si>
    <t>Andorra</t>
  </si>
  <si>
    <t>ARS</t>
  </si>
  <si>
    <t>General Liability</t>
  </si>
  <si>
    <t>AO</t>
  </si>
  <si>
    <t>Angola</t>
  </si>
  <si>
    <t>AUD</t>
  </si>
  <si>
    <t>Medical Malpractice</t>
  </si>
  <si>
    <t>AI</t>
  </si>
  <si>
    <t>Anguilla</t>
  </si>
  <si>
    <t>AWG</t>
  </si>
  <si>
    <t>AQ</t>
  </si>
  <si>
    <t>Antarctica</t>
  </si>
  <si>
    <t>AZN</t>
  </si>
  <si>
    <t>Multi Line</t>
  </si>
  <si>
    <t>AG</t>
  </si>
  <si>
    <t>Antigua and Barbuda</t>
  </si>
  <si>
    <t>BAM</t>
  </si>
  <si>
    <t>Others</t>
  </si>
  <si>
    <t>AR</t>
  </si>
  <si>
    <t>Argentina</t>
  </si>
  <si>
    <t>BBD</t>
  </si>
  <si>
    <t>Primary Casualty</t>
  </si>
  <si>
    <t>AM</t>
  </si>
  <si>
    <t>Armenia</t>
  </si>
  <si>
    <t>BDT</t>
  </si>
  <si>
    <t>Product Liability</t>
  </si>
  <si>
    <t>AW</t>
  </si>
  <si>
    <t>Aruba</t>
  </si>
  <si>
    <t>BGN</t>
  </si>
  <si>
    <t>AU</t>
  </si>
  <si>
    <t>Australia</t>
  </si>
  <si>
    <t>BHD</t>
  </si>
  <si>
    <t>Property</t>
  </si>
  <si>
    <t>AT</t>
  </si>
  <si>
    <t>Austria</t>
  </si>
  <si>
    <t>BIF</t>
  </si>
  <si>
    <t>Public Liability</t>
  </si>
  <si>
    <t>AZ</t>
  </si>
  <si>
    <t>Azerbaijan</t>
  </si>
  <si>
    <t>BMD</t>
  </si>
  <si>
    <t>Railroad</t>
  </si>
  <si>
    <t>BS</t>
  </si>
  <si>
    <t>Bahamas</t>
  </si>
  <si>
    <t>BND</t>
  </si>
  <si>
    <t>Umbrella</t>
  </si>
  <si>
    <t>BH</t>
  </si>
  <si>
    <t>Bahrain</t>
  </si>
  <si>
    <t>BOB</t>
  </si>
  <si>
    <t>Workers Compensation</t>
  </si>
  <si>
    <t>BD</t>
  </si>
  <si>
    <t>Bangladesh</t>
  </si>
  <si>
    <t>BOV</t>
  </si>
  <si>
    <t>BB</t>
  </si>
  <si>
    <t>Barbados</t>
  </si>
  <si>
    <t>BRL</t>
  </si>
  <si>
    <t>BY</t>
  </si>
  <si>
    <t>Belarus</t>
  </si>
  <si>
    <t>BSD</t>
  </si>
  <si>
    <t>BE</t>
  </si>
  <si>
    <t>Belgium</t>
  </si>
  <si>
    <t>BTN</t>
  </si>
  <si>
    <t>BZ</t>
  </si>
  <si>
    <t>Belize</t>
  </si>
  <si>
    <t>BWP</t>
  </si>
  <si>
    <t>BJ</t>
  </si>
  <si>
    <t>Benin</t>
  </si>
  <si>
    <t>BYR</t>
  </si>
  <si>
    <t>BM</t>
  </si>
  <si>
    <t>Bermuda</t>
  </si>
  <si>
    <t>BZD</t>
  </si>
  <si>
    <t>BT</t>
  </si>
  <si>
    <t>Bhutan</t>
  </si>
  <si>
    <t>CAD</t>
  </si>
  <si>
    <t>BO</t>
  </si>
  <si>
    <t>Bolivia</t>
  </si>
  <si>
    <t>CDF</t>
  </si>
  <si>
    <t>BA</t>
  </si>
  <si>
    <t>Bosnia and Herzegovina</t>
  </si>
  <si>
    <t>CHE</t>
  </si>
  <si>
    <t>BW</t>
  </si>
  <si>
    <t>Botswana</t>
  </si>
  <si>
    <t>CHF</t>
  </si>
  <si>
    <t>BV</t>
  </si>
  <si>
    <t>Bouvet Island</t>
  </si>
  <si>
    <t>CHW</t>
  </si>
  <si>
    <t>BR</t>
  </si>
  <si>
    <t>Brazil</t>
  </si>
  <si>
    <t>CLF</t>
  </si>
  <si>
    <t>IO</t>
  </si>
  <si>
    <t>British Indian Ocean Territory</t>
  </si>
  <si>
    <t>CLP</t>
  </si>
  <si>
    <t>VG</t>
  </si>
  <si>
    <t>British Virgin Islands</t>
  </si>
  <si>
    <t>CNY</t>
  </si>
  <si>
    <t>BN</t>
  </si>
  <si>
    <t>Brunei</t>
  </si>
  <si>
    <t>COP</t>
  </si>
  <si>
    <t>BG</t>
  </si>
  <si>
    <t>Bulgaria</t>
  </si>
  <si>
    <t>COU</t>
  </si>
  <si>
    <t>BF</t>
  </si>
  <si>
    <t>Burkina Faso</t>
  </si>
  <si>
    <t>CRC</t>
  </si>
  <si>
    <t>BI</t>
  </si>
  <si>
    <t>Burundi</t>
  </si>
  <si>
    <t>CUP</t>
  </si>
  <si>
    <t>KH</t>
  </si>
  <si>
    <t>Cambodia</t>
  </si>
  <si>
    <t>CVE</t>
  </si>
  <si>
    <t>CM</t>
  </si>
  <si>
    <t>Cameroon</t>
  </si>
  <si>
    <t>CYP</t>
  </si>
  <si>
    <t>CZK</t>
  </si>
  <si>
    <t>CV</t>
  </si>
  <si>
    <t>Cape Verde</t>
  </si>
  <si>
    <t>DJF</t>
  </si>
  <si>
    <t>KY</t>
  </si>
  <si>
    <t>Cayman Islands</t>
  </si>
  <si>
    <t>DKK</t>
  </si>
  <si>
    <t>CF</t>
  </si>
  <si>
    <t>Central African Republic</t>
  </si>
  <si>
    <t>DOP</t>
  </si>
  <si>
    <t>TD</t>
  </si>
  <si>
    <t>Chad</t>
  </si>
  <si>
    <t>DZD</t>
  </si>
  <si>
    <t>CL</t>
  </si>
  <si>
    <t>Chile</t>
  </si>
  <si>
    <t>EEK</t>
  </si>
  <si>
    <t>CN</t>
  </si>
  <si>
    <t>China</t>
  </si>
  <si>
    <t>EGP</t>
  </si>
  <si>
    <t>CX</t>
  </si>
  <si>
    <t>Christmas Island</t>
  </si>
  <si>
    <t>ERN</t>
  </si>
  <si>
    <t>CC</t>
  </si>
  <si>
    <t>Cocos [Keeling] Islands</t>
  </si>
  <si>
    <t>ETB</t>
  </si>
  <si>
    <t>CO</t>
  </si>
  <si>
    <t>Colombia</t>
  </si>
  <si>
    <t>KM</t>
  </si>
  <si>
    <t>Comoros</t>
  </si>
  <si>
    <t>FJD</t>
  </si>
  <si>
    <t>CD</t>
  </si>
  <si>
    <t>Congo [DRC]</t>
  </si>
  <si>
    <t>FKP</t>
  </si>
  <si>
    <t>CG</t>
  </si>
  <si>
    <t>Congo [Republic]</t>
  </si>
  <si>
    <t>CK</t>
  </si>
  <si>
    <t>Cook Islands</t>
  </si>
  <si>
    <t>GEL</t>
  </si>
  <si>
    <t>CR</t>
  </si>
  <si>
    <t>Costa Rica</t>
  </si>
  <si>
    <t>GHS</t>
  </si>
  <si>
    <t>CI</t>
  </si>
  <si>
    <t>Côte d'Ivoire</t>
  </si>
  <si>
    <t>GIP</t>
  </si>
  <si>
    <t>HR</t>
  </si>
  <si>
    <t>Croatia</t>
  </si>
  <si>
    <t>GMD</t>
  </si>
  <si>
    <t>CU</t>
  </si>
  <si>
    <t>Cuba</t>
  </si>
  <si>
    <t>GNF</t>
  </si>
  <si>
    <t>CY</t>
  </si>
  <si>
    <t>Cyprus</t>
  </si>
  <si>
    <t>GTQ</t>
  </si>
  <si>
    <t>CZ</t>
  </si>
  <si>
    <t>Czech Republic</t>
  </si>
  <si>
    <t>GYD</t>
  </si>
  <si>
    <t>DK</t>
  </si>
  <si>
    <t>Denmark</t>
  </si>
  <si>
    <t>HKD</t>
  </si>
  <si>
    <t>DJ</t>
  </si>
  <si>
    <t>Djibouti</t>
  </si>
  <si>
    <t>HNL</t>
  </si>
  <si>
    <t>DM</t>
  </si>
  <si>
    <t>Dominica</t>
  </si>
  <si>
    <t>HRK</t>
  </si>
  <si>
    <t>DO</t>
  </si>
  <si>
    <t>Dominican Republic</t>
  </si>
  <si>
    <t>HTG</t>
  </si>
  <si>
    <t>EC</t>
  </si>
  <si>
    <t>Ecuador</t>
  </si>
  <si>
    <t>HUF</t>
  </si>
  <si>
    <t>EG</t>
  </si>
  <si>
    <t>Egypt</t>
  </si>
  <si>
    <t>IDR</t>
  </si>
  <si>
    <t>SV</t>
  </si>
  <si>
    <t>El Salvador</t>
  </si>
  <si>
    <t>ILS</t>
  </si>
  <si>
    <t>GQ</t>
  </si>
  <si>
    <t>Equatorial Guinea</t>
  </si>
  <si>
    <t>INR</t>
  </si>
  <si>
    <t>ER</t>
  </si>
  <si>
    <t>Eritrea</t>
  </si>
  <si>
    <t>IQD</t>
  </si>
  <si>
    <t>EE</t>
  </si>
  <si>
    <t>Estonia</t>
  </si>
  <si>
    <t>IRR</t>
  </si>
  <si>
    <t>ET</t>
  </si>
  <si>
    <t>Ethiopia</t>
  </si>
  <si>
    <t>ISK</t>
  </si>
  <si>
    <t>FK</t>
  </si>
  <si>
    <t>Falkland Islands [Islas Malvinas]</t>
  </si>
  <si>
    <t>JMD</t>
  </si>
  <si>
    <t>FO</t>
  </si>
  <si>
    <t>Faroe Islands</t>
  </si>
  <si>
    <t>JOD</t>
  </si>
  <si>
    <t>FJ</t>
  </si>
  <si>
    <t>Fiji</t>
  </si>
  <si>
    <t>JPY</t>
  </si>
  <si>
    <t>FI</t>
  </si>
  <si>
    <t>Finland</t>
  </si>
  <si>
    <t>KES</t>
  </si>
  <si>
    <t>FR</t>
  </si>
  <si>
    <t>France</t>
  </si>
  <si>
    <t>KGS</t>
  </si>
  <si>
    <t>GF</t>
  </si>
  <si>
    <t>French Guiana</t>
  </si>
  <si>
    <t>KHR</t>
  </si>
  <si>
    <t>PF</t>
  </si>
  <si>
    <t>French Polynesia</t>
  </si>
  <si>
    <t>KMF</t>
  </si>
  <si>
    <t>TF</t>
  </si>
  <si>
    <t>French Southern Territories</t>
  </si>
  <si>
    <t>KPW</t>
  </si>
  <si>
    <t>GA</t>
  </si>
  <si>
    <t>Gabon</t>
  </si>
  <si>
    <t>KRW</t>
  </si>
  <si>
    <t>GM</t>
  </si>
  <si>
    <t>Gambia</t>
  </si>
  <si>
    <t>KWD</t>
  </si>
  <si>
    <t>GZ</t>
  </si>
  <si>
    <t>Gaza Strip</t>
  </si>
  <si>
    <t>KYD</t>
  </si>
  <si>
    <t>GE</t>
  </si>
  <si>
    <t>Georgia</t>
  </si>
  <si>
    <t>KZT</t>
  </si>
  <si>
    <t>DE</t>
  </si>
  <si>
    <t>Germany</t>
  </si>
  <si>
    <t>LAK</t>
  </si>
  <si>
    <t>GH</t>
  </si>
  <si>
    <t>Ghana</t>
  </si>
  <si>
    <t>LBP</t>
  </si>
  <si>
    <t>GI</t>
  </si>
  <si>
    <t>Gibraltar</t>
  </si>
  <si>
    <t>LKR</t>
  </si>
  <si>
    <t>GR</t>
  </si>
  <si>
    <t>Greece</t>
  </si>
  <si>
    <t>LRD</t>
  </si>
  <si>
    <t>GL</t>
  </si>
  <si>
    <t>Greenland</t>
  </si>
  <si>
    <t>LSL</t>
  </si>
  <si>
    <t>GD</t>
  </si>
  <si>
    <t>Grenada</t>
  </si>
  <si>
    <t>LTL</t>
  </si>
  <si>
    <t>GP</t>
  </si>
  <si>
    <t>Guadeloupe</t>
  </si>
  <si>
    <t>LVL</t>
  </si>
  <si>
    <t>GU</t>
  </si>
  <si>
    <t>Guam</t>
  </si>
  <si>
    <t>LYD</t>
  </si>
  <si>
    <t>GT</t>
  </si>
  <si>
    <t>Guatemala</t>
  </si>
  <si>
    <t>MAD</t>
  </si>
  <si>
    <t>GG</t>
  </si>
  <si>
    <t>Guernsey</t>
  </si>
  <si>
    <t>MDL</t>
  </si>
  <si>
    <t>GN</t>
  </si>
  <si>
    <t>Guinea</t>
  </si>
  <si>
    <t>MGA</t>
  </si>
  <si>
    <t>GW</t>
  </si>
  <si>
    <t>Guinea-Bissau</t>
  </si>
  <si>
    <t>MKD</t>
  </si>
  <si>
    <t>GY</t>
  </si>
  <si>
    <t>Guyana</t>
  </si>
  <si>
    <t>MMK</t>
  </si>
  <si>
    <t>HT</t>
  </si>
  <si>
    <t>Haiti</t>
  </si>
  <si>
    <t>MNT</t>
  </si>
  <si>
    <t>HM</t>
  </si>
  <si>
    <t>Heard Island and McDonald Islands</t>
  </si>
  <si>
    <t>MOP</t>
  </si>
  <si>
    <t>HN</t>
  </si>
  <si>
    <t>Honduras</t>
  </si>
  <si>
    <t>MRO</t>
  </si>
  <si>
    <t>HK</t>
  </si>
  <si>
    <t>Hong Kong</t>
  </si>
  <si>
    <t>MTL</t>
  </si>
  <si>
    <t>HU</t>
  </si>
  <si>
    <t>Hungary</t>
  </si>
  <si>
    <t>MUR</t>
  </si>
  <si>
    <t>IS</t>
  </si>
  <si>
    <t>Iceland</t>
  </si>
  <si>
    <t>MVR</t>
  </si>
  <si>
    <t>IN</t>
  </si>
  <si>
    <t>India</t>
  </si>
  <si>
    <t>MWK</t>
  </si>
  <si>
    <t>ID</t>
  </si>
  <si>
    <t>Indonesia</t>
  </si>
  <si>
    <t>MXN</t>
  </si>
  <si>
    <t>IR</t>
  </si>
  <si>
    <t>Iran</t>
  </si>
  <si>
    <t>MXV</t>
  </si>
  <si>
    <t>IQ</t>
  </si>
  <si>
    <t>Iraq</t>
  </si>
  <si>
    <t>MYR</t>
  </si>
  <si>
    <t>IE</t>
  </si>
  <si>
    <t>Ireland</t>
  </si>
  <si>
    <t>MZN</t>
  </si>
  <si>
    <t>IM</t>
  </si>
  <si>
    <t>Isle of Man</t>
  </si>
  <si>
    <t>NAD</t>
  </si>
  <si>
    <t>IL</t>
  </si>
  <si>
    <t>Israel</t>
  </si>
  <si>
    <t>NGN</t>
  </si>
  <si>
    <t>IT</t>
  </si>
  <si>
    <t>Italy</t>
  </si>
  <si>
    <t>NIO</t>
  </si>
  <si>
    <t>JM</t>
  </si>
  <si>
    <t>Jamaica</t>
  </si>
  <si>
    <t>NOK</t>
  </si>
  <si>
    <t>JP</t>
  </si>
  <si>
    <t>Japan</t>
  </si>
  <si>
    <t>NPR</t>
  </si>
  <si>
    <t>JE</t>
  </si>
  <si>
    <t>Jersey</t>
  </si>
  <si>
    <t>NZD</t>
  </si>
  <si>
    <t>JO</t>
  </si>
  <si>
    <t>Jordan</t>
  </si>
  <si>
    <t>OMR</t>
  </si>
  <si>
    <t>KZ</t>
  </si>
  <si>
    <t>Kazakhstan</t>
  </si>
  <si>
    <t>PAB</t>
  </si>
  <si>
    <t>KE</t>
  </si>
  <si>
    <t>Kenya</t>
  </si>
  <si>
    <t>PEN</t>
  </si>
  <si>
    <t>KI</t>
  </si>
  <si>
    <t>Kiribati</t>
  </si>
  <si>
    <t>PGK</t>
  </si>
  <si>
    <t>XK</t>
  </si>
  <si>
    <t>Kosovo</t>
  </si>
  <si>
    <t>PHP</t>
  </si>
  <si>
    <t>KW</t>
  </si>
  <si>
    <t>Kuwait</t>
  </si>
  <si>
    <t>PKR</t>
  </si>
  <si>
    <t>KG</t>
  </si>
  <si>
    <t>Kyrgyzstan</t>
  </si>
  <si>
    <t>PLN</t>
  </si>
  <si>
    <t>LA</t>
  </si>
  <si>
    <t>Laos</t>
  </si>
  <si>
    <t>PYG</t>
  </si>
  <si>
    <t>LV</t>
  </si>
  <si>
    <t>Latvia</t>
  </si>
  <si>
    <t>QAR</t>
  </si>
  <si>
    <t>LB</t>
  </si>
  <si>
    <t>Lebanon</t>
  </si>
  <si>
    <t>RON</t>
  </si>
  <si>
    <t>LS</t>
  </si>
  <si>
    <t>Lesotho</t>
  </si>
  <si>
    <t>RSD</t>
  </si>
  <si>
    <t>LR</t>
  </si>
  <si>
    <t>Liberia</t>
  </si>
  <si>
    <t>RUB</t>
  </si>
  <si>
    <t>LY</t>
  </si>
  <si>
    <t>Libya</t>
  </si>
  <si>
    <t>RWF</t>
  </si>
  <si>
    <t>LI</t>
  </si>
  <si>
    <t>Liechtenstein</t>
  </si>
  <si>
    <t>SAR</t>
  </si>
  <si>
    <t>LT</t>
  </si>
  <si>
    <t>Lithuania</t>
  </si>
  <si>
    <t>SBD</t>
  </si>
  <si>
    <t>LU</t>
  </si>
  <si>
    <t>Luxembourg</t>
  </si>
  <si>
    <t>SCR</t>
  </si>
  <si>
    <t>MO</t>
  </si>
  <si>
    <t>Macau</t>
  </si>
  <si>
    <t>SDG</t>
  </si>
  <si>
    <t>MK</t>
  </si>
  <si>
    <t>Macedonia [FYROM]</t>
  </si>
  <si>
    <t>SEK</t>
  </si>
  <si>
    <t>MG</t>
  </si>
  <si>
    <t>Madagascar</t>
  </si>
  <si>
    <t>SGD</t>
  </si>
  <si>
    <t>MW</t>
  </si>
  <si>
    <t>Malawi</t>
  </si>
  <si>
    <t>SHP</t>
  </si>
  <si>
    <t>MY</t>
  </si>
  <si>
    <t>Malaysia</t>
  </si>
  <si>
    <t>SKK</t>
  </si>
  <si>
    <t>MV</t>
  </si>
  <si>
    <t>Maldives</t>
  </si>
  <si>
    <t>SLL</t>
  </si>
  <si>
    <t>ML</t>
  </si>
  <si>
    <t>Mali</t>
  </si>
  <si>
    <t>SOS</t>
  </si>
  <si>
    <t>MT</t>
  </si>
  <si>
    <t>Malta</t>
  </si>
  <si>
    <t>SRD</t>
  </si>
  <si>
    <t>MH</t>
  </si>
  <si>
    <t>Marshall Islands</t>
  </si>
  <si>
    <t>STD</t>
  </si>
  <si>
    <t>MQ</t>
  </si>
  <si>
    <t>Martinique</t>
  </si>
  <si>
    <t>SYP</t>
  </si>
  <si>
    <t>MR</t>
  </si>
  <si>
    <t>Mauritania</t>
  </si>
  <si>
    <t>SZL</t>
  </si>
  <si>
    <t>MU</t>
  </si>
  <si>
    <t>Mauritius</t>
  </si>
  <si>
    <t>THB</t>
  </si>
  <si>
    <t>YT</t>
  </si>
  <si>
    <t>Mayotte</t>
  </si>
  <si>
    <t>TJS</t>
  </si>
  <si>
    <t>MX</t>
  </si>
  <si>
    <t>Mexico</t>
  </si>
  <si>
    <t>TMM</t>
  </si>
  <si>
    <t>FM</t>
  </si>
  <si>
    <t>Micronesia</t>
  </si>
  <si>
    <t>TND</t>
  </si>
  <si>
    <t>MD</t>
  </si>
  <si>
    <t>Moldova</t>
  </si>
  <si>
    <t>TOP</t>
  </si>
  <si>
    <t>MC</t>
  </si>
  <si>
    <t>Monaco</t>
  </si>
  <si>
    <t>TRY</t>
  </si>
  <si>
    <t>MN</t>
  </si>
  <si>
    <t>Mongolia</t>
  </si>
  <si>
    <t>TTD</t>
  </si>
  <si>
    <t>ME</t>
  </si>
  <si>
    <t>Montenegro</t>
  </si>
  <si>
    <t>TWD</t>
  </si>
  <si>
    <t>MS</t>
  </si>
  <si>
    <t>Montserrat</t>
  </si>
  <si>
    <t>TZS</t>
  </si>
  <si>
    <t>MA</t>
  </si>
  <si>
    <t>Morocco</t>
  </si>
  <si>
    <t>UAH</t>
  </si>
  <si>
    <t>MZ</t>
  </si>
  <si>
    <t>Mozambique</t>
  </si>
  <si>
    <t>UGX</t>
  </si>
  <si>
    <t>MM</t>
  </si>
  <si>
    <t>Myanmar [Burma]</t>
  </si>
  <si>
    <t>NA</t>
  </si>
  <si>
    <t>Namibia</t>
  </si>
  <si>
    <t>XAF</t>
  </si>
  <si>
    <t>NR</t>
  </si>
  <si>
    <t>Nauru</t>
  </si>
  <si>
    <t>XAG</t>
  </si>
  <si>
    <t>NP</t>
  </si>
  <si>
    <t>Nepal</t>
  </si>
  <si>
    <t>XAU</t>
  </si>
  <si>
    <t>NL</t>
  </si>
  <si>
    <t>Netherlands</t>
  </si>
  <si>
    <t>XCD</t>
  </si>
  <si>
    <t>AN</t>
  </si>
  <si>
    <t>Netherlands Antilles</t>
  </si>
  <si>
    <t>XPT</t>
  </si>
  <si>
    <t>NC</t>
  </si>
  <si>
    <t>New Caledonia</t>
  </si>
  <si>
    <t>XXX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</si>
  <si>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</si>
  <si>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</si>
  <si>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</si>
  <si>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</si>
  <si>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</si>
  <si>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</si>
  <si>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</si>
  <si>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</si>
  <si>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</si>
  <si>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</si>
  <si>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</si>
  <si>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</si>
  <si>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KP</t>
  </si>
  <si>
    <t>North Korea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</si>
  <si>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</si>
  <si>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</si>
  <si>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</si>
  <si>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</si>
  <si>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</si>
  <si>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</si>
  <si>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</si>
  <si>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</si>
  <si>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</si>
  <si>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</si>
  <si>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</si>
  <si>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Palestinian Territories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</si>
  <si>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</si>
  <si>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</si>
  <si>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</si>
  <si>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</si>
  <si>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</si>
  <si>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</si>
  <si>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</si>
  <si>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</si>
  <si>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</si>
  <si>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</si>
  <si>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</si>
  <si>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 Islands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</si>
  <si>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</si>
  <si>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</si>
  <si>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</si>
  <si>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</si>
  <si>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</si>
  <si>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</si>
  <si>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</si>
  <si>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</si>
  <si>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</si>
  <si>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</si>
  <si>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</si>
  <si>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</si>
  <si>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</si>
  <si>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</t>
  </si>
  <si>
    <t>RW</t>
  </si>
  <si>
    <t>Rwanda</t>
  </si>
  <si>
    <t>SH</t>
  </si>
  <si>
    <t>Saint Helena</t>
  </si>
  <si>
    <t>KN</t>
  </si>
  <si>
    <t>Saint Kitts and Nevis</t>
  </si>
  <si>
    <t>LC</t>
  </si>
  <si>
    <t>Saint Lucia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</si>
  <si>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</si>
  <si>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</si>
  <si>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</si>
  <si>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</si>
  <si>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</si>
  <si>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</si>
  <si>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</si>
  <si>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</si>
  <si>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</si>
  <si>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São Tomé and Príncipe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</si>
  <si>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</si>
  <si>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</si>
  <si>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</si>
  <si>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</si>
  <si>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</si>
  <si>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</si>
  <si>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</si>
  <si>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</si>
  <si>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</si>
  <si>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</si>
  <si>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</si>
  <si>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</si>
  <si>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</si>
  <si>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</si>
  <si>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</si>
  <si>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</si>
  <si>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</si>
  <si>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</si>
  <si>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</si>
  <si>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</si>
  <si>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</si>
  <si>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</si>
  <si>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</si>
  <si>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</si>
  <si>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KR</t>
  </si>
  <si>
    <t>South Korea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</si>
  <si>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</si>
  <si>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</si>
  <si>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</si>
  <si>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</si>
  <si>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</si>
  <si>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</si>
  <si>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</si>
  <si>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</si>
  <si>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</si>
  <si>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</si>
  <si>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SZ</t>
  </si>
  <si>
    <t>Swaziland</t>
  </si>
  <si>
    <t>SE</t>
  </si>
  <si>
    <t>Sweden</t>
  </si>
  <si>
    <t>CH</t>
  </si>
  <si>
    <t>Switzerland</t>
  </si>
  <si>
    <t>SY</t>
  </si>
  <si>
    <t>Syria</t>
  </si>
  <si>
    <t>TW</t>
  </si>
  <si>
    <t>Taiwan</t>
  </si>
  <si>
    <t>TJ</t>
  </si>
  <si>
    <t>Tajikistan</t>
  </si>
  <si>
    <t>TZ</t>
  </si>
  <si>
    <t>Tanzania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</si>
  <si>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</si>
  <si>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</si>
  <si>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</si>
  <si>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</si>
  <si>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</si>
  <si>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</si>
  <si>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</si>
  <si>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</si>
  <si>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</si>
  <si>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</si>
  <si>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</si>
  <si>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</si>
  <si>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</si>
  <si>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</si>
  <si>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</si>
  <si>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</si>
  <si>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</si>
  <si>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</si>
  <si>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</si>
  <si>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</si>
  <si>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</si>
  <si>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</si>
  <si>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UM</t>
  </si>
  <si>
    <t>U.S. Minor Outlying Islands</t>
  </si>
  <si>
    <t>VI</t>
  </si>
  <si>
    <t>U.S. Virgin Islands</t>
  </si>
  <si>
    <t>UG</t>
  </si>
  <si>
    <t>Uganda</t>
  </si>
  <si>
    <t>UA</t>
  </si>
  <si>
    <t>Ukraine</t>
  </si>
  <si>
    <t>AE</t>
  </si>
  <si>
    <t>United Arab Emirates</t>
  </si>
  <si>
    <t>UY</t>
  </si>
  <si>
    <t>Uruguay</t>
  </si>
  <si>
    <t>UZ</t>
  </si>
  <si>
    <t>Uzbekistan</t>
  </si>
  <si>
    <t>VU</t>
  </si>
  <si>
    <t>Vanuatu</t>
  </si>
  <si>
    <t>VA</t>
  </si>
  <si>
    <t>Vatican City</t>
  </si>
  <si>
    <t>VE</t>
  </si>
  <si>
    <t>Venezuela</t>
  </si>
  <si>
    <t>VN</t>
  </si>
  <si>
    <t>Vietnam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</si>
  <si>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</si>
  <si>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</si>
  <si>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</si>
  <si>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</si>
  <si>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</si>
  <si>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</si>
  <si>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</si>
  <si>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</si>
  <si>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</si>
  <si>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</si>
  <si>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Imagine after a lot of analysis is done in hx, the upload file has a change and needs to be uploaded again, can we retain all of the user inputs/decisions made</t>
  </si>
  <si>
    <t>Best way to update just the triangle data and not lose other inputs</t>
  </si>
  <si>
    <t>How to refresh 1 piece of information without refreshing all information during the upload (e.g. 1 specific rate change for 1 year)</t>
  </si>
  <si>
    <t>Uploaded numbers should be "calculated" part of the override field, allowing us to use the override functionality</t>
  </si>
  <si>
    <t>Directors &amp; Officers US</t>
  </si>
  <si>
    <t>Errors &amp; Omissions US</t>
  </si>
  <si>
    <t>Cyber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</si>
</sst>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??_-;_-@_-"/>
    <numFmt numFmtId="165" formatCode="_(* #,##0.0000000000000_);_(* \(#,##0.0000000000000\);_(* &quot;-&quot;??_);_(@_)"/>
    <numFmt numFmtId="166" formatCode="yyyy\-mm\-dd;@"/>
    <numFmt numFmtId="167" formatCode="_-* #,##0.00_-;\-* #,##0.00_-;_-* &quot;-&quot;??_-;_-@_-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7" fontId="1" fillId="0" borderId="0"/>
    <xf numFmtId="9" fontId="1" fillId="0" borderId="0"/>
  </cellStyleXfs>
  <cellXfs count="81">
    <xf numFmtId="0" fontId="0" fillId="0" borderId="0" xfId="0"/>
    <xf numFmtId="0" fontId="0" fillId="0" borderId="0" xfId="0" applyAlignment="1">
      <alignment vertical="top" wrapText="1"/>
    </xf>
    <xf numFmtId="164" fontId="0" fillId="0" borderId="0" xfId="1" applyNumberFormat="1" applyFont="1" applyAlignment="1">
      <alignment vertical="top" wrapText="1"/>
    </xf>
    <xf numFmtId="164" fontId="0" fillId="0" borderId="0" xfId="1" applyNumberFormat="1" applyFont="1"/>
    <xf numFmtId="49" fontId="0" fillId="0" borderId="0" xfId="0" applyNumberFormat="1" applyAlignment="1">
      <alignment horizontal="center" vertical="top" wrapText="1"/>
    </xf>
    <xf numFmtId="49" fontId="0" fillId="0" borderId="0" xfId="1" applyNumberFormat="1" applyFont="1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1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/>
    </xf>
    <xf numFmtId="49" fontId="0" fillId="0" borderId="0" xfId="1" applyNumberFormat="1" applyFont="1"/>
    <xf numFmtId="1" fontId="0" fillId="0" borderId="0" xfId="1" applyNumberFormat="1" applyFont="1" applyAlignment="1">
      <alignment vertical="top" wrapText="1"/>
    </xf>
    <xf numFmtId="1" fontId="2" fillId="0" borderId="0" xfId="1" applyNumberFormat="1" applyFont="1" applyAlignment="1">
      <alignment horizontal="center" vertical="top" wrapText="1"/>
    </xf>
    <xf numFmtId="1" fontId="0" fillId="0" borderId="0" xfId="1" applyNumberFormat="1" applyFont="1"/>
    <xf numFmtId="164" fontId="2" fillId="2" borderId="0" xfId="1" applyNumberFormat="1" applyFont="1" applyFill="1" applyAlignment="1">
      <alignment horizontal="center" vertical="top" wrapText="1"/>
    </xf>
    <xf numFmtId="164" fontId="0" fillId="0" borderId="0" xfId="1" applyNumberFormat="1" applyFont="1" applyAlignment="1">
      <alignment horizontal="center"/>
    </xf>
    <xf numFmtId="0" fontId="0" fillId="2" borderId="0" xfId="0" applyFill="1"/>
    <xf numFmtId="0" fontId="2" fillId="2" borderId="0" xfId="0" applyFont="1" applyFill="1"/>
    <xf numFmtId="9" fontId="0" fillId="0" borderId="0" xfId="0" applyNumberFormat="1"/>
    <xf numFmtId="10" fontId="2" fillId="0" borderId="0" xfId="2" applyNumberFormat="1" applyFont="1" applyAlignment="1">
      <alignment horizontal="center" vertical="top" wrapText="1"/>
    </xf>
    <xf numFmtId="10" fontId="0" fillId="0" borderId="0" xfId="2" applyNumberFormat="1" applyFont="1"/>
    <xf numFmtId="164" fontId="2" fillId="0" borderId="0" xfId="1" applyNumberFormat="1" applyFont="1" applyAlignment="1">
      <alignment horizontal="center" vertical="top" wrapText="1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right"/>
    </xf>
    <xf numFmtId="0" fontId="4" fillId="4" borderId="2" xfId="0" applyFont="1" applyFill="1" applyBorder="1" applyAlignment="1">
      <alignment wrapText="1"/>
    </xf>
    <xf numFmtId="0" fontId="0" fillId="4" borderId="3" xfId="0" applyFill="1" applyBorder="1"/>
    <xf numFmtId="10" fontId="0" fillId="0" borderId="6" xfId="2" applyNumberFormat="1" applyFont="1" applyBorder="1"/>
    <xf numFmtId="0" fontId="0" fillId="5" borderId="6" xfId="0" applyFill="1" applyBorder="1" applyAlignment="1">
      <alignment horizontal="left"/>
    </xf>
    <xf numFmtId="0" fontId="0" fillId="0" borderId="6" xfId="0" applyBorder="1"/>
    <xf numFmtId="164" fontId="0" fillId="0" borderId="6" xfId="1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165" fontId="0" fillId="0" borderId="0" xfId="0" applyNumberFormat="1"/>
    <xf numFmtId="166" fontId="0" fillId="5" borderId="6" xfId="0" applyNumberFormat="1" applyFill="1" applyBorder="1" applyAlignment="1">
      <alignment horizontal="left"/>
    </xf>
    <xf numFmtId="166" fontId="0" fillId="0" borderId="0" xfId="1" applyNumberFormat="1" applyFont="1"/>
    <xf numFmtId="166" fontId="0" fillId="5" borderId="5" xfId="0" applyNumberFormat="1" applyFill="1" applyBorder="1" applyAlignment="1">
      <alignment horizontal="left"/>
    </xf>
    <xf numFmtId="0" fontId="7" fillId="4" borderId="0" xfId="0" applyFont="1" applyFill="1"/>
    <xf numFmtId="166" fontId="0" fillId="5" borderId="9" xfId="0" applyNumberForma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6" borderId="7" xfId="0" applyFill="1" applyBorder="1"/>
    <xf numFmtId="0" fontId="0" fillId="5" borderId="1" xfId="0" applyFill="1" applyBorder="1"/>
    <xf numFmtId="9" fontId="0" fillId="5" borderId="1" xfId="2" applyFont="1" applyFill="1" applyBorder="1"/>
    <xf numFmtId="0" fontId="0" fillId="6" borderId="1" xfId="0" applyFill="1" applyBorder="1"/>
    <xf numFmtId="0" fontId="0" fillId="6" borderId="3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" fontId="7" fillId="0" borderId="0" xfId="1" applyNumberFormat="1" applyFont="1" applyAlignment="1">
      <alignment vertical="top" wrapText="1"/>
    </xf>
    <xf numFmtId="0" fontId="2" fillId="0" borderId="5" xfId="0" applyFont="1" applyBorder="1" applyAlignment="1">
      <alignment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0" fontId="2" fillId="0" borderId="7" xfId="2" applyNumberFormat="1" applyFont="1" applyBorder="1" applyAlignment="1">
      <alignment horizontal="center" vertical="center" wrapText="1"/>
    </xf>
    <xf numFmtId="10" fontId="0" fillId="6" borderId="5" xfId="2" applyNumberFormat="1" applyFont="1" applyFill="1" applyBorder="1" applyAlignment="1">
      <alignment horizontal="center"/>
    </xf>
    <xf numFmtId="10" fontId="0" fillId="6" borderId="6" xfId="2" applyNumberFormat="1" applyFont="1" applyFill="1" applyBorder="1" applyAlignment="1">
      <alignment horizontal="center"/>
    </xf>
    <xf numFmtId="0" fontId="8" fillId="5" borderId="10" xfId="0" applyFont="1" applyFill="1" applyBorder="1"/>
    <xf numFmtId="0" fontId="8" fillId="5" borderId="0" xfId="1" applyNumberFormat="1" applyFont="1" applyFill="1" applyAlignment="1">
      <alignment horizontal="center"/>
    </xf>
    <xf numFmtId="0" fontId="8" fillId="5" borderId="8" xfId="0" applyFont="1" applyFill="1" applyBorder="1"/>
    <xf numFmtId="0" fontId="8" fillId="6" borderId="6" xfId="0" applyFont="1" applyFill="1" applyBorder="1"/>
    <xf numFmtId="4" fontId="9" fillId="6" borderId="5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166" fontId="8" fillId="0" borderId="0" xfId="1" applyNumberFormat="1" applyFont="1"/>
    <xf numFmtId="0" fontId="2" fillId="4" borderId="0" xfId="0" applyFont="1" applyFill="1"/>
    <xf numFmtId="0" fontId="9" fillId="6" borderId="6" xfId="0" applyFont="1" applyFill="1" applyBorder="1"/>
    <xf numFmtId="168" fontId="0" fillId="0" borderId="0" xfId="0" applyNumberFormat="1"/>
    <xf numFmtId="0" fontId="5" fillId="4" borderId="0" xfId="0" applyFont="1" applyFill="1" applyAlignment="1">
      <alignment horizontal="center"/>
    </xf>
    <xf numFmtId="0" fontId="0" fillId="4" borderId="0" xfId="0" applyFill="1"/>
    <xf numFmtId="164" fontId="2" fillId="0" borderId="0" xfId="1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0" fontId="0" fillId="2" borderId="0" xfId="0" applyFill="1"/>
    <xf numFmtId="0" fontId="0" fillId="0" borderId="0" xfId="0"/>
    <xf numFmtId="0" fontId="4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E418"/>
  <sheetViews>
    <sheetView tabSelected="1" topLeftCell="A3" zoomScale="55" zoomScaleNormal="55" workbookViewId="0">
      <selection activeCell="A3" sqref="A3"/>
    </sheetView>
  </sheetViews>
  <sheetFormatPr defaultColWidth="0" defaultRowHeight="15" zeroHeight="1" outlineLevelRow="2" outlineLevelCol="1" x14ac:dyDescent="0.25"/>
  <cols>
    <col min="1" max="1" width="3.7109375" style="25" customWidth="1"/>
    <col min="2" max="2" width="8.42578125" style="26" customWidth="1"/>
    <col min="3" max="3" width="26.42578125" style="25" customWidth="1"/>
    <col min="4" max="11" width="17.7109375" style="25" customWidth="1"/>
    <col min="12" max="19" width="17.7109375" style="25" customWidth="1" outlineLevel="1"/>
    <col min="20" max="23" width="17.7109375" style="25" customWidth="1"/>
    <col min="24" max="27" width="17.7109375" style="25" customWidth="1" outlineLevel="1"/>
    <col min="28" max="29" width="17.7109375" style="25" customWidth="1"/>
    <col min="30" max="30" width="8.85546875" style="25" customWidth="1"/>
    <col min="31" max="31" width="8.85546875" style="25" hidden="1" customWidth="1"/>
    <col min="32" max="16384" width="8.85546875" style="25" hidden="1"/>
  </cols>
  <sheetData>
    <row r="3" spans="2:31" ht="15.75" customHeight="1" x14ac:dyDescent="0.25">
      <c r="B3" s="29" t="s">
        <v>0</v>
      </c>
      <c r="E3" s="44" t="s">
        <v>1</v>
      </c>
      <c r="F3" s="44" t="s">
        <v>2</v>
      </c>
    </row>
    <row r="4" spans="2:31" ht="15.75" customHeight="1" x14ac:dyDescent="0.25">
      <c r="B4" s="29"/>
      <c r="C4" s="31" t="s">
        <v>3</v>
      </c>
      <c r="D4" s="43">
        <v>36892</v>
      </c>
      <c r="E4" s="44" t="s">
        <v>4</v>
      </c>
      <c r="F4" s="25" t="b">
        <f>triangle_start_date=Triangles!F3</f>
        <v>1</v>
      </c>
      <c r="H4" s="46" t="s">
        <v>5</v>
      </c>
    </row>
    <row r="5" spans="2:31" x14ac:dyDescent="0.25">
      <c r="B5" s="25"/>
      <c r="C5" s="31" t="s">
        <v>6</v>
      </c>
      <c r="D5" s="35">
        <v>6</v>
      </c>
      <c r="E5" s="44" t="s">
        <v>7</v>
      </c>
      <c r="H5" s="47" t="s">
        <v>8</v>
      </c>
    </row>
    <row r="6" spans="2:31" x14ac:dyDescent="0.25">
      <c r="B6" s="30"/>
      <c r="C6" s="31" t="s">
        <v>9</v>
      </c>
      <c r="D6" s="35">
        <v>12</v>
      </c>
      <c r="E6" s="44" t="s">
        <v>10</v>
      </c>
    </row>
    <row r="7" spans="2:31" x14ac:dyDescent="0.25">
      <c r="B7" s="30"/>
      <c r="C7" s="31" t="s">
        <v>11</v>
      </c>
      <c r="D7" s="35">
        <v>12</v>
      </c>
      <c r="E7" s="44" t="s">
        <v>12</v>
      </c>
    </row>
    <row r="8" spans="2:31" x14ac:dyDescent="0.25">
      <c r="B8" s="30"/>
      <c r="C8" s="31" t="s">
        <v>13</v>
      </c>
      <c r="D8" s="35">
        <v>294</v>
      </c>
      <c r="E8" s="44" t="s">
        <v>14</v>
      </c>
      <c r="F8" s="69" t="str">
        <f>IF(ISERROR(MATCH(month_final_development,Triangles!$G$2:$FA$2, 0)), "Can't find this development month in triangle. Please be consistent with Triangle.", "OK")</f>
        <v>OK</v>
      </c>
    </row>
    <row r="9" spans="2:31" x14ac:dyDescent="0.25">
      <c r="B9" s="30"/>
      <c r="C9" s="31" t="s">
        <v>15</v>
      </c>
      <c r="D9" s="41">
        <v>46023</v>
      </c>
      <c r="E9" s="44" t="s">
        <v>4</v>
      </c>
    </row>
    <row r="10" spans="2:31" x14ac:dyDescent="0.25">
      <c r="B10" s="30"/>
      <c r="C10" s="31" t="s">
        <v>16</v>
      </c>
      <c r="D10" s="45">
        <v>46387</v>
      </c>
      <c r="E10" s="44" t="s">
        <v>4</v>
      </c>
    </row>
    <row r="11" spans="2:31" ht="15.75" customHeight="1" x14ac:dyDescent="0.25">
      <c r="B11" s="29" t="s">
        <v>17</v>
      </c>
    </row>
    <row r="12" spans="2:31" ht="15.75" customHeight="1" x14ac:dyDescent="0.25">
      <c r="Q12" s="72" t="s">
        <v>18</v>
      </c>
      <c r="R12" s="73"/>
      <c r="S12" s="73"/>
      <c r="T12" s="73"/>
      <c r="U12" s="73"/>
    </row>
    <row r="13" spans="2:31" s="54" customFormat="1" ht="45" customHeight="1" x14ac:dyDescent="0.25">
      <c r="B13" s="52" t="s">
        <v>19</v>
      </c>
      <c r="C13" s="52" t="s">
        <v>20</v>
      </c>
      <c r="D13" s="52" t="s">
        <v>21</v>
      </c>
      <c r="E13" s="52" t="s">
        <v>22</v>
      </c>
      <c r="F13" s="52" t="s">
        <v>23</v>
      </c>
      <c r="G13" s="52" t="s">
        <v>24</v>
      </c>
      <c r="H13" s="52" t="s">
        <v>25</v>
      </c>
      <c r="I13" s="52" t="s">
        <v>26</v>
      </c>
      <c r="J13" s="52" t="s">
        <v>27</v>
      </c>
      <c r="K13" s="52" t="s">
        <v>28</v>
      </c>
      <c r="L13" s="52" t="s">
        <v>29</v>
      </c>
      <c r="M13" s="52" t="s">
        <v>30</v>
      </c>
      <c r="N13" s="52" t="s">
        <v>31</v>
      </c>
      <c r="O13" s="52" t="s">
        <v>32</v>
      </c>
      <c r="P13" s="52" t="s">
        <v>33</v>
      </c>
      <c r="Q13" s="52" t="s">
        <v>34</v>
      </c>
      <c r="R13" s="52" t="s">
        <v>35</v>
      </c>
      <c r="S13" s="52" t="s">
        <v>36</v>
      </c>
      <c r="T13" s="52" t="s">
        <v>37</v>
      </c>
      <c r="U13" s="52" t="s">
        <v>38</v>
      </c>
      <c r="V13" s="52" t="s">
        <v>39</v>
      </c>
      <c r="W13" s="53" t="s">
        <v>40</v>
      </c>
      <c r="X13" s="53" t="s">
        <v>41</v>
      </c>
      <c r="Y13" s="53" t="s">
        <v>42</v>
      </c>
      <c r="Z13" s="53" t="s">
        <v>43</v>
      </c>
      <c r="AA13" s="53" t="s">
        <v>44</v>
      </c>
      <c r="AB13" s="53" t="s">
        <v>45</v>
      </c>
      <c r="AC13" s="53" t="s">
        <v>46</v>
      </c>
      <c r="AD13" s="53" t="s">
        <v>47</v>
      </c>
      <c r="AE13" s="53" t="s">
        <v>48</v>
      </c>
    </row>
    <row r="14" spans="2:31" x14ac:dyDescent="0.25">
      <c r="B14" s="27">
        <v>1</v>
      </c>
      <c r="C14" s="48" t="s">
        <v>49</v>
      </c>
      <c r="D14" s="48" t="s">
        <v>50</v>
      </c>
      <c r="E14" s="48">
        <v>2001</v>
      </c>
      <c r="F14" s="48">
        <v>2025</v>
      </c>
      <c r="G14" s="48" t="s">
        <v>51</v>
      </c>
      <c r="H14" s="48"/>
      <c r="I14" s="48"/>
      <c r="J14" s="48" t="s">
        <v>52</v>
      </c>
      <c r="K14" s="49">
        <v>1</v>
      </c>
      <c r="L14" s="50"/>
      <c r="M14" s="50"/>
      <c r="N14" s="50"/>
      <c r="O14" s="50"/>
      <c r="P14" s="50"/>
      <c r="Q14" s="50"/>
      <c r="R14" s="50"/>
      <c r="S14" s="50"/>
      <c r="T14" s="26" t="str">
        <f t="shared" ref="T14:T45" si="0">IF(AND(C14&lt;&gt;"",SUM(K14,M14,O14,Q14,S14)=1),"pass",IF(AND(C14="",SUM(K14,M14,O14,Q14,S14)=0),"pass","fail"))</f>
        <v>pass</v>
      </c>
      <c r="U14" s="50"/>
      <c r="V14" s="51"/>
      <c r="W14" s="50"/>
      <c r="X14" s="50"/>
      <c r="Y14" s="50"/>
      <c r="Z14" s="50"/>
      <c r="AA14" s="50"/>
      <c r="AB14" s="50" t="s">
        <v>53</v>
      </c>
      <c r="AC14" s="50" t="s">
        <v>53</v>
      </c>
      <c r="AD14" s="50" t="s">
        <v>53</v>
      </c>
      <c r="AE14" s="50"/>
    </row>
    <row r="15" spans="2:31" x14ac:dyDescent="0.25">
      <c r="B15" s="27">
        <v>2</v>
      </c>
      <c r="C15" s="48" t="s">
        <v>54</v>
      </c>
      <c r="D15" s="48" t="s">
        <v>50</v>
      </c>
      <c r="E15" s="48">
        <v>2001</v>
      </c>
      <c r="F15" s="48">
        <v>2025</v>
      </c>
      <c r="G15" s="48" t="s">
        <v>51</v>
      </c>
      <c r="H15" s="48"/>
      <c r="I15" s="48"/>
      <c r="J15" s="48" t="s">
        <v>52</v>
      </c>
      <c r="K15" s="49">
        <v>1</v>
      </c>
      <c r="L15" s="50"/>
      <c r="M15" s="50"/>
      <c r="N15" s="50"/>
      <c r="O15" s="50"/>
      <c r="P15" s="50"/>
      <c r="Q15" s="50"/>
      <c r="R15" s="50"/>
      <c r="S15" s="50"/>
      <c r="T15" s="26" t="str">
        <f t="shared" si="0"/>
        <v>pass</v>
      </c>
      <c r="U15" s="50"/>
      <c r="V15" s="51"/>
      <c r="W15" s="50"/>
      <c r="X15" s="50"/>
      <c r="Y15" s="50"/>
      <c r="Z15" s="50"/>
      <c r="AA15" s="50"/>
      <c r="AB15" s="50" t="s">
        <v>53</v>
      </c>
      <c r="AC15" s="50" t="s">
        <v>53</v>
      </c>
      <c r="AD15" s="50" t="s">
        <v>53</v>
      </c>
      <c r="AE15" s="50"/>
    </row>
    <row r="16" spans="2:31" x14ac:dyDescent="0.25">
      <c r="B16" s="27">
        <v>3</v>
      </c>
      <c r="C16" s="48" t="s">
        <v>55</v>
      </c>
      <c r="D16" s="48" t="s">
        <v>50</v>
      </c>
      <c r="E16" s="48">
        <v>2001</v>
      </c>
      <c r="F16" s="48">
        <v>2025</v>
      </c>
      <c r="G16" s="48" t="s">
        <v>51</v>
      </c>
      <c r="H16" s="48"/>
      <c r="I16" s="48"/>
      <c r="J16" s="48" t="s">
        <v>52</v>
      </c>
      <c r="K16" s="49">
        <v>1</v>
      </c>
      <c r="L16" s="50"/>
      <c r="M16" s="50"/>
      <c r="N16" s="50"/>
      <c r="O16" s="50"/>
      <c r="P16" s="50"/>
      <c r="Q16" s="50"/>
      <c r="R16" s="50"/>
      <c r="S16" s="50"/>
      <c r="T16" s="26" t="str">
        <f t="shared" si="0"/>
        <v>pass</v>
      </c>
      <c r="U16" s="50"/>
      <c r="V16" s="51"/>
      <c r="W16" s="50"/>
      <c r="X16" s="50"/>
      <c r="Y16" s="50"/>
      <c r="Z16" s="50"/>
      <c r="AA16" s="50"/>
      <c r="AB16" s="50" t="s">
        <v>53</v>
      </c>
      <c r="AC16" s="50" t="s">
        <v>53</v>
      </c>
      <c r="AD16" s="50" t="s">
        <v>53</v>
      </c>
      <c r="AE16" s="50"/>
    </row>
    <row r="17" spans="2:31" x14ac:dyDescent="0.25">
      <c r="B17" s="27">
        <v>4</v>
      </c>
      <c r="C17" s="48" t="s">
        <v>56</v>
      </c>
      <c r="D17" s="48" t="s">
        <v>50</v>
      </c>
      <c r="E17" s="48">
        <v>2001</v>
      </c>
      <c r="F17" s="48">
        <v>2025</v>
      </c>
      <c r="G17" s="48" t="s">
        <v>51</v>
      </c>
      <c r="H17" s="48"/>
      <c r="I17" s="48"/>
      <c r="J17" s="48" t="s">
        <v>52</v>
      </c>
      <c r="K17" s="49">
        <v>1</v>
      </c>
      <c r="L17" s="50"/>
      <c r="M17" s="50"/>
      <c r="N17" s="50"/>
      <c r="O17" s="50"/>
      <c r="P17" s="50"/>
      <c r="Q17" s="50"/>
      <c r="R17" s="50"/>
      <c r="S17" s="50"/>
      <c r="T17" s="26" t="str">
        <f t="shared" si="0"/>
        <v>pass</v>
      </c>
      <c r="U17" s="50"/>
      <c r="V17" s="51"/>
      <c r="W17" s="50"/>
      <c r="X17" s="50"/>
      <c r="Y17" s="50"/>
      <c r="Z17" s="50"/>
      <c r="AA17" s="50"/>
      <c r="AB17" s="50" t="s">
        <v>53</v>
      </c>
      <c r="AC17" s="50" t="s">
        <v>53</v>
      </c>
      <c r="AD17" s="50" t="s">
        <v>53</v>
      </c>
      <c r="AE17" s="50"/>
    </row>
    <row r="18" spans="2:31" x14ac:dyDescent="0.25">
      <c r="B18" s="27">
        <v>5</v>
      </c>
      <c r="C18" s="48" t="s">
        <v>57</v>
      </c>
      <c r="D18" s="48" t="s">
        <v>50</v>
      </c>
      <c r="E18" s="48">
        <v>2001</v>
      </c>
      <c r="F18" s="48">
        <v>2025</v>
      </c>
      <c r="G18" s="48" t="s">
        <v>51</v>
      </c>
      <c r="H18" s="48"/>
      <c r="I18" s="48"/>
      <c r="J18" s="48" t="s">
        <v>52</v>
      </c>
      <c r="K18" s="49">
        <v>1</v>
      </c>
      <c r="L18" s="50"/>
      <c r="M18" s="50"/>
      <c r="N18" s="50"/>
      <c r="O18" s="50"/>
      <c r="P18" s="50"/>
      <c r="Q18" s="50"/>
      <c r="R18" s="50"/>
      <c r="S18" s="50"/>
      <c r="T18" s="26" t="str">
        <f t="shared" si="0"/>
        <v>pass</v>
      </c>
      <c r="U18" s="50"/>
      <c r="V18" s="51"/>
      <c r="W18" s="50"/>
      <c r="X18" s="50"/>
      <c r="Y18" s="50"/>
      <c r="Z18" s="50"/>
      <c r="AA18" s="50"/>
      <c r="AB18" s="50" t="s">
        <v>53</v>
      </c>
      <c r="AC18" s="50" t="s">
        <v>53</v>
      </c>
      <c r="AD18" s="50" t="s">
        <v>53</v>
      </c>
      <c r="AE18" s="50"/>
    </row>
    <row r="19" spans="2:31" x14ac:dyDescent="0.25">
      <c r="B19" s="27">
        <v>6</v>
      </c>
      <c r="C19" s="48" t="s">
        <v>58</v>
      </c>
      <c r="D19" s="48" t="s">
        <v>50</v>
      </c>
      <c r="E19" s="48">
        <v>2001</v>
      </c>
      <c r="F19" s="48">
        <v>2025</v>
      </c>
      <c r="G19" s="48" t="s">
        <v>51</v>
      </c>
      <c r="H19" s="48"/>
      <c r="I19" s="48"/>
      <c r="J19" s="48" t="s">
        <v>52</v>
      </c>
      <c r="K19" s="49">
        <v>1</v>
      </c>
      <c r="L19" s="50"/>
      <c r="M19" s="50"/>
      <c r="N19" s="50"/>
      <c r="O19" s="50"/>
      <c r="P19" s="50"/>
      <c r="Q19" s="50"/>
      <c r="R19" s="50"/>
      <c r="S19" s="50"/>
      <c r="T19" s="26" t="str">
        <f t="shared" si="0"/>
        <v>pass</v>
      </c>
      <c r="U19" s="50"/>
      <c r="V19" s="51"/>
      <c r="W19" s="50"/>
      <c r="X19" s="50"/>
      <c r="Y19" s="50"/>
      <c r="Z19" s="50"/>
      <c r="AA19" s="50"/>
      <c r="AB19" s="50" t="s">
        <v>53</v>
      </c>
      <c r="AC19" s="50" t="s">
        <v>53</v>
      </c>
      <c r="AD19" s="50" t="s">
        <v>53</v>
      </c>
      <c r="AE19" s="50"/>
    </row>
    <row r="20" spans="2:31" x14ac:dyDescent="0.25">
      <c r="B20" s="27">
        <v>7</v>
      </c>
      <c r="C20" s="48" t="s">
        <v>59</v>
      </c>
      <c r="D20" s="48" t="s">
        <v>60</v>
      </c>
      <c r="E20" s="48">
        <v>2001</v>
      </c>
      <c r="F20" s="48">
        <v>2025</v>
      </c>
      <c r="G20" s="48" t="s">
        <v>51</v>
      </c>
      <c r="H20" s="48"/>
      <c r="I20" s="48"/>
      <c r="J20" s="48" t="s">
        <v>52</v>
      </c>
      <c r="K20" s="49">
        <v>1</v>
      </c>
      <c r="L20" s="50"/>
      <c r="M20" s="50"/>
      <c r="N20" s="50"/>
      <c r="O20" s="50"/>
      <c r="P20" s="50"/>
      <c r="Q20" s="50"/>
      <c r="R20" s="50"/>
      <c r="S20" s="50"/>
      <c r="T20" s="26" t="str">
        <f t="shared" si="0"/>
        <v>pass</v>
      </c>
      <c r="U20" s="50"/>
      <c r="V20" s="51"/>
      <c r="W20" s="50"/>
      <c r="X20" s="50"/>
      <c r="Y20" s="50"/>
      <c r="Z20" s="50"/>
      <c r="AA20" s="50"/>
      <c r="AB20" s="50"/>
      <c r="AC20" s="50"/>
      <c r="AD20" s="50"/>
      <c r="AE20" s="50"/>
    </row>
    <row r="21" spans="2:31" x14ac:dyDescent="0.25">
      <c r="B21" s="27">
        <v>8</v>
      </c>
      <c r="C21" s="48" t="s">
        <v>61</v>
      </c>
      <c r="D21" s="48" t="s">
        <v>50</v>
      </c>
      <c r="E21" s="48">
        <v>2001</v>
      </c>
      <c r="F21" s="48">
        <v>2025</v>
      </c>
      <c r="G21" s="48" t="s">
        <v>51</v>
      </c>
      <c r="H21" s="48"/>
      <c r="I21" s="48"/>
      <c r="J21" s="48" t="s">
        <v>52</v>
      </c>
      <c r="K21" s="49">
        <v>1</v>
      </c>
      <c r="L21" s="50"/>
      <c r="M21" s="50"/>
      <c r="N21" s="50"/>
      <c r="O21" s="50"/>
      <c r="P21" s="50"/>
      <c r="Q21" s="50"/>
      <c r="R21" s="50"/>
      <c r="S21" s="50"/>
      <c r="T21" s="26" t="str">
        <f t="shared" si="0"/>
        <v>pass</v>
      </c>
      <c r="U21" s="50"/>
      <c r="V21" s="51"/>
      <c r="W21" s="50"/>
      <c r="X21" s="50"/>
      <c r="Y21" s="50"/>
      <c r="Z21" s="50"/>
      <c r="AA21" s="50"/>
      <c r="AB21" s="50"/>
      <c r="AC21" s="50"/>
      <c r="AD21" s="50"/>
      <c r="AE21" s="50"/>
    </row>
    <row r="22" spans="2:31" x14ac:dyDescent="0.25">
      <c r="B22" s="27">
        <v>9</v>
      </c>
      <c r="C22" s="48" t="s">
        <v>62</v>
      </c>
      <c r="D22" s="48" t="s">
        <v>50</v>
      </c>
      <c r="E22" s="48">
        <v>2001</v>
      </c>
      <c r="F22" s="48">
        <v>2025</v>
      </c>
      <c r="G22" s="48" t="s">
        <v>51</v>
      </c>
      <c r="H22" s="48"/>
      <c r="I22" s="48"/>
      <c r="J22" s="48" t="s">
        <v>52</v>
      </c>
      <c r="K22" s="49">
        <v>1</v>
      </c>
      <c r="L22" s="50"/>
      <c r="M22" s="50"/>
      <c r="N22" s="50"/>
      <c r="O22" s="50"/>
      <c r="P22" s="50"/>
      <c r="Q22" s="50"/>
      <c r="R22" s="50"/>
      <c r="S22" s="50"/>
      <c r="T22" s="26" t="str">
        <f t="shared" si="0"/>
        <v>pass</v>
      </c>
      <c r="U22" s="50"/>
      <c r="V22" s="51"/>
      <c r="W22" s="50"/>
      <c r="X22" s="50"/>
      <c r="Y22" s="50"/>
      <c r="Z22" s="50"/>
      <c r="AA22" s="50"/>
      <c r="AB22" s="50"/>
      <c r="AC22" s="50"/>
      <c r="AD22" s="50"/>
      <c r="AE22" s="50"/>
    </row>
    <row r="23" spans="2:31" x14ac:dyDescent="0.25">
      <c r="B23" s="27">
        <v>10</v>
      </c>
      <c r="C23" s="48" t="s">
        <v>63</v>
      </c>
      <c r="D23" s="48" t="s">
        <v>50</v>
      </c>
      <c r="E23" s="48">
        <v>2001</v>
      </c>
      <c r="F23" s="48">
        <v>2025</v>
      </c>
      <c r="G23" s="48" t="s">
        <v>51</v>
      </c>
      <c r="H23" s="48"/>
      <c r="I23" s="48"/>
      <c r="J23" s="48" t="s">
        <v>52</v>
      </c>
      <c r="K23" s="49">
        <v>1</v>
      </c>
      <c r="L23" s="50"/>
      <c r="M23" s="50"/>
      <c r="N23" s="50"/>
      <c r="O23" s="50"/>
      <c r="P23" s="50"/>
      <c r="Q23" s="50"/>
      <c r="R23" s="50"/>
      <c r="S23" s="50"/>
      <c r="T23" s="26" t="str">
        <f t="shared" si="0"/>
        <v>pass</v>
      </c>
      <c r="U23" s="50"/>
      <c r="V23" s="51"/>
      <c r="W23" s="50"/>
      <c r="X23" s="50"/>
      <c r="Y23" s="50"/>
      <c r="Z23" s="50"/>
      <c r="AA23" s="50"/>
      <c r="AB23" s="50"/>
      <c r="AC23" s="50"/>
      <c r="AD23" s="50"/>
      <c r="AE23" s="50"/>
    </row>
    <row r="24" spans="2:31" x14ac:dyDescent="0.25">
      <c r="B24" s="27">
        <v>11</v>
      </c>
      <c r="C24" s="48" t="s">
        <v>64</v>
      </c>
      <c r="D24" s="48" t="s">
        <v>50</v>
      </c>
      <c r="E24" s="48">
        <v>2001</v>
      </c>
      <c r="F24" s="48">
        <v>2025</v>
      </c>
      <c r="G24" s="48" t="s">
        <v>51</v>
      </c>
      <c r="H24" s="48"/>
      <c r="I24" s="48"/>
      <c r="J24" s="48" t="s">
        <v>52</v>
      </c>
      <c r="K24" s="49">
        <v>1</v>
      </c>
      <c r="L24" s="50"/>
      <c r="M24" s="50"/>
      <c r="N24" s="50"/>
      <c r="O24" s="50"/>
      <c r="P24" s="50"/>
      <c r="Q24" s="50"/>
      <c r="R24" s="50"/>
      <c r="S24" s="50"/>
      <c r="T24" s="26" t="str">
        <f t="shared" si="0"/>
        <v>pass</v>
      </c>
      <c r="U24" s="50"/>
      <c r="V24" s="51"/>
      <c r="W24" s="50"/>
      <c r="X24" s="50"/>
      <c r="Y24" s="50"/>
      <c r="Z24" s="50"/>
      <c r="AA24" s="50"/>
      <c r="AB24" s="50"/>
      <c r="AC24" s="50"/>
      <c r="AD24" s="50"/>
      <c r="AE24" s="50"/>
    </row>
    <row r="25" spans="2:31" x14ac:dyDescent="0.25">
      <c r="B25" s="27">
        <v>12</v>
      </c>
      <c r="C25" s="48"/>
      <c r="D25" s="48"/>
      <c r="E25" s="48"/>
      <c r="F25" s="48"/>
      <c r="G25" s="48"/>
      <c r="H25" s="48"/>
      <c r="I25" s="48"/>
      <c r="J25" s="48"/>
      <c r="K25" s="49"/>
      <c r="L25" s="50"/>
      <c r="M25" s="50"/>
      <c r="N25" s="50"/>
      <c r="O25" s="50"/>
      <c r="P25" s="50"/>
      <c r="Q25" s="50"/>
      <c r="R25" s="50"/>
      <c r="S25" s="50"/>
      <c r="T25" s="26" t="str">
        <f t="shared" si="0"/>
        <v>pass</v>
      </c>
      <c r="U25" s="50"/>
      <c r="V25" s="51"/>
      <c r="W25" s="50"/>
      <c r="X25" s="50"/>
      <c r="Y25" s="50"/>
      <c r="Z25" s="50"/>
      <c r="AA25" s="50"/>
      <c r="AB25" s="50"/>
      <c r="AC25" s="50"/>
      <c r="AD25" s="50"/>
      <c r="AE25" s="50"/>
    </row>
    <row r="26" spans="2:31" x14ac:dyDescent="0.25">
      <c r="B26" s="27">
        <v>13</v>
      </c>
      <c r="C26" s="48"/>
      <c r="D26" s="48"/>
      <c r="E26" s="48"/>
      <c r="F26" s="48"/>
      <c r="G26" s="48"/>
      <c r="H26" s="48"/>
      <c r="I26" s="48"/>
      <c r="J26" s="48"/>
      <c r="K26" s="49"/>
      <c r="L26" s="50"/>
      <c r="M26" s="50"/>
      <c r="N26" s="50"/>
      <c r="O26" s="50"/>
      <c r="P26" s="50"/>
      <c r="Q26" s="50"/>
      <c r="R26" s="50"/>
      <c r="S26" s="50"/>
      <c r="T26" s="26" t="str">
        <f t="shared" si="0"/>
        <v>pass</v>
      </c>
      <c r="U26" s="50"/>
      <c r="V26" s="51"/>
      <c r="W26" s="50"/>
      <c r="X26" s="50"/>
      <c r="Y26" s="50"/>
      <c r="Z26" s="50"/>
      <c r="AA26" s="50"/>
      <c r="AB26" s="50"/>
      <c r="AC26" s="50"/>
      <c r="AD26" s="50"/>
      <c r="AE26" s="50"/>
    </row>
    <row r="27" spans="2:31" x14ac:dyDescent="0.25">
      <c r="B27" s="27">
        <v>14</v>
      </c>
      <c r="C27" s="48"/>
      <c r="D27" s="48"/>
      <c r="E27" s="48"/>
      <c r="F27" s="48"/>
      <c r="G27" s="48"/>
      <c r="H27" s="48"/>
      <c r="I27" s="48"/>
      <c r="J27" s="48"/>
      <c r="K27" s="49"/>
      <c r="L27" s="50"/>
      <c r="M27" s="50"/>
      <c r="N27" s="50"/>
      <c r="O27" s="50"/>
      <c r="P27" s="50"/>
      <c r="Q27" s="50"/>
      <c r="R27" s="50"/>
      <c r="S27" s="50"/>
      <c r="T27" s="26" t="str">
        <f t="shared" si="0"/>
        <v>pass</v>
      </c>
      <c r="U27" s="50"/>
      <c r="V27" s="51"/>
      <c r="W27" s="50"/>
      <c r="X27" s="50"/>
      <c r="Y27" s="50"/>
      <c r="Z27" s="50"/>
      <c r="AA27" s="50"/>
      <c r="AB27" s="50"/>
      <c r="AC27" s="50"/>
      <c r="AD27" s="50"/>
      <c r="AE27" s="50"/>
    </row>
    <row r="28" spans="2:31" x14ac:dyDescent="0.25">
      <c r="B28" s="27">
        <v>15</v>
      </c>
      <c r="C28" s="48"/>
      <c r="D28" s="48"/>
      <c r="E28" s="48"/>
      <c r="F28" s="48"/>
      <c r="G28" s="48"/>
      <c r="H28" s="48"/>
      <c r="I28" s="48"/>
      <c r="J28" s="48"/>
      <c r="K28" s="49"/>
      <c r="L28" s="50"/>
      <c r="M28" s="50"/>
      <c r="N28" s="50"/>
      <c r="O28" s="50"/>
      <c r="P28" s="50"/>
      <c r="Q28" s="50"/>
      <c r="R28" s="50"/>
      <c r="S28" s="50"/>
      <c r="T28" s="26" t="str">
        <f t="shared" si="0"/>
        <v>pass</v>
      </c>
      <c r="U28" s="50"/>
      <c r="V28" s="51"/>
      <c r="W28" s="50"/>
      <c r="X28" s="50"/>
      <c r="Y28" s="50"/>
      <c r="Z28" s="50"/>
      <c r="AA28" s="50"/>
      <c r="AB28" s="50"/>
      <c r="AC28" s="50"/>
      <c r="AD28" s="50"/>
      <c r="AE28" s="50"/>
    </row>
    <row r="29" spans="2:31" x14ac:dyDescent="0.25">
      <c r="B29" s="27">
        <v>16</v>
      </c>
      <c r="C29" s="48"/>
      <c r="D29" s="48"/>
      <c r="E29" s="48"/>
      <c r="F29" s="48"/>
      <c r="G29" s="48"/>
      <c r="H29" s="48"/>
      <c r="I29" s="48"/>
      <c r="J29" s="48"/>
      <c r="K29" s="49"/>
      <c r="L29" s="50"/>
      <c r="M29" s="50"/>
      <c r="N29" s="50"/>
      <c r="O29" s="50"/>
      <c r="P29" s="50"/>
      <c r="Q29" s="50"/>
      <c r="R29" s="50"/>
      <c r="S29" s="50"/>
      <c r="T29" s="26" t="str">
        <f t="shared" si="0"/>
        <v>pass</v>
      </c>
      <c r="U29" s="50"/>
      <c r="V29" s="51"/>
      <c r="W29" s="50"/>
      <c r="X29" s="50"/>
      <c r="Y29" s="50"/>
      <c r="Z29" s="50"/>
      <c r="AA29" s="50"/>
      <c r="AB29" s="50"/>
      <c r="AC29" s="50"/>
      <c r="AD29" s="50"/>
      <c r="AE29" s="50"/>
    </row>
    <row r="30" spans="2:31" x14ac:dyDescent="0.25">
      <c r="B30" s="27">
        <v>17</v>
      </c>
      <c r="C30" s="48"/>
      <c r="D30" s="48"/>
      <c r="E30" s="48"/>
      <c r="F30" s="48"/>
      <c r="G30" s="48"/>
      <c r="H30" s="48"/>
      <c r="I30" s="48"/>
      <c r="J30" s="48"/>
      <c r="K30" s="49"/>
      <c r="L30" s="50"/>
      <c r="M30" s="50"/>
      <c r="N30" s="50"/>
      <c r="O30" s="50"/>
      <c r="P30" s="50"/>
      <c r="Q30" s="50"/>
      <c r="R30" s="50"/>
      <c r="S30" s="50"/>
      <c r="T30" s="26" t="str">
        <f t="shared" si="0"/>
        <v>pass</v>
      </c>
      <c r="U30" s="50"/>
      <c r="V30" s="51"/>
      <c r="W30" s="50"/>
      <c r="X30" s="50"/>
      <c r="Y30" s="50"/>
      <c r="Z30" s="50"/>
      <c r="AA30" s="50"/>
      <c r="AB30" s="50"/>
      <c r="AC30" s="50"/>
      <c r="AD30" s="50"/>
      <c r="AE30" s="50"/>
    </row>
    <row r="31" spans="2:31" x14ac:dyDescent="0.25">
      <c r="B31" s="27">
        <v>18</v>
      </c>
      <c r="C31" s="48"/>
      <c r="D31" s="48"/>
      <c r="E31" s="48"/>
      <c r="F31" s="48"/>
      <c r="G31" s="48"/>
      <c r="H31" s="48"/>
      <c r="I31" s="48"/>
      <c r="J31" s="48"/>
      <c r="K31" s="49"/>
      <c r="L31" s="50"/>
      <c r="M31" s="50"/>
      <c r="N31" s="50"/>
      <c r="O31" s="50"/>
      <c r="P31" s="50"/>
      <c r="Q31" s="50"/>
      <c r="R31" s="50"/>
      <c r="S31" s="50"/>
      <c r="T31" s="26" t="str">
        <f t="shared" si="0"/>
        <v>pass</v>
      </c>
      <c r="U31" s="50"/>
      <c r="V31" s="51"/>
      <c r="W31" s="50"/>
      <c r="X31" s="50"/>
      <c r="Y31" s="50"/>
      <c r="Z31" s="50"/>
      <c r="AA31" s="50"/>
      <c r="AB31" s="50"/>
      <c r="AC31" s="50"/>
      <c r="AD31" s="50"/>
      <c r="AE31" s="50"/>
    </row>
    <row r="32" spans="2:31" x14ac:dyDescent="0.25">
      <c r="B32" s="27">
        <v>19</v>
      </c>
      <c r="C32" s="48"/>
      <c r="D32" s="48"/>
      <c r="E32" s="48"/>
      <c r="F32" s="48"/>
      <c r="G32" s="48"/>
      <c r="H32" s="48"/>
      <c r="I32" s="48"/>
      <c r="J32" s="48"/>
      <c r="K32" s="49"/>
      <c r="L32" s="50"/>
      <c r="M32" s="50"/>
      <c r="N32" s="50"/>
      <c r="O32" s="50"/>
      <c r="P32" s="50"/>
      <c r="Q32" s="50"/>
      <c r="R32" s="50"/>
      <c r="S32" s="50"/>
      <c r="T32" s="26" t="str">
        <f t="shared" si="0"/>
        <v>pass</v>
      </c>
      <c r="U32" s="50"/>
      <c r="V32" s="51"/>
      <c r="W32" s="50"/>
      <c r="X32" s="50"/>
      <c r="Y32" s="50"/>
      <c r="Z32" s="50"/>
      <c r="AA32" s="50"/>
      <c r="AB32" s="50"/>
      <c r="AC32" s="50"/>
      <c r="AD32" s="50"/>
      <c r="AE32" s="50"/>
    </row>
    <row r="33" spans="2:31" x14ac:dyDescent="0.25">
      <c r="B33" s="27">
        <v>20</v>
      </c>
      <c r="C33" s="48"/>
      <c r="D33" s="48"/>
      <c r="E33" s="48"/>
      <c r="F33" s="48"/>
      <c r="G33" s="48"/>
      <c r="H33" s="48"/>
      <c r="I33" s="48"/>
      <c r="J33" s="48"/>
      <c r="K33" s="49"/>
      <c r="L33" s="50"/>
      <c r="M33" s="50"/>
      <c r="N33" s="50"/>
      <c r="O33" s="50"/>
      <c r="P33" s="50"/>
      <c r="Q33" s="50"/>
      <c r="R33" s="50"/>
      <c r="S33" s="50"/>
      <c r="T33" s="26" t="str">
        <f t="shared" si="0"/>
        <v>pass</v>
      </c>
      <c r="U33" s="50"/>
      <c r="V33" s="51"/>
      <c r="W33" s="50"/>
      <c r="X33" s="50"/>
      <c r="Y33" s="50"/>
      <c r="Z33" s="50"/>
      <c r="AA33" s="50"/>
      <c r="AB33" s="50"/>
      <c r="AC33" s="50"/>
      <c r="AD33" s="50"/>
      <c r="AE33" s="50"/>
    </row>
    <row r="34" spans="2:31" x14ac:dyDescent="0.25">
      <c r="B34" s="27">
        <v>21</v>
      </c>
      <c r="C34" s="48"/>
      <c r="D34" s="48"/>
      <c r="E34" s="48"/>
      <c r="F34" s="48"/>
      <c r="G34" s="48"/>
      <c r="H34" s="48"/>
      <c r="I34" s="48"/>
      <c r="J34" s="48"/>
      <c r="K34" s="49"/>
      <c r="L34" s="50"/>
      <c r="M34" s="50"/>
      <c r="N34" s="50"/>
      <c r="O34" s="50"/>
      <c r="P34" s="50"/>
      <c r="Q34" s="50"/>
      <c r="R34" s="50"/>
      <c r="S34" s="50"/>
      <c r="T34" s="26" t="str">
        <f t="shared" si="0"/>
        <v>pass</v>
      </c>
      <c r="U34" s="50"/>
      <c r="V34" s="51"/>
      <c r="W34" s="50"/>
      <c r="X34" s="50"/>
      <c r="Y34" s="50"/>
      <c r="Z34" s="50"/>
      <c r="AA34" s="50"/>
      <c r="AB34" s="50"/>
      <c r="AC34" s="50"/>
      <c r="AD34" s="50"/>
      <c r="AE34" s="50"/>
    </row>
    <row r="35" spans="2:31" x14ac:dyDescent="0.25">
      <c r="B35" s="27">
        <v>22</v>
      </c>
      <c r="C35" s="48"/>
      <c r="D35" s="48"/>
      <c r="E35" s="48"/>
      <c r="F35" s="48"/>
      <c r="G35" s="48"/>
      <c r="H35" s="48"/>
      <c r="I35" s="48"/>
      <c r="J35" s="48"/>
      <c r="K35" s="49"/>
      <c r="L35" s="50"/>
      <c r="M35" s="50"/>
      <c r="N35" s="50"/>
      <c r="O35" s="50"/>
      <c r="P35" s="50"/>
      <c r="Q35" s="50"/>
      <c r="R35" s="50"/>
      <c r="S35" s="50"/>
      <c r="T35" s="26" t="str">
        <f t="shared" si="0"/>
        <v>pass</v>
      </c>
      <c r="U35" s="50"/>
      <c r="V35" s="51"/>
      <c r="W35" s="50"/>
      <c r="X35" s="50"/>
      <c r="Y35" s="50"/>
      <c r="Z35" s="50"/>
      <c r="AA35" s="50"/>
      <c r="AB35" s="50"/>
      <c r="AC35" s="50"/>
      <c r="AD35" s="50"/>
      <c r="AE35" s="50"/>
    </row>
    <row r="36" spans="2:31" hidden="1" outlineLevel="1" x14ac:dyDescent="0.25">
      <c r="B36" s="27">
        <v>23</v>
      </c>
      <c r="C36" s="48"/>
      <c r="D36" s="48"/>
      <c r="E36" s="48"/>
      <c r="F36" s="48"/>
      <c r="G36" s="48"/>
      <c r="H36" s="48"/>
      <c r="I36" s="48"/>
      <c r="J36" s="48"/>
      <c r="K36" s="49"/>
      <c r="L36" s="50"/>
      <c r="M36" s="50"/>
      <c r="N36" s="50"/>
      <c r="O36" s="50"/>
      <c r="P36" s="50"/>
      <c r="Q36" s="50"/>
      <c r="R36" s="50"/>
      <c r="S36" s="50"/>
      <c r="T36" s="26" t="str">
        <f t="shared" si="0"/>
        <v>pass</v>
      </c>
      <c r="U36" s="50"/>
      <c r="V36" s="51"/>
      <c r="W36" s="50"/>
      <c r="X36" s="50"/>
      <c r="Y36" s="50"/>
      <c r="Z36" s="50"/>
      <c r="AA36" s="50"/>
      <c r="AB36" s="50"/>
      <c r="AC36" s="50"/>
      <c r="AD36" s="50"/>
    </row>
    <row r="37" spans="2:31" hidden="1" outlineLevel="1" x14ac:dyDescent="0.25">
      <c r="B37" s="27">
        <v>24</v>
      </c>
      <c r="C37" s="48"/>
      <c r="D37" s="48"/>
      <c r="E37" s="48"/>
      <c r="F37" s="48"/>
      <c r="G37" s="48"/>
      <c r="H37" s="48"/>
      <c r="I37" s="48"/>
      <c r="J37" s="48"/>
      <c r="K37" s="49"/>
      <c r="L37" s="50"/>
      <c r="M37" s="50"/>
      <c r="N37" s="50"/>
      <c r="O37" s="50"/>
      <c r="P37" s="50"/>
      <c r="Q37" s="50"/>
      <c r="R37" s="50"/>
      <c r="S37" s="50"/>
      <c r="T37" s="26" t="str">
        <f t="shared" si="0"/>
        <v>pass</v>
      </c>
      <c r="U37" s="50"/>
      <c r="V37" s="51"/>
      <c r="W37" s="50"/>
      <c r="X37" s="50"/>
      <c r="Y37" s="50"/>
      <c r="Z37" s="50"/>
      <c r="AA37" s="50"/>
      <c r="AB37" s="50"/>
      <c r="AC37" s="50"/>
      <c r="AD37" s="50"/>
    </row>
    <row r="38" spans="2:31" hidden="1" outlineLevel="1" x14ac:dyDescent="0.25">
      <c r="B38" s="27">
        <v>25</v>
      </c>
      <c r="C38" s="48"/>
      <c r="D38" s="48"/>
      <c r="E38" s="48"/>
      <c r="F38" s="48"/>
      <c r="G38" s="48"/>
      <c r="H38" s="48"/>
      <c r="I38" s="48"/>
      <c r="J38" s="48"/>
      <c r="K38" s="49"/>
      <c r="L38" s="50"/>
      <c r="M38" s="50"/>
      <c r="N38" s="50"/>
      <c r="O38" s="50"/>
      <c r="P38" s="50"/>
      <c r="Q38" s="50"/>
      <c r="R38" s="50"/>
      <c r="S38" s="50"/>
      <c r="T38" s="26" t="str">
        <f t="shared" si="0"/>
        <v>pass</v>
      </c>
      <c r="U38" s="50"/>
      <c r="V38" s="51"/>
      <c r="W38" s="50"/>
      <c r="X38" s="50"/>
      <c r="Y38" s="50"/>
      <c r="Z38" s="50"/>
      <c r="AA38" s="50"/>
      <c r="AB38" s="50"/>
      <c r="AC38" s="50"/>
      <c r="AD38" s="50"/>
    </row>
    <row r="39" spans="2:31" hidden="1" outlineLevel="1" x14ac:dyDescent="0.25">
      <c r="B39" s="27">
        <v>26</v>
      </c>
      <c r="C39" s="48"/>
      <c r="D39" s="48"/>
      <c r="E39" s="48"/>
      <c r="F39" s="48"/>
      <c r="G39" s="48"/>
      <c r="H39" s="48"/>
      <c r="I39" s="48"/>
      <c r="J39" s="48"/>
      <c r="K39" s="49"/>
      <c r="L39" s="50"/>
      <c r="M39" s="50"/>
      <c r="N39" s="50"/>
      <c r="O39" s="50"/>
      <c r="P39" s="50"/>
      <c r="Q39" s="50"/>
      <c r="R39" s="50"/>
      <c r="S39" s="50"/>
      <c r="T39" s="26" t="str">
        <f t="shared" si="0"/>
        <v>pass</v>
      </c>
      <c r="U39" s="50"/>
      <c r="V39" s="51"/>
      <c r="W39" s="50"/>
      <c r="X39" s="50"/>
      <c r="Y39" s="50"/>
      <c r="Z39" s="50"/>
      <c r="AA39" s="50"/>
      <c r="AB39" s="50"/>
      <c r="AC39" s="50"/>
      <c r="AD39" s="50"/>
    </row>
    <row r="40" spans="2:31" hidden="1" outlineLevel="1" x14ac:dyDescent="0.25">
      <c r="B40" s="27">
        <v>27</v>
      </c>
      <c r="C40" s="48"/>
      <c r="D40" s="48"/>
      <c r="E40" s="48"/>
      <c r="F40" s="48"/>
      <c r="G40" s="48"/>
      <c r="H40" s="48"/>
      <c r="I40" s="48"/>
      <c r="J40" s="48"/>
      <c r="K40" s="49"/>
      <c r="L40" s="50"/>
      <c r="M40" s="50"/>
      <c r="N40" s="50"/>
      <c r="O40" s="50"/>
      <c r="P40" s="50"/>
      <c r="Q40" s="50"/>
      <c r="R40" s="50"/>
      <c r="S40" s="50"/>
      <c r="T40" s="26" t="str">
        <f t="shared" si="0"/>
        <v>pass</v>
      </c>
      <c r="U40" s="50"/>
      <c r="V40" s="51"/>
      <c r="W40" s="50"/>
      <c r="X40" s="50"/>
      <c r="Y40" s="50"/>
      <c r="Z40" s="50"/>
      <c r="AA40" s="50"/>
      <c r="AB40" s="50"/>
      <c r="AC40" s="50"/>
      <c r="AD40" s="50"/>
    </row>
    <row r="41" spans="2:31" hidden="1" outlineLevel="1" x14ac:dyDescent="0.25">
      <c r="B41" s="27">
        <v>28</v>
      </c>
      <c r="C41" s="48"/>
      <c r="D41" s="48"/>
      <c r="E41" s="48"/>
      <c r="F41" s="48"/>
      <c r="G41" s="48"/>
      <c r="H41" s="48"/>
      <c r="I41" s="48"/>
      <c r="J41" s="48"/>
      <c r="K41" s="49"/>
      <c r="L41" s="50"/>
      <c r="M41" s="50"/>
      <c r="N41" s="50"/>
      <c r="O41" s="50"/>
      <c r="P41" s="50"/>
      <c r="Q41" s="50"/>
      <c r="R41" s="50"/>
      <c r="S41" s="50"/>
      <c r="T41" s="26" t="str">
        <f t="shared" si="0"/>
        <v>pass</v>
      </c>
      <c r="U41" s="50"/>
      <c r="V41" s="51"/>
      <c r="W41" s="50"/>
      <c r="X41" s="50"/>
      <c r="Y41" s="50"/>
      <c r="Z41" s="50"/>
      <c r="AA41" s="50"/>
      <c r="AB41" s="50"/>
      <c r="AC41" s="50"/>
      <c r="AD41" s="50"/>
    </row>
    <row r="42" spans="2:31" hidden="1" outlineLevel="1" x14ac:dyDescent="0.25">
      <c r="B42" s="27">
        <v>29</v>
      </c>
      <c r="C42" s="48"/>
      <c r="D42" s="48"/>
      <c r="E42" s="48"/>
      <c r="F42" s="48"/>
      <c r="G42" s="48"/>
      <c r="H42" s="48"/>
      <c r="I42" s="48"/>
      <c r="J42" s="48"/>
      <c r="K42" s="49"/>
      <c r="L42" s="50"/>
      <c r="M42" s="50"/>
      <c r="N42" s="50"/>
      <c r="O42" s="50"/>
      <c r="P42" s="50"/>
      <c r="Q42" s="50"/>
      <c r="R42" s="50"/>
      <c r="S42" s="50"/>
      <c r="T42" s="26" t="str">
        <f t="shared" si="0"/>
        <v>pass</v>
      </c>
      <c r="U42" s="50"/>
      <c r="V42" s="51"/>
      <c r="W42" s="50"/>
      <c r="X42" s="50"/>
      <c r="Y42" s="50"/>
      <c r="Z42" s="50"/>
      <c r="AA42" s="50"/>
      <c r="AB42" s="50"/>
      <c r="AC42" s="50"/>
      <c r="AD42" s="50"/>
    </row>
    <row r="43" spans="2:31" hidden="1" outlineLevel="1" x14ac:dyDescent="0.25">
      <c r="B43" s="27">
        <v>30</v>
      </c>
      <c r="C43" s="48"/>
      <c r="D43" s="48"/>
      <c r="E43" s="48"/>
      <c r="F43" s="48"/>
      <c r="G43" s="48"/>
      <c r="H43" s="48"/>
      <c r="I43" s="48"/>
      <c r="J43" s="48"/>
      <c r="K43" s="49"/>
      <c r="L43" s="50"/>
      <c r="M43" s="50"/>
      <c r="N43" s="50"/>
      <c r="O43" s="50"/>
      <c r="P43" s="50"/>
      <c r="Q43" s="50"/>
      <c r="R43" s="50"/>
      <c r="S43" s="50"/>
      <c r="T43" s="26" t="str">
        <f t="shared" si="0"/>
        <v>pass</v>
      </c>
      <c r="U43" s="50"/>
      <c r="V43" s="51"/>
      <c r="W43" s="50"/>
      <c r="X43" s="50"/>
      <c r="Y43" s="50"/>
      <c r="Z43" s="50"/>
      <c r="AA43" s="50"/>
      <c r="AB43" s="50"/>
      <c r="AC43" s="50"/>
      <c r="AD43" s="50"/>
    </row>
    <row r="44" spans="2:31" hidden="1" outlineLevel="1" x14ac:dyDescent="0.25">
      <c r="B44" s="27">
        <v>31</v>
      </c>
      <c r="C44" s="48"/>
      <c r="D44" s="48"/>
      <c r="E44" s="48"/>
      <c r="F44" s="48"/>
      <c r="G44" s="48"/>
      <c r="H44" s="48"/>
      <c r="I44" s="48"/>
      <c r="J44" s="48"/>
      <c r="K44" s="49"/>
      <c r="L44" s="50"/>
      <c r="M44" s="50"/>
      <c r="N44" s="50"/>
      <c r="O44" s="50"/>
      <c r="P44" s="50"/>
      <c r="Q44" s="50"/>
      <c r="R44" s="50"/>
      <c r="S44" s="50"/>
      <c r="T44" s="26" t="str">
        <f t="shared" si="0"/>
        <v>pass</v>
      </c>
      <c r="U44" s="50"/>
      <c r="V44" s="51"/>
      <c r="W44" s="50"/>
      <c r="X44" s="50"/>
      <c r="Y44" s="50"/>
      <c r="Z44" s="50"/>
      <c r="AA44" s="50"/>
      <c r="AB44" s="50"/>
      <c r="AC44" s="50"/>
      <c r="AD44" s="50"/>
    </row>
    <row r="45" spans="2:31" hidden="1" outlineLevel="1" x14ac:dyDescent="0.25">
      <c r="B45" s="27">
        <v>32</v>
      </c>
      <c r="C45" s="48"/>
      <c r="D45" s="48"/>
      <c r="E45" s="48"/>
      <c r="F45" s="48"/>
      <c r="G45" s="48"/>
      <c r="H45" s="48"/>
      <c r="I45" s="48"/>
      <c r="J45" s="48"/>
      <c r="K45" s="49"/>
      <c r="L45" s="50"/>
      <c r="M45" s="50"/>
      <c r="N45" s="50"/>
      <c r="O45" s="50"/>
      <c r="P45" s="50"/>
      <c r="Q45" s="50"/>
      <c r="R45" s="50"/>
      <c r="S45" s="50"/>
      <c r="T45" s="26" t="str">
        <f t="shared" si="0"/>
        <v>pass</v>
      </c>
      <c r="U45" s="50"/>
      <c r="V45" s="51"/>
      <c r="W45" s="50"/>
      <c r="X45" s="50"/>
      <c r="Y45" s="50"/>
      <c r="Z45" s="50"/>
      <c r="AA45" s="50"/>
      <c r="AB45" s="50"/>
      <c r="AC45" s="50"/>
      <c r="AD45" s="50"/>
    </row>
    <row r="46" spans="2:31" hidden="1" outlineLevel="1" x14ac:dyDescent="0.25">
      <c r="B46" s="27">
        <v>33</v>
      </c>
      <c r="C46" s="48"/>
      <c r="D46" s="48"/>
      <c r="E46" s="48"/>
      <c r="F46" s="48"/>
      <c r="G46" s="48"/>
      <c r="H46" s="48"/>
      <c r="I46" s="48"/>
      <c r="J46" s="48"/>
      <c r="K46" s="49"/>
      <c r="L46" s="50"/>
      <c r="M46" s="50"/>
      <c r="N46" s="50"/>
      <c r="O46" s="50"/>
      <c r="P46" s="50"/>
      <c r="Q46" s="50"/>
      <c r="R46" s="50"/>
      <c r="S46" s="50"/>
      <c r="T46" s="26" t="str">
        <f t="shared" ref="T46:T77" si="1">IF(AND(C46&lt;&gt;"",SUM(K46,M46,O46,Q46,S46)=1),"pass",IF(AND(C46="",SUM(K46,M46,O46,Q46,S46)=0),"pass","fail"))</f>
        <v>pass</v>
      </c>
      <c r="U46" s="50"/>
      <c r="V46" s="51"/>
      <c r="W46" s="50"/>
      <c r="X46" s="50"/>
      <c r="Y46" s="50"/>
      <c r="Z46" s="50"/>
      <c r="AA46" s="50"/>
      <c r="AB46" s="50"/>
      <c r="AC46" s="50"/>
      <c r="AD46" s="50"/>
    </row>
    <row r="47" spans="2:31" hidden="1" outlineLevel="1" x14ac:dyDescent="0.25">
      <c r="B47" s="27">
        <v>34</v>
      </c>
      <c r="C47" s="48"/>
      <c r="D47" s="48"/>
      <c r="E47" s="48"/>
      <c r="F47" s="48"/>
      <c r="G47" s="48"/>
      <c r="H47" s="48"/>
      <c r="I47" s="48"/>
      <c r="J47" s="48"/>
      <c r="K47" s="49"/>
      <c r="L47" s="50"/>
      <c r="M47" s="50"/>
      <c r="N47" s="50"/>
      <c r="O47" s="50"/>
      <c r="P47" s="50"/>
      <c r="Q47" s="50"/>
      <c r="R47" s="50"/>
      <c r="S47" s="50"/>
      <c r="T47" s="26" t="str">
        <f t="shared" si="1"/>
        <v>pass</v>
      </c>
      <c r="U47" s="50"/>
      <c r="V47" s="51"/>
      <c r="W47" s="50"/>
      <c r="X47" s="50"/>
      <c r="Y47" s="50"/>
      <c r="Z47" s="50"/>
      <c r="AA47" s="50"/>
      <c r="AB47" s="50"/>
      <c r="AC47" s="50"/>
      <c r="AD47" s="50"/>
    </row>
    <row r="48" spans="2:31" hidden="1" outlineLevel="1" x14ac:dyDescent="0.25">
      <c r="B48" s="27">
        <v>35</v>
      </c>
      <c r="C48" s="48"/>
      <c r="D48" s="48"/>
      <c r="E48" s="48"/>
      <c r="F48" s="48"/>
      <c r="G48" s="48"/>
      <c r="H48" s="48"/>
      <c r="I48" s="48"/>
      <c r="J48" s="48"/>
      <c r="K48" s="49"/>
      <c r="L48" s="50"/>
      <c r="M48" s="50"/>
      <c r="N48" s="50"/>
      <c r="O48" s="50"/>
      <c r="P48" s="50"/>
      <c r="Q48" s="50"/>
      <c r="R48" s="50"/>
      <c r="S48" s="50"/>
      <c r="T48" s="26" t="str">
        <f t="shared" si="1"/>
        <v>pass</v>
      </c>
      <c r="U48" s="50"/>
      <c r="V48" s="51"/>
      <c r="W48" s="50"/>
      <c r="X48" s="50"/>
      <c r="Y48" s="50"/>
      <c r="Z48" s="50"/>
      <c r="AA48" s="50"/>
      <c r="AB48" s="50"/>
      <c r="AC48" s="50"/>
      <c r="AD48" s="50"/>
    </row>
    <row r="49" spans="2:30" hidden="1" outlineLevel="1" x14ac:dyDescent="0.25">
      <c r="B49" s="27">
        <v>36</v>
      </c>
      <c r="C49" s="48"/>
      <c r="D49" s="48"/>
      <c r="E49" s="48"/>
      <c r="F49" s="48"/>
      <c r="G49" s="48"/>
      <c r="H49" s="48"/>
      <c r="I49" s="48"/>
      <c r="J49" s="48"/>
      <c r="K49" s="49"/>
      <c r="L49" s="50"/>
      <c r="M49" s="50"/>
      <c r="N49" s="50"/>
      <c r="O49" s="50"/>
      <c r="P49" s="50"/>
      <c r="Q49" s="50"/>
      <c r="R49" s="50"/>
      <c r="S49" s="50"/>
      <c r="T49" s="26" t="str">
        <f t="shared" si="1"/>
        <v>pass</v>
      </c>
      <c r="U49" s="50"/>
      <c r="V49" s="51"/>
      <c r="W49" s="50"/>
      <c r="X49" s="50"/>
      <c r="Y49" s="50"/>
      <c r="Z49" s="50"/>
      <c r="AA49" s="50"/>
      <c r="AB49" s="50"/>
      <c r="AC49" s="50"/>
      <c r="AD49" s="50"/>
    </row>
    <row r="50" spans="2:30" hidden="1" outlineLevel="1" x14ac:dyDescent="0.25">
      <c r="B50" s="27">
        <v>37</v>
      </c>
      <c r="C50" s="48"/>
      <c r="D50" s="48"/>
      <c r="E50" s="48"/>
      <c r="F50" s="48"/>
      <c r="G50" s="48"/>
      <c r="H50" s="48"/>
      <c r="I50" s="48"/>
      <c r="J50" s="48"/>
      <c r="K50" s="49"/>
      <c r="L50" s="50"/>
      <c r="M50" s="50"/>
      <c r="N50" s="50"/>
      <c r="O50" s="50"/>
      <c r="P50" s="50"/>
      <c r="Q50" s="50"/>
      <c r="R50" s="50"/>
      <c r="S50" s="50"/>
      <c r="T50" s="26" t="str">
        <f t="shared" si="1"/>
        <v>pass</v>
      </c>
      <c r="U50" s="50"/>
      <c r="V50" s="51"/>
      <c r="W50" s="50"/>
      <c r="X50" s="50"/>
      <c r="Y50" s="50"/>
      <c r="Z50" s="50"/>
      <c r="AA50" s="50"/>
      <c r="AB50" s="50"/>
      <c r="AC50" s="50"/>
      <c r="AD50" s="50"/>
    </row>
    <row r="51" spans="2:30" hidden="1" outlineLevel="1" x14ac:dyDescent="0.25">
      <c r="B51" s="27">
        <v>38</v>
      </c>
      <c r="C51" s="48"/>
      <c r="D51" s="48"/>
      <c r="E51" s="48"/>
      <c r="F51" s="48"/>
      <c r="G51" s="48"/>
      <c r="H51" s="48"/>
      <c r="I51" s="48"/>
      <c r="J51" s="48"/>
      <c r="K51" s="49"/>
      <c r="L51" s="50"/>
      <c r="M51" s="50"/>
      <c r="N51" s="50"/>
      <c r="O51" s="50"/>
      <c r="P51" s="50"/>
      <c r="Q51" s="50"/>
      <c r="R51" s="50"/>
      <c r="S51" s="50"/>
      <c r="T51" s="26" t="str">
        <f t="shared" si="1"/>
        <v>pass</v>
      </c>
      <c r="U51" s="50"/>
      <c r="V51" s="51"/>
      <c r="W51" s="50"/>
      <c r="X51" s="50"/>
      <c r="Y51" s="50"/>
      <c r="Z51" s="50"/>
      <c r="AA51" s="50"/>
      <c r="AB51" s="50"/>
      <c r="AC51" s="50"/>
      <c r="AD51" s="50"/>
    </row>
    <row r="52" spans="2:30" hidden="1" outlineLevel="1" x14ac:dyDescent="0.25">
      <c r="B52" s="27">
        <v>39</v>
      </c>
      <c r="C52" s="48"/>
      <c r="D52" s="48"/>
      <c r="E52" s="48"/>
      <c r="F52" s="48"/>
      <c r="G52" s="48"/>
      <c r="H52" s="48"/>
      <c r="I52" s="48"/>
      <c r="J52" s="48"/>
      <c r="K52" s="49"/>
      <c r="L52" s="50"/>
      <c r="M52" s="50"/>
      <c r="N52" s="50"/>
      <c r="O52" s="50"/>
      <c r="P52" s="50"/>
      <c r="Q52" s="50"/>
      <c r="R52" s="50"/>
      <c r="S52" s="50"/>
      <c r="T52" s="26" t="str">
        <f t="shared" si="1"/>
        <v>pass</v>
      </c>
      <c r="U52" s="50"/>
      <c r="V52" s="51"/>
      <c r="W52" s="50"/>
      <c r="X52" s="50"/>
      <c r="Y52" s="50"/>
      <c r="Z52" s="50"/>
      <c r="AA52" s="50"/>
      <c r="AB52" s="50"/>
      <c r="AC52" s="50"/>
      <c r="AD52" s="50"/>
    </row>
    <row r="53" spans="2:30" hidden="1" outlineLevel="1" x14ac:dyDescent="0.25">
      <c r="B53" s="27">
        <v>40</v>
      </c>
      <c r="C53" s="48"/>
      <c r="D53" s="48"/>
      <c r="E53" s="48"/>
      <c r="F53" s="48"/>
      <c r="G53" s="48"/>
      <c r="H53" s="48"/>
      <c r="I53" s="48"/>
      <c r="J53" s="48"/>
      <c r="K53" s="49"/>
      <c r="L53" s="50"/>
      <c r="M53" s="50"/>
      <c r="N53" s="50"/>
      <c r="O53" s="50"/>
      <c r="P53" s="50"/>
      <c r="Q53" s="50"/>
      <c r="R53" s="50"/>
      <c r="S53" s="50"/>
      <c r="T53" s="26" t="str">
        <f t="shared" si="1"/>
        <v>pass</v>
      </c>
      <c r="U53" s="50"/>
      <c r="V53" s="51"/>
      <c r="W53" s="50"/>
      <c r="X53" s="50"/>
      <c r="Y53" s="50"/>
      <c r="Z53" s="50"/>
      <c r="AA53" s="50"/>
      <c r="AB53" s="50"/>
      <c r="AC53" s="50"/>
      <c r="AD53" s="50"/>
    </row>
    <row r="54" spans="2:30" hidden="1" outlineLevel="1" x14ac:dyDescent="0.25">
      <c r="B54" s="27">
        <v>41</v>
      </c>
      <c r="C54" s="48"/>
      <c r="D54" s="48"/>
      <c r="E54" s="48"/>
      <c r="F54" s="48"/>
      <c r="G54" s="48"/>
      <c r="H54" s="48"/>
      <c r="I54" s="48"/>
      <c r="J54" s="48"/>
      <c r="K54" s="49"/>
      <c r="L54" s="50"/>
      <c r="M54" s="50"/>
      <c r="N54" s="50"/>
      <c r="O54" s="50"/>
      <c r="P54" s="50"/>
      <c r="Q54" s="50"/>
      <c r="R54" s="50"/>
      <c r="S54" s="50"/>
      <c r="T54" s="26" t="str">
        <f t="shared" si="1"/>
        <v>pass</v>
      </c>
      <c r="U54" s="50"/>
      <c r="V54" s="51"/>
      <c r="W54" s="50"/>
      <c r="X54" s="50"/>
      <c r="Y54" s="50"/>
      <c r="Z54" s="50"/>
      <c r="AA54" s="50"/>
      <c r="AB54" s="50"/>
      <c r="AC54" s="50"/>
      <c r="AD54" s="50"/>
    </row>
    <row r="55" spans="2:30" hidden="1" outlineLevel="1" x14ac:dyDescent="0.25">
      <c r="B55" s="27">
        <v>42</v>
      </c>
      <c r="C55" s="48"/>
      <c r="D55" s="48"/>
      <c r="E55" s="48"/>
      <c r="F55" s="48"/>
      <c r="G55" s="48"/>
      <c r="H55" s="48"/>
      <c r="I55" s="48"/>
      <c r="J55" s="48"/>
      <c r="K55" s="49"/>
      <c r="L55" s="50"/>
      <c r="M55" s="50"/>
      <c r="N55" s="50"/>
      <c r="O55" s="50"/>
      <c r="P55" s="50"/>
      <c r="Q55" s="50"/>
      <c r="R55" s="50"/>
      <c r="S55" s="50"/>
      <c r="T55" s="26" t="str">
        <f t="shared" si="1"/>
        <v>pass</v>
      </c>
      <c r="U55" s="50"/>
      <c r="V55" s="51"/>
      <c r="W55" s="50"/>
      <c r="X55" s="50"/>
      <c r="Y55" s="50"/>
      <c r="Z55" s="50"/>
      <c r="AA55" s="50"/>
      <c r="AB55" s="50"/>
      <c r="AC55" s="50"/>
      <c r="AD55" s="50"/>
    </row>
    <row r="56" spans="2:30" hidden="1" outlineLevel="1" x14ac:dyDescent="0.25">
      <c r="B56" s="27">
        <v>43</v>
      </c>
      <c r="C56" s="48"/>
      <c r="D56" s="48"/>
      <c r="E56" s="48"/>
      <c r="F56" s="48"/>
      <c r="G56" s="48"/>
      <c r="H56" s="48"/>
      <c r="I56" s="48"/>
      <c r="J56" s="48"/>
      <c r="K56" s="49"/>
      <c r="L56" s="50"/>
      <c r="M56" s="50"/>
      <c r="N56" s="50"/>
      <c r="O56" s="50"/>
      <c r="P56" s="50"/>
      <c r="Q56" s="50"/>
      <c r="R56" s="50"/>
      <c r="S56" s="50"/>
      <c r="T56" s="26" t="str">
        <f t="shared" si="1"/>
        <v>pass</v>
      </c>
      <c r="U56" s="50"/>
      <c r="V56" s="51"/>
      <c r="W56" s="50"/>
      <c r="X56" s="50"/>
      <c r="Y56" s="50"/>
      <c r="Z56" s="50"/>
      <c r="AA56" s="50"/>
      <c r="AB56" s="50"/>
      <c r="AC56" s="50"/>
      <c r="AD56" s="50"/>
    </row>
    <row r="57" spans="2:30" hidden="1" outlineLevel="1" x14ac:dyDescent="0.25">
      <c r="B57" s="27">
        <v>44</v>
      </c>
      <c r="C57" s="48"/>
      <c r="D57" s="48"/>
      <c r="E57" s="48"/>
      <c r="F57" s="48"/>
      <c r="G57" s="48"/>
      <c r="H57" s="48"/>
      <c r="I57" s="48"/>
      <c r="J57" s="48"/>
      <c r="K57" s="49"/>
      <c r="L57" s="50"/>
      <c r="M57" s="50"/>
      <c r="N57" s="50"/>
      <c r="O57" s="50"/>
      <c r="P57" s="50"/>
      <c r="Q57" s="50"/>
      <c r="R57" s="50"/>
      <c r="S57" s="50"/>
      <c r="T57" s="26" t="str">
        <f t="shared" si="1"/>
        <v>pass</v>
      </c>
      <c r="U57" s="50"/>
      <c r="V57" s="51"/>
      <c r="W57" s="50"/>
      <c r="X57" s="50"/>
      <c r="Y57" s="50"/>
      <c r="Z57" s="50"/>
      <c r="AA57" s="50"/>
      <c r="AB57" s="50"/>
      <c r="AC57" s="50"/>
      <c r="AD57" s="50"/>
    </row>
    <row r="58" spans="2:30" hidden="1" outlineLevel="1" x14ac:dyDescent="0.25">
      <c r="B58" s="27">
        <v>45</v>
      </c>
      <c r="C58" s="48"/>
      <c r="D58" s="48"/>
      <c r="E58" s="48"/>
      <c r="F58" s="48"/>
      <c r="G58" s="48"/>
      <c r="H58" s="48"/>
      <c r="I58" s="48"/>
      <c r="J58" s="48"/>
      <c r="K58" s="49"/>
      <c r="L58" s="50"/>
      <c r="M58" s="50"/>
      <c r="N58" s="50"/>
      <c r="O58" s="50"/>
      <c r="P58" s="50"/>
      <c r="Q58" s="50"/>
      <c r="R58" s="50"/>
      <c r="S58" s="50"/>
      <c r="T58" s="26" t="str">
        <f t="shared" si="1"/>
        <v>pass</v>
      </c>
      <c r="U58" s="50"/>
      <c r="V58" s="51"/>
      <c r="W58" s="50"/>
      <c r="X58" s="50"/>
      <c r="Y58" s="50"/>
      <c r="Z58" s="50"/>
      <c r="AA58" s="50"/>
      <c r="AB58" s="50"/>
      <c r="AC58" s="50"/>
      <c r="AD58" s="50"/>
    </row>
    <row r="59" spans="2:30" hidden="1" outlineLevel="1" x14ac:dyDescent="0.25">
      <c r="B59" s="27">
        <v>46</v>
      </c>
      <c r="C59" s="48"/>
      <c r="D59" s="48"/>
      <c r="E59" s="48"/>
      <c r="F59" s="48"/>
      <c r="G59" s="48"/>
      <c r="H59" s="48"/>
      <c r="I59" s="48"/>
      <c r="J59" s="48"/>
      <c r="K59" s="49"/>
      <c r="L59" s="50"/>
      <c r="M59" s="50"/>
      <c r="N59" s="50"/>
      <c r="O59" s="50"/>
      <c r="P59" s="50"/>
      <c r="Q59" s="50"/>
      <c r="R59" s="50"/>
      <c r="S59" s="50"/>
      <c r="T59" s="26" t="str">
        <f t="shared" si="1"/>
        <v>pass</v>
      </c>
      <c r="U59" s="50"/>
      <c r="V59" s="51"/>
      <c r="W59" s="50"/>
      <c r="X59" s="50"/>
      <c r="Y59" s="50"/>
      <c r="Z59" s="50"/>
      <c r="AA59" s="50"/>
      <c r="AB59" s="50"/>
      <c r="AC59" s="50"/>
      <c r="AD59" s="50"/>
    </row>
    <row r="60" spans="2:30" hidden="1" outlineLevel="1" x14ac:dyDescent="0.25">
      <c r="B60" s="27">
        <v>47</v>
      </c>
      <c r="C60" s="48"/>
      <c r="D60" s="48"/>
      <c r="E60" s="48"/>
      <c r="F60" s="48"/>
      <c r="G60" s="48"/>
      <c r="H60" s="48"/>
      <c r="I60" s="48"/>
      <c r="J60" s="48"/>
      <c r="K60" s="49"/>
      <c r="L60" s="50"/>
      <c r="M60" s="50"/>
      <c r="N60" s="50"/>
      <c r="O60" s="50"/>
      <c r="P60" s="50"/>
      <c r="Q60" s="50"/>
      <c r="R60" s="50"/>
      <c r="S60" s="50"/>
      <c r="T60" s="26" t="str">
        <f t="shared" si="1"/>
        <v>pass</v>
      </c>
      <c r="U60" s="50"/>
      <c r="V60" s="51"/>
      <c r="W60" s="50"/>
      <c r="X60" s="50"/>
      <c r="Y60" s="50"/>
      <c r="Z60" s="50"/>
      <c r="AA60" s="50"/>
      <c r="AB60" s="50"/>
      <c r="AC60" s="50"/>
      <c r="AD60" s="50"/>
    </row>
    <row r="61" spans="2:30" hidden="1" outlineLevel="1" x14ac:dyDescent="0.25">
      <c r="B61" s="27">
        <v>48</v>
      </c>
      <c r="C61" s="48"/>
      <c r="D61" s="48"/>
      <c r="E61" s="48"/>
      <c r="F61" s="48"/>
      <c r="G61" s="48"/>
      <c r="H61" s="48"/>
      <c r="I61" s="48"/>
      <c r="J61" s="48"/>
      <c r="K61" s="49"/>
      <c r="L61" s="50"/>
      <c r="M61" s="50"/>
      <c r="N61" s="50"/>
      <c r="O61" s="50"/>
      <c r="P61" s="50"/>
      <c r="Q61" s="50"/>
      <c r="R61" s="50"/>
      <c r="S61" s="50"/>
      <c r="T61" s="26" t="str">
        <f t="shared" si="1"/>
        <v>pass</v>
      </c>
      <c r="U61" s="50"/>
      <c r="V61" s="51"/>
      <c r="W61" s="50"/>
      <c r="X61" s="50"/>
      <c r="Y61" s="50"/>
      <c r="Z61" s="50"/>
      <c r="AA61" s="50"/>
      <c r="AB61" s="50"/>
      <c r="AC61" s="50"/>
      <c r="AD61" s="50"/>
    </row>
    <row r="62" spans="2:30" hidden="1" outlineLevel="1" x14ac:dyDescent="0.25">
      <c r="B62" s="27">
        <v>49</v>
      </c>
      <c r="C62" s="48"/>
      <c r="D62" s="48"/>
      <c r="E62" s="48"/>
      <c r="F62" s="48"/>
      <c r="G62" s="48"/>
      <c r="H62" s="48"/>
      <c r="I62" s="48"/>
      <c r="J62" s="48"/>
      <c r="K62" s="49"/>
      <c r="L62" s="50"/>
      <c r="M62" s="50"/>
      <c r="N62" s="50"/>
      <c r="O62" s="50"/>
      <c r="P62" s="50"/>
      <c r="Q62" s="50"/>
      <c r="R62" s="50"/>
      <c r="S62" s="50"/>
      <c r="T62" s="26" t="str">
        <f t="shared" si="1"/>
        <v>pass</v>
      </c>
      <c r="U62" s="50"/>
      <c r="V62" s="51"/>
      <c r="W62" s="50"/>
      <c r="X62" s="50"/>
      <c r="Y62" s="50"/>
      <c r="Z62" s="50"/>
      <c r="AA62" s="50"/>
      <c r="AB62" s="50"/>
      <c r="AC62" s="50"/>
      <c r="AD62" s="50"/>
    </row>
    <row r="63" spans="2:30" hidden="1" outlineLevel="1" x14ac:dyDescent="0.25">
      <c r="B63" s="27">
        <v>50</v>
      </c>
      <c r="C63" s="48"/>
      <c r="D63" s="48"/>
      <c r="E63" s="48"/>
      <c r="F63" s="48"/>
      <c r="G63" s="48"/>
      <c r="H63" s="48"/>
      <c r="I63" s="48"/>
      <c r="J63" s="48"/>
      <c r="K63" s="49"/>
      <c r="L63" s="50"/>
      <c r="M63" s="50"/>
      <c r="N63" s="50"/>
      <c r="O63" s="50"/>
      <c r="P63" s="50"/>
      <c r="Q63" s="50"/>
      <c r="R63" s="50"/>
      <c r="S63" s="50"/>
      <c r="T63" s="26" t="str">
        <f t="shared" si="1"/>
        <v>pass</v>
      </c>
      <c r="U63" s="50"/>
      <c r="V63" s="51"/>
      <c r="W63" s="50"/>
      <c r="X63" s="50"/>
      <c r="Y63" s="50"/>
      <c r="Z63" s="50"/>
      <c r="AA63" s="50"/>
      <c r="AB63" s="50"/>
      <c r="AC63" s="50"/>
      <c r="AD63" s="50"/>
    </row>
    <row r="64" spans="2:30" hidden="1" outlineLevel="1" x14ac:dyDescent="0.25">
      <c r="B64" s="27">
        <v>51</v>
      </c>
      <c r="C64" s="48"/>
      <c r="D64" s="48"/>
      <c r="E64" s="48"/>
      <c r="F64" s="48"/>
      <c r="G64" s="48"/>
      <c r="H64" s="48"/>
      <c r="I64" s="48"/>
      <c r="J64" s="48"/>
      <c r="K64" s="49"/>
      <c r="L64" s="50"/>
      <c r="M64" s="50"/>
      <c r="N64" s="50"/>
      <c r="O64" s="50"/>
      <c r="P64" s="50"/>
      <c r="Q64" s="50"/>
      <c r="R64" s="50"/>
      <c r="S64" s="50"/>
      <c r="T64" s="26" t="str">
        <f t="shared" si="1"/>
        <v>pass</v>
      </c>
      <c r="U64" s="50"/>
      <c r="V64" s="51"/>
      <c r="W64" s="50"/>
      <c r="X64" s="50"/>
      <c r="Y64" s="50"/>
      <c r="Z64" s="50"/>
      <c r="AA64" s="50"/>
      <c r="AB64" s="50"/>
      <c r="AC64" s="50"/>
      <c r="AD64" s="50"/>
    </row>
    <row r="65" spans="2:30" hidden="1" outlineLevel="1" x14ac:dyDescent="0.25">
      <c r="B65" s="27">
        <v>52</v>
      </c>
      <c r="C65" s="48"/>
      <c r="D65" s="48"/>
      <c r="E65" s="48"/>
      <c r="F65" s="48"/>
      <c r="G65" s="48"/>
      <c r="H65" s="48"/>
      <c r="I65" s="48"/>
      <c r="J65" s="48"/>
      <c r="K65" s="49"/>
      <c r="L65" s="50"/>
      <c r="M65" s="50"/>
      <c r="N65" s="50"/>
      <c r="O65" s="50"/>
      <c r="P65" s="50"/>
      <c r="Q65" s="50"/>
      <c r="R65" s="50"/>
      <c r="S65" s="50"/>
      <c r="T65" s="26" t="str">
        <f t="shared" si="1"/>
        <v>pass</v>
      </c>
      <c r="U65" s="50"/>
      <c r="V65" s="51"/>
      <c r="W65" s="50"/>
      <c r="X65" s="50"/>
      <c r="Y65" s="50"/>
      <c r="Z65" s="50"/>
      <c r="AA65" s="50"/>
      <c r="AB65" s="50"/>
      <c r="AC65" s="50"/>
      <c r="AD65" s="50"/>
    </row>
    <row r="66" spans="2:30" hidden="1" outlineLevel="1" x14ac:dyDescent="0.25">
      <c r="B66" s="27">
        <v>53</v>
      </c>
      <c r="C66" s="48"/>
      <c r="D66" s="48"/>
      <c r="E66" s="48"/>
      <c r="F66" s="48"/>
      <c r="G66" s="48"/>
      <c r="H66" s="48"/>
      <c r="I66" s="48"/>
      <c r="J66" s="48"/>
      <c r="K66" s="49"/>
      <c r="L66" s="50"/>
      <c r="M66" s="50"/>
      <c r="N66" s="50"/>
      <c r="O66" s="50"/>
      <c r="P66" s="50"/>
      <c r="Q66" s="50"/>
      <c r="R66" s="50"/>
      <c r="S66" s="50"/>
      <c r="T66" s="26" t="str">
        <f t="shared" si="1"/>
        <v>pass</v>
      </c>
      <c r="U66" s="50"/>
      <c r="V66" s="51"/>
      <c r="W66" s="50"/>
      <c r="X66" s="50"/>
      <c r="Y66" s="50"/>
      <c r="Z66" s="50"/>
      <c r="AA66" s="50"/>
      <c r="AB66" s="50"/>
      <c r="AC66" s="50"/>
      <c r="AD66" s="50"/>
    </row>
    <row r="67" spans="2:30" hidden="1" outlineLevel="1" x14ac:dyDescent="0.25">
      <c r="B67" s="27">
        <v>54</v>
      </c>
      <c r="C67" s="48"/>
      <c r="D67" s="48"/>
      <c r="E67" s="48"/>
      <c r="F67" s="48"/>
      <c r="G67" s="48"/>
      <c r="H67" s="48"/>
      <c r="I67" s="48"/>
      <c r="J67" s="48"/>
      <c r="K67" s="49"/>
      <c r="L67" s="50"/>
      <c r="M67" s="50"/>
      <c r="N67" s="50"/>
      <c r="O67" s="50"/>
      <c r="P67" s="50"/>
      <c r="Q67" s="50"/>
      <c r="R67" s="50"/>
      <c r="S67" s="50"/>
      <c r="T67" s="26" t="str">
        <f t="shared" si="1"/>
        <v>pass</v>
      </c>
      <c r="U67" s="50"/>
      <c r="V67" s="51"/>
      <c r="W67" s="50"/>
      <c r="X67" s="50"/>
      <c r="Y67" s="50"/>
      <c r="Z67" s="50"/>
      <c r="AA67" s="50"/>
      <c r="AB67" s="50"/>
      <c r="AC67" s="50"/>
      <c r="AD67" s="50"/>
    </row>
    <row r="68" spans="2:30" hidden="1" outlineLevel="1" x14ac:dyDescent="0.25">
      <c r="B68" s="27">
        <v>55</v>
      </c>
      <c r="C68" s="48"/>
      <c r="D68" s="48"/>
      <c r="E68" s="48"/>
      <c r="F68" s="48"/>
      <c r="G68" s="48"/>
      <c r="H68" s="48"/>
      <c r="I68" s="48"/>
      <c r="J68" s="48"/>
      <c r="K68" s="49"/>
      <c r="L68" s="50"/>
      <c r="M68" s="50"/>
      <c r="N68" s="50"/>
      <c r="O68" s="50"/>
      <c r="P68" s="50"/>
      <c r="Q68" s="50"/>
      <c r="R68" s="50"/>
      <c r="S68" s="50"/>
      <c r="T68" s="26" t="str">
        <f t="shared" si="1"/>
        <v>pass</v>
      </c>
      <c r="U68" s="50"/>
      <c r="V68" s="51"/>
      <c r="W68" s="50"/>
      <c r="X68" s="50"/>
      <c r="Y68" s="50"/>
      <c r="Z68" s="50"/>
      <c r="AA68" s="50"/>
      <c r="AB68" s="50"/>
      <c r="AC68" s="50"/>
      <c r="AD68" s="50"/>
    </row>
    <row r="69" spans="2:30" hidden="1" outlineLevel="1" x14ac:dyDescent="0.25">
      <c r="B69" s="27">
        <v>56</v>
      </c>
      <c r="C69" s="48"/>
      <c r="D69" s="48"/>
      <c r="E69" s="48"/>
      <c r="F69" s="48"/>
      <c r="G69" s="48"/>
      <c r="H69" s="48"/>
      <c r="I69" s="48"/>
      <c r="J69" s="48"/>
      <c r="K69" s="49"/>
      <c r="L69" s="50"/>
      <c r="M69" s="50"/>
      <c r="N69" s="50"/>
      <c r="O69" s="50"/>
      <c r="P69" s="50"/>
      <c r="Q69" s="50"/>
      <c r="R69" s="50"/>
      <c r="S69" s="50"/>
      <c r="T69" s="26" t="str">
        <f t="shared" si="1"/>
        <v>pass</v>
      </c>
      <c r="U69" s="50"/>
      <c r="V69" s="51"/>
      <c r="W69" s="50"/>
      <c r="X69" s="50"/>
      <c r="Y69" s="50"/>
      <c r="Z69" s="50"/>
      <c r="AA69" s="50"/>
      <c r="AB69" s="50"/>
      <c r="AC69" s="50"/>
      <c r="AD69" s="50"/>
    </row>
    <row r="70" spans="2:30" hidden="1" outlineLevel="1" x14ac:dyDescent="0.25">
      <c r="B70" s="27">
        <v>57</v>
      </c>
      <c r="C70" s="48"/>
      <c r="D70" s="48"/>
      <c r="E70" s="48"/>
      <c r="F70" s="48"/>
      <c r="G70" s="48"/>
      <c r="H70" s="48"/>
      <c r="I70" s="48"/>
      <c r="J70" s="48"/>
      <c r="K70" s="49"/>
      <c r="L70" s="50"/>
      <c r="M70" s="50"/>
      <c r="N70" s="50"/>
      <c r="O70" s="50"/>
      <c r="P70" s="50"/>
      <c r="Q70" s="50"/>
      <c r="R70" s="50"/>
      <c r="S70" s="50"/>
      <c r="T70" s="26" t="str">
        <f t="shared" si="1"/>
        <v>pass</v>
      </c>
      <c r="U70" s="50"/>
      <c r="V70" s="51"/>
      <c r="W70" s="50"/>
      <c r="X70" s="50"/>
      <c r="Y70" s="50"/>
      <c r="Z70" s="50"/>
      <c r="AA70" s="50"/>
      <c r="AB70" s="50"/>
      <c r="AC70" s="50"/>
      <c r="AD70" s="50"/>
    </row>
    <row r="71" spans="2:30" hidden="1" outlineLevel="1" x14ac:dyDescent="0.25">
      <c r="B71" s="27">
        <v>58</v>
      </c>
      <c r="C71" s="48"/>
      <c r="D71" s="48"/>
      <c r="E71" s="48"/>
      <c r="F71" s="48"/>
      <c r="G71" s="48"/>
      <c r="H71" s="48"/>
      <c r="I71" s="48"/>
      <c r="J71" s="48"/>
      <c r="K71" s="49"/>
      <c r="L71" s="50"/>
      <c r="M71" s="50"/>
      <c r="N71" s="50"/>
      <c r="O71" s="50"/>
      <c r="P71" s="50"/>
      <c r="Q71" s="50"/>
      <c r="R71" s="50"/>
      <c r="S71" s="50"/>
      <c r="T71" s="26" t="str">
        <f t="shared" si="1"/>
        <v>pass</v>
      </c>
      <c r="U71" s="50"/>
      <c r="V71" s="51"/>
      <c r="W71" s="50"/>
      <c r="X71" s="50"/>
      <c r="Y71" s="50"/>
      <c r="Z71" s="50"/>
      <c r="AA71" s="50"/>
      <c r="AB71" s="50"/>
      <c r="AC71" s="50"/>
      <c r="AD71" s="50"/>
    </row>
    <row r="72" spans="2:30" hidden="1" outlineLevel="1" x14ac:dyDescent="0.25">
      <c r="B72" s="27">
        <v>59</v>
      </c>
      <c r="C72" s="48"/>
      <c r="D72" s="48"/>
      <c r="E72" s="48"/>
      <c r="F72" s="48"/>
      <c r="G72" s="48"/>
      <c r="H72" s="48"/>
      <c r="I72" s="48"/>
      <c r="J72" s="48"/>
      <c r="K72" s="49"/>
      <c r="L72" s="50"/>
      <c r="M72" s="50"/>
      <c r="N72" s="50"/>
      <c r="O72" s="50"/>
      <c r="P72" s="50"/>
      <c r="Q72" s="50"/>
      <c r="R72" s="50"/>
      <c r="S72" s="50"/>
      <c r="T72" s="26" t="str">
        <f t="shared" si="1"/>
        <v>pass</v>
      </c>
      <c r="U72" s="50"/>
      <c r="V72" s="51"/>
      <c r="W72" s="50"/>
      <c r="X72" s="50"/>
      <c r="Y72" s="50"/>
      <c r="Z72" s="50"/>
      <c r="AA72" s="50"/>
      <c r="AB72" s="50"/>
      <c r="AC72" s="50"/>
      <c r="AD72" s="50"/>
    </row>
    <row r="73" spans="2:30" hidden="1" outlineLevel="1" x14ac:dyDescent="0.25">
      <c r="B73" s="27">
        <v>60</v>
      </c>
      <c r="C73" s="48"/>
      <c r="D73" s="48"/>
      <c r="E73" s="48"/>
      <c r="F73" s="48"/>
      <c r="G73" s="48"/>
      <c r="H73" s="48"/>
      <c r="I73" s="48"/>
      <c r="J73" s="48"/>
      <c r="K73" s="49"/>
      <c r="L73" s="50"/>
      <c r="M73" s="50"/>
      <c r="N73" s="50"/>
      <c r="O73" s="50"/>
      <c r="P73" s="50"/>
      <c r="Q73" s="50"/>
      <c r="R73" s="50"/>
      <c r="S73" s="50"/>
      <c r="T73" s="26" t="str">
        <f t="shared" si="1"/>
        <v>pass</v>
      </c>
      <c r="U73" s="50"/>
      <c r="V73" s="51"/>
      <c r="W73" s="50"/>
      <c r="X73" s="50"/>
      <c r="Y73" s="50"/>
      <c r="Z73" s="50"/>
      <c r="AA73" s="50"/>
      <c r="AB73" s="50"/>
      <c r="AC73" s="50"/>
      <c r="AD73" s="50"/>
    </row>
    <row r="74" spans="2:30" hidden="1" outlineLevel="1" x14ac:dyDescent="0.25">
      <c r="B74" s="27">
        <v>61</v>
      </c>
      <c r="C74" s="48"/>
      <c r="D74" s="48"/>
      <c r="E74" s="48"/>
      <c r="F74" s="48"/>
      <c r="G74" s="48"/>
      <c r="H74" s="48"/>
      <c r="I74" s="48"/>
      <c r="J74" s="48"/>
      <c r="K74" s="49"/>
      <c r="L74" s="50"/>
      <c r="M74" s="50"/>
      <c r="N74" s="50"/>
      <c r="O74" s="50"/>
      <c r="P74" s="50"/>
      <c r="Q74" s="50"/>
      <c r="R74" s="50"/>
      <c r="S74" s="50"/>
      <c r="T74" s="26" t="str">
        <f t="shared" si="1"/>
        <v>pass</v>
      </c>
      <c r="U74" s="50"/>
      <c r="V74" s="51"/>
      <c r="W74" s="50"/>
      <c r="X74" s="50"/>
      <c r="Y74" s="50"/>
      <c r="Z74" s="50"/>
      <c r="AA74" s="50"/>
      <c r="AB74" s="50"/>
      <c r="AC74" s="50"/>
      <c r="AD74" s="50"/>
    </row>
    <row r="75" spans="2:30" hidden="1" outlineLevel="1" x14ac:dyDescent="0.25">
      <c r="B75" s="27">
        <v>62</v>
      </c>
      <c r="C75" s="48"/>
      <c r="D75" s="48"/>
      <c r="E75" s="48"/>
      <c r="F75" s="48"/>
      <c r="G75" s="48"/>
      <c r="H75" s="48"/>
      <c r="I75" s="48"/>
      <c r="J75" s="48"/>
      <c r="K75" s="49"/>
      <c r="L75" s="50"/>
      <c r="M75" s="50"/>
      <c r="N75" s="50"/>
      <c r="O75" s="50"/>
      <c r="P75" s="50"/>
      <c r="Q75" s="50"/>
      <c r="R75" s="50"/>
      <c r="S75" s="50"/>
      <c r="T75" s="26" t="str">
        <f t="shared" si="1"/>
        <v>pass</v>
      </c>
      <c r="U75" s="50"/>
      <c r="V75" s="51"/>
      <c r="W75" s="50"/>
      <c r="X75" s="50"/>
      <c r="Y75" s="50"/>
      <c r="Z75" s="50"/>
      <c r="AA75" s="50"/>
      <c r="AB75" s="50"/>
      <c r="AC75" s="50"/>
      <c r="AD75" s="50"/>
    </row>
    <row r="76" spans="2:30" hidden="1" outlineLevel="1" x14ac:dyDescent="0.25">
      <c r="B76" s="27">
        <v>63</v>
      </c>
      <c r="C76" s="48"/>
      <c r="D76" s="48"/>
      <c r="E76" s="48"/>
      <c r="F76" s="48"/>
      <c r="G76" s="48"/>
      <c r="H76" s="48"/>
      <c r="I76" s="48"/>
      <c r="J76" s="48"/>
      <c r="K76" s="49"/>
      <c r="L76" s="50"/>
      <c r="M76" s="50"/>
      <c r="N76" s="50"/>
      <c r="O76" s="50"/>
      <c r="P76" s="50"/>
      <c r="Q76" s="50"/>
      <c r="R76" s="50"/>
      <c r="S76" s="50"/>
      <c r="T76" s="26" t="str">
        <f t="shared" si="1"/>
        <v>pass</v>
      </c>
      <c r="U76" s="50"/>
      <c r="V76" s="51"/>
      <c r="W76" s="50"/>
      <c r="X76" s="50"/>
      <c r="Y76" s="50"/>
      <c r="Z76" s="50"/>
      <c r="AA76" s="50"/>
      <c r="AB76" s="50"/>
      <c r="AC76" s="50"/>
      <c r="AD76" s="50"/>
    </row>
    <row r="77" spans="2:30" hidden="1" outlineLevel="1" x14ac:dyDescent="0.25">
      <c r="B77" s="27">
        <v>64</v>
      </c>
      <c r="C77" s="48"/>
      <c r="D77" s="48"/>
      <c r="E77" s="48"/>
      <c r="F77" s="48"/>
      <c r="G77" s="48"/>
      <c r="H77" s="48"/>
      <c r="I77" s="48"/>
      <c r="J77" s="48"/>
      <c r="K77" s="49"/>
      <c r="L77" s="50"/>
      <c r="M77" s="50"/>
      <c r="N77" s="50"/>
      <c r="O77" s="50"/>
      <c r="P77" s="50"/>
      <c r="Q77" s="50"/>
      <c r="R77" s="50"/>
      <c r="S77" s="50"/>
      <c r="T77" s="26" t="str">
        <f t="shared" si="1"/>
        <v>pass</v>
      </c>
      <c r="U77" s="50"/>
      <c r="V77" s="51"/>
      <c r="W77" s="50"/>
      <c r="X77" s="50"/>
      <c r="Y77" s="50"/>
      <c r="Z77" s="50"/>
      <c r="AA77" s="50"/>
      <c r="AB77" s="50"/>
      <c r="AC77" s="50"/>
      <c r="AD77" s="50"/>
    </row>
    <row r="78" spans="2:30" hidden="1" outlineLevel="1" x14ac:dyDescent="0.25">
      <c r="B78" s="27">
        <v>65</v>
      </c>
      <c r="C78" s="48"/>
      <c r="D78" s="48"/>
      <c r="E78" s="48"/>
      <c r="F78" s="48"/>
      <c r="G78" s="48"/>
      <c r="H78" s="48"/>
      <c r="I78" s="48"/>
      <c r="J78" s="48"/>
      <c r="K78" s="49"/>
      <c r="L78" s="50"/>
      <c r="M78" s="50"/>
      <c r="N78" s="50"/>
      <c r="O78" s="50"/>
      <c r="P78" s="50"/>
      <c r="Q78" s="50"/>
      <c r="R78" s="50"/>
      <c r="S78" s="50"/>
      <c r="T78" s="26" t="str">
        <f t="shared" ref="T78:T109" si="2">IF(AND(C78&lt;&gt;"",SUM(K78,M78,O78,Q78,S78)=1),"pass",IF(AND(C78="",SUM(K78,M78,O78,Q78,S78)=0),"pass","fail"))</f>
        <v>pass</v>
      </c>
      <c r="U78" s="50"/>
      <c r="V78" s="51"/>
      <c r="W78" s="50"/>
      <c r="X78" s="50"/>
      <c r="Y78" s="50"/>
      <c r="Z78" s="50"/>
      <c r="AA78" s="50"/>
      <c r="AB78" s="50"/>
      <c r="AC78" s="50"/>
      <c r="AD78" s="50"/>
    </row>
    <row r="79" spans="2:30" hidden="1" outlineLevel="1" x14ac:dyDescent="0.25">
      <c r="B79" s="27">
        <v>66</v>
      </c>
      <c r="C79" s="48"/>
      <c r="D79" s="48"/>
      <c r="E79" s="48"/>
      <c r="F79" s="48"/>
      <c r="G79" s="48"/>
      <c r="H79" s="48"/>
      <c r="I79" s="48"/>
      <c r="J79" s="48"/>
      <c r="K79" s="49"/>
      <c r="L79" s="50"/>
      <c r="M79" s="50"/>
      <c r="N79" s="50"/>
      <c r="O79" s="50"/>
      <c r="P79" s="50"/>
      <c r="Q79" s="50"/>
      <c r="R79" s="50"/>
      <c r="S79" s="50"/>
      <c r="T79" s="26" t="str">
        <f t="shared" si="2"/>
        <v>pass</v>
      </c>
      <c r="U79" s="50"/>
      <c r="V79" s="51"/>
      <c r="W79" s="50"/>
      <c r="X79" s="50"/>
      <c r="Y79" s="50"/>
      <c r="Z79" s="50"/>
      <c r="AA79" s="50"/>
      <c r="AB79" s="50"/>
      <c r="AC79" s="50"/>
      <c r="AD79" s="50"/>
    </row>
    <row r="80" spans="2:30" hidden="1" outlineLevel="1" x14ac:dyDescent="0.25">
      <c r="B80" s="27">
        <v>67</v>
      </c>
      <c r="C80" s="48"/>
      <c r="D80" s="48"/>
      <c r="E80" s="48"/>
      <c r="F80" s="48"/>
      <c r="G80" s="48"/>
      <c r="H80" s="48"/>
      <c r="I80" s="48"/>
      <c r="J80" s="48"/>
      <c r="K80" s="49"/>
      <c r="L80" s="50"/>
      <c r="M80" s="50"/>
      <c r="N80" s="50"/>
      <c r="O80" s="50"/>
      <c r="P80" s="50"/>
      <c r="Q80" s="50"/>
      <c r="R80" s="50"/>
      <c r="S80" s="50"/>
      <c r="T80" s="26" t="str">
        <f t="shared" si="2"/>
        <v>pass</v>
      </c>
      <c r="U80" s="50"/>
      <c r="V80" s="51"/>
      <c r="W80" s="50"/>
      <c r="X80" s="50"/>
      <c r="Y80" s="50"/>
      <c r="Z80" s="50"/>
      <c r="AA80" s="50"/>
      <c r="AB80" s="50"/>
      <c r="AC80" s="50"/>
      <c r="AD80" s="50"/>
    </row>
    <row r="81" spans="2:30" hidden="1" outlineLevel="1" x14ac:dyDescent="0.25">
      <c r="B81" s="27">
        <v>68</v>
      </c>
      <c r="C81" s="48"/>
      <c r="D81" s="48"/>
      <c r="E81" s="48"/>
      <c r="F81" s="48"/>
      <c r="G81" s="48"/>
      <c r="H81" s="48"/>
      <c r="I81" s="48"/>
      <c r="J81" s="48"/>
      <c r="K81" s="49"/>
      <c r="L81" s="50"/>
      <c r="M81" s="50"/>
      <c r="N81" s="50"/>
      <c r="O81" s="50"/>
      <c r="P81" s="50"/>
      <c r="Q81" s="50"/>
      <c r="R81" s="50"/>
      <c r="S81" s="50"/>
      <c r="T81" s="26" t="str">
        <f t="shared" si="2"/>
        <v>pass</v>
      </c>
      <c r="U81" s="50"/>
      <c r="V81" s="51"/>
      <c r="W81" s="50"/>
      <c r="X81" s="50"/>
      <c r="Y81" s="50"/>
      <c r="Z81" s="50"/>
      <c r="AA81" s="50"/>
      <c r="AB81" s="50"/>
      <c r="AC81" s="50"/>
      <c r="AD81" s="50"/>
    </row>
    <row r="82" spans="2:30" hidden="1" outlineLevel="1" x14ac:dyDescent="0.25">
      <c r="B82" s="27">
        <v>69</v>
      </c>
      <c r="C82" s="48"/>
      <c r="D82" s="48"/>
      <c r="E82" s="48"/>
      <c r="F82" s="48"/>
      <c r="G82" s="48"/>
      <c r="H82" s="48"/>
      <c r="I82" s="48"/>
      <c r="J82" s="48"/>
      <c r="K82" s="49"/>
      <c r="L82" s="50"/>
      <c r="M82" s="50"/>
      <c r="N82" s="50"/>
      <c r="O82" s="50"/>
      <c r="P82" s="50"/>
      <c r="Q82" s="50"/>
      <c r="R82" s="50"/>
      <c r="S82" s="50"/>
      <c r="T82" s="26" t="str">
        <f t="shared" si="2"/>
        <v>pass</v>
      </c>
      <c r="U82" s="50"/>
      <c r="V82" s="51"/>
      <c r="W82" s="50"/>
      <c r="X82" s="50"/>
      <c r="Y82" s="50"/>
      <c r="Z82" s="50"/>
      <c r="AA82" s="50"/>
      <c r="AB82" s="50"/>
      <c r="AC82" s="50"/>
      <c r="AD82" s="50"/>
    </row>
    <row r="83" spans="2:30" hidden="1" outlineLevel="1" x14ac:dyDescent="0.25">
      <c r="B83" s="27">
        <v>70</v>
      </c>
      <c r="C83" s="48"/>
      <c r="D83" s="48"/>
      <c r="E83" s="48"/>
      <c r="F83" s="48"/>
      <c r="G83" s="48"/>
      <c r="H83" s="48"/>
      <c r="I83" s="48"/>
      <c r="J83" s="48"/>
      <c r="K83" s="49"/>
      <c r="L83" s="50"/>
      <c r="M83" s="50"/>
      <c r="N83" s="50"/>
      <c r="O83" s="50"/>
      <c r="P83" s="50"/>
      <c r="Q83" s="50"/>
      <c r="R83" s="50"/>
      <c r="S83" s="50"/>
      <c r="T83" s="26" t="str">
        <f t="shared" si="2"/>
        <v>pass</v>
      </c>
      <c r="U83" s="50"/>
      <c r="V83" s="51"/>
      <c r="W83" s="50"/>
      <c r="X83" s="50"/>
      <c r="Y83" s="50"/>
      <c r="Z83" s="50"/>
      <c r="AA83" s="50"/>
      <c r="AB83" s="50"/>
      <c r="AC83" s="50"/>
      <c r="AD83" s="50"/>
    </row>
    <row r="84" spans="2:30" hidden="1" outlineLevel="1" x14ac:dyDescent="0.25">
      <c r="B84" s="27">
        <v>71</v>
      </c>
      <c r="C84" s="48"/>
      <c r="D84" s="48"/>
      <c r="E84" s="48"/>
      <c r="F84" s="48"/>
      <c r="G84" s="48"/>
      <c r="H84" s="48"/>
      <c r="I84" s="48"/>
      <c r="J84" s="48"/>
      <c r="K84" s="49"/>
      <c r="L84" s="50"/>
      <c r="M84" s="50"/>
      <c r="N84" s="50"/>
      <c r="O84" s="50"/>
      <c r="P84" s="50"/>
      <c r="Q84" s="50"/>
      <c r="R84" s="50"/>
      <c r="S84" s="50"/>
      <c r="T84" s="26" t="str">
        <f t="shared" si="2"/>
        <v>pass</v>
      </c>
      <c r="U84" s="50"/>
      <c r="V84" s="51"/>
      <c r="W84" s="50"/>
      <c r="X84" s="50"/>
      <c r="Y84" s="50"/>
      <c r="Z84" s="50"/>
      <c r="AA84" s="50"/>
      <c r="AB84" s="50"/>
      <c r="AC84" s="50"/>
      <c r="AD84" s="50"/>
    </row>
    <row r="85" spans="2:30" hidden="1" outlineLevel="1" x14ac:dyDescent="0.25">
      <c r="B85" s="27">
        <v>72</v>
      </c>
      <c r="C85" s="48"/>
      <c r="D85" s="48"/>
      <c r="E85" s="48"/>
      <c r="F85" s="48"/>
      <c r="G85" s="48"/>
      <c r="H85" s="48"/>
      <c r="I85" s="48"/>
      <c r="J85" s="48"/>
      <c r="K85" s="49"/>
      <c r="L85" s="50"/>
      <c r="M85" s="50"/>
      <c r="N85" s="50"/>
      <c r="O85" s="50"/>
      <c r="P85" s="50"/>
      <c r="Q85" s="50"/>
      <c r="R85" s="50"/>
      <c r="S85" s="50"/>
      <c r="T85" s="26" t="str">
        <f t="shared" si="2"/>
        <v>pass</v>
      </c>
      <c r="U85" s="50"/>
      <c r="V85" s="51"/>
      <c r="W85" s="50"/>
      <c r="X85" s="50"/>
      <c r="Y85" s="50"/>
      <c r="Z85" s="50"/>
      <c r="AA85" s="50"/>
      <c r="AB85" s="50"/>
      <c r="AC85" s="50"/>
      <c r="AD85" s="50"/>
    </row>
    <row r="86" spans="2:30" hidden="1" outlineLevel="1" x14ac:dyDescent="0.25">
      <c r="B86" s="27">
        <v>73</v>
      </c>
      <c r="C86" s="48"/>
      <c r="D86" s="48"/>
      <c r="E86" s="48"/>
      <c r="F86" s="48"/>
      <c r="G86" s="48"/>
      <c r="H86" s="48"/>
      <c r="I86" s="48"/>
      <c r="J86" s="48"/>
      <c r="K86" s="49"/>
      <c r="L86" s="50"/>
      <c r="M86" s="50"/>
      <c r="N86" s="50"/>
      <c r="O86" s="50"/>
      <c r="P86" s="50"/>
      <c r="Q86" s="50"/>
      <c r="R86" s="50"/>
      <c r="S86" s="50"/>
      <c r="T86" s="26" t="str">
        <f t="shared" si="2"/>
        <v>pass</v>
      </c>
      <c r="U86" s="50"/>
      <c r="V86" s="51"/>
      <c r="W86" s="50"/>
      <c r="X86" s="50"/>
      <c r="Y86" s="50"/>
      <c r="Z86" s="50"/>
      <c r="AA86" s="50"/>
      <c r="AB86" s="50"/>
      <c r="AC86" s="50"/>
      <c r="AD86" s="50"/>
    </row>
    <row r="87" spans="2:30" hidden="1" outlineLevel="1" x14ac:dyDescent="0.25">
      <c r="B87" s="27">
        <v>74</v>
      </c>
      <c r="C87" s="48"/>
      <c r="D87" s="48"/>
      <c r="E87" s="48"/>
      <c r="F87" s="48"/>
      <c r="G87" s="48"/>
      <c r="H87" s="48"/>
      <c r="I87" s="48"/>
      <c r="J87" s="48"/>
      <c r="K87" s="49"/>
      <c r="L87" s="50"/>
      <c r="M87" s="50"/>
      <c r="N87" s="50"/>
      <c r="O87" s="50"/>
      <c r="P87" s="50"/>
      <c r="Q87" s="50"/>
      <c r="R87" s="50"/>
      <c r="S87" s="50"/>
      <c r="T87" s="26" t="str">
        <f t="shared" si="2"/>
        <v>pass</v>
      </c>
      <c r="U87" s="50"/>
      <c r="V87" s="51"/>
      <c r="W87" s="50"/>
      <c r="X87" s="50"/>
      <c r="Y87" s="50"/>
      <c r="Z87" s="50"/>
      <c r="AA87" s="50"/>
      <c r="AB87" s="50"/>
      <c r="AC87" s="50"/>
      <c r="AD87" s="50"/>
    </row>
    <row r="88" spans="2:30" hidden="1" outlineLevel="1" x14ac:dyDescent="0.25">
      <c r="B88" s="27">
        <v>75</v>
      </c>
      <c r="C88" s="48"/>
      <c r="D88" s="48"/>
      <c r="E88" s="48"/>
      <c r="F88" s="48"/>
      <c r="G88" s="48"/>
      <c r="H88" s="48"/>
      <c r="I88" s="48"/>
      <c r="J88" s="48"/>
      <c r="K88" s="49"/>
      <c r="L88" s="50"/>
      <c r="M88" s="50"/>
      <c r="N88" s="50"/>
      <c r="O88" s="50"/>
      <c r="P88" s="50"/>
      <c r="Q88" s="50"/>
      <c r="R88" s="50"/>
      <c r="S88" s="50"/>
      <c r="T88" s="26" t="str">
        <f t="shared" si="2"/>
        <v>pass</v>
      </c>
      <c r="U88" s="50"/>
      <c r="V88" s="51"/>
      <c r="W88" s="50"/>
      <c r="X88" s="50"/>
      <c r="Y88" s="50"/>
      <c r="Z88" s="50"/>
      <c r="AA88" s="50"/>
      <c r="AB88" s="50"/>
      <c r="AC88" s="50"/>
      <c r="AD88" s="50"/>
    </row>
    <row r="89" spans="2:30" hidden="1" outlineLevel="1" x14ac:dyDescent="0.25">
      <c r="B89" s="27">
        <v>76</v>
      </c>
      <c r="C89" s="48"/>
      <c r="D89" s="48"/>
      <c r="E89" s="48"/>
      <c r="F89" s="48"/>
      <c r="G89" s="48"/>
      <c r="H89" s="48"/>
      <c r="I89" s="48"/>
      <c r="J89" s="48"/>
      <c r="K89" s="49"/>
      <c r="L89" s="50"/>
      <c r="M89" s="50"/>
      <c r="N89" s="50"/>
      <c r="O89" s="50"/>
      <c r="P89" s="50"/>
      <c r="Q89" s="50"/>
      <c r="R89" s="50"/>
      <c r="S89" s="50"/>
      <c r="T89" s="26" t="str">
        <f t="shared" si="2"/>
        <v>pass</v>
      </c>
      <c r="U89" s="50"/>
      <c r="V89" s="51"/>
      <c r="W89" s="50"/>
      <c r="X89" s="50"/>
      <c r="Y89" s="50"/>
      <c r="Z89" s="50"/>
      <c r="AA89" s="50"/>
      <c r="AB89" s="50"/>
      <c r="AC89" s="50"/>
      <c r="AD89" s="50"/>
    </row>
    <row r="90" spans="2:30" hidden="1" outlineLevel="1" x14ac:dyDescent="0.25">
      <c r="B90" s="27">
        <v>77</v>
      </c>
      <c r="C90" s="48"/>
      <c r="D90" s="48"/>
      <c r="E90" s="48"/>
      <c r="F90" s="48"/>
      <c r="G90" s="48"/>
      <c r="H90" s="48"/>
      <c r="I90" s="48"/>
      <c r="J90" s="48"/>
      <c r="K90" s="49"/>
      <c r="L90" s="50"/>
      <c r="M90" s="50"/>
      <c r="N90" s="50"/>
      <c r="O90" s="50"/>
      <c r="P90" s="50"/>
      <c r="Q90" s="50"/>
      <c r="R90" s="50"/>
      <c r="S90" s="50"/>
      <c r="T90" s="26" t="str">
        <f t="shared" si="2"/>
        <v>pass</v>
      </c>
      <c r="U90" s="50"/>
      <c r="V90" s="51"/>
      <c r="W90" s="50"/>
      <c r="X90" s="50"/>
      <c r="Y90" s="50"/>
      <c r="Z90" s="50"/>
      <c r="AA90" s="50"/>
      <c r="AB90" s="50"/>
      <c r="AC90" s="50"/>
      <c r="AD90" s="50"/>
    </row>
    <row r="91" spans="2:30" hidden="1" outlineLevel="1" x14ac:dyDescent="0.25">
      <c r="B91" s="27">
        <v>78</v>
      </c>
      <c r="C91" s="48"/>
      <c r="D91" s="48"/>
      <c r="E91" s="48"/>
      <c r="F91" s="48"/>
      <c r="G91" s="48"/>
      <c r="H91" s="48"/>
      <c r="I91" s="48"/>
      <c r="J91" s="48"/>
      <c r="K91" s="49"/>
      <c r="L91" s="50"/>
      <c r="M91" s="50"/>
      <c r="N91" s="50"/>
      <c r="O91" s="50"/>
      <c r="P91" s="50"/>
      <c r="Q91" s="50"/>
      <c r="R91" s="50"/>
      <c r="S91" s="50"/>
      <c r="T91" s="26" t="str">
        <f t="shared" si="2"/>
        <v>pass</v>
      </c>
      <c r="U91" s="50"/>
      <c r="V91" s="51"/>
      <c r="W91" s="50"/>
      <c r="X91" s="50"/>
      <c r="Y91" s="50"/>
      <c r="Z91" s="50"/>
      <c r="AA91" s="50"/>
      <c r="AB91" s="50"/>
      <c r="AC91" s="50"/>
      <c r="AD91" s="50"/>
    </row>
    <row r="92" spans="2:30" hidden="1" outlineLevel="1" x14ac:dyDescent="0.25">
      <c r="B92" s="27">
        <v>79</v>
      </c>
      <c r="C92" s="48"/>
      <c r="D92" s="48"/>
      <c r="E92" s="48"/>
      <c r="F92" s="48"/>
      <c r="G92" s="48"/>
      <c r="H92" s="48"/>
      <c r="I92" s="48"/>
      <c r="J92" s="48"/>
      <c r="K92" s="49"/>
      <c r="L92" s="50"/>
      <c r="M92" s="50"/>
      <c r="N92" s="50"/>
      <c r="O92" s="50"/>
      <c r="P92" s="50"/>
      <c r="Q92" s="50"/>
      <c r="R92" s="50"/>
      <c r="S92" s="50"/>
      <c r="T92" s="26" t="str">
        <f t="shared" si="2"/>
        <v>pass</v>
      </c>
      <c r="U92" s="50"/>
      <c r="V92" s="51"/>
      <c r="W92" s="50"/>
      <c r="X92" s="50"/>
      <c r="Y92" s="50"/>
      <c r="Z92" s="50"/>
      <c r="AA92" s="50"/>
      <c r="AB92" s="50"/>
      <c r="AC92" s="50"/>
      <c r="AD92" s="50"/>
    </row>
    <row r="93" spans="2:30" hidden="1" outlineLevel="1" x14ac:dyDescent="0.25">
      <c r="B93" s="27">
        <v>80</v>
      </c>
      <c r="C93" s="48"/>
      <c r="D93" s="48"/>
      <c r="E93" s="48"/>
      <c r="F93" s="48"/>
      <c r="G93" s="48"/>
      <c r="H93" s="48"/>
      <c r="I93" s="48"/>
      <c r="J93" s="48"/>
      <c r="K93" s="49"/>
      <c r="L93" s="50"/>
      <c r="M93" s="50"/>
      <c r="N93" s="50"/>
      <c r="O93" s="50"/>
      <c r="P93" s="50"/>
      <c r="Q93" s="50"/>
      <c r="R93" s="50"/>
      <c r="S93" s="50"/>
      <c r="T93" s="26" t="str">
        <f t="shared" si="2"/>
        <v>pass</v>
      </c>
      <c r="U93" s="50"/>
      <c r="V93" s="51"/>
      <c r="W93" s="50"/>
      <c r="X93" s="50"/>
      <c r="Y93" s="50"/>
      <c r="Z93" s="50"/>
      <c r="AA93" s="50"/>
      <c r="AB93" s="50"/>
      <c r="AC93" s="50"/>
      <c r="AD93" s="50"/>
    </row>
    <row r="94" spans="2:30" hidden="1" outlineLevel="1" x14ac:dyDescent="0.25">
      <c r="B94" s="27">
        <v>81</v>
      </c>
      <c r="C94" s="48"/>
      <c r="D94" s="48"/>
      <c r="E94" s="48"/>
      <c r="F94" s="48"/>
      <c r="G94" s="48"/>
      <c r="H94" s="48"/>
      <c r="I94" s="48"/>
      <c r="J94" s="48"/>
      <c r="K94" s="49"/>
      <c r="L94" s="50"/>
      <c r="M94" s="50"/>
      <c r="N94" s="50"/>
      <c r="O94" s="50"/>
      <c r="P94" s="50"/>
      <c r="Q94" s="50"/>
      <c r="R94" s="50"/>
      <c r="S94" s="50"/>
      <c r="T94" s="26" t="str">
        <f t="shared" si="2"/>
        <v>pass</v>
      </c>
      <c r="U94" s="50"/>
      <c r="V94" s="51"/>
      <c r="W94" s="50"/>
      <c r="X94" s="50"/>
      <c r="Y94" s="50"/>
      <c r="Z94" s="50"/>
      <c r="AA94" s="50"/>
      <c r="AB94" s="50"/>
      <c r="AC94" s="50"/>
      <c r="AD94" s="50"/>
    </row>
    <row r="95" spans="2:30" hidden="1" outlineLevel="1" x14ac:dyDescent="0.25">
      <c r="B95" s="27">
        <v>82</v>
      </c>
      <c r="C95" s="48"/>
      <c r="D95" s="48"/>
      <c r="E95" s="48"/>
      <c r="F95" s="48"/>
      <c r="G95" s="48"/>
      <c r="H95" s="48"/>
      <c r="I95" s="48"/>
      <c r="J95" s="48"/>
      <c r="K95" s="49"/>
      <c r="L95" s="50"/>
      <c r="M95" s="50"/>
      <c r="N95" s="50"/>
      <c r="O95" s="50"/>
      <c r="P95" s="50"/>
      <c r="Q95" s="50"/>
      <c r="R95" s="50"/>
      <c r="S95" s="50"/>
      <c r="T95" s="26" t="str">
        <f t="shared" si="2"/>
        <v>pass</v>
      </c>
      <c r="U95" s="50"/>
      <c r="V95" s="51"/>
      <c r="W95" s="50"/>
      <c r="X95" s="50"/>
      <c r="Y95" s="50"/>
      <c r="Z95" s="50"/>
      <c r="AA95" s="50"/>
      <c r="AB95" s="50"/>
      <c r="AC95" s="50"/>
      <c r="AD95" s="50"/>
    </row>
    <row r="96" spans="2:30" hidden="1" outlineLevel="1" x14ac:dyDescent="0.25">
      <c r="B96" s="27">
        <v>83</v>
      </c>
      <c r="C96" s="48"/>
      <c r="D96" s="48"/>
      <c r="E96" s="48"/>
      <c r="F96" s="48"/>
      <c r="G96" s="48"/>
      <c r="H96" s="48"/>
      <c r="I96" s="48"/>
      <c r="J96" s="48"/>
      <c r="K96" s="49"/>
      <c r="L96" s="50"/>
      <c r="M96" s="50"/>
      <c r="N96" s="50"/>
      <c r="O96" s="50"/>
      <c r="P96" s="50"/>
      <c r="Q96" s="50"/>
      <c r="R96" s="50"/>
      <c r="S96" s="50"/>
      <c r="T96" s="26" t="str">
        <f t="shared" si="2"/>
        <v>pass</v>
      </c>
      <c r="U96" s="50"/>
      <c r="V96" s="51"/>
      <c r="W96" s="50"/>
      <c r="X96" s="50"/>
      <c r="Y96" s="50"/>
      <c r="Z96" s="50"/>
      <c r="AA96" s="50"/>
      <c r="AB96" s="50"/>
      <c r="AC96" s="50"/>
      <c r="AD96" s="50"/>
    </row>
    <row r="97" spans="2:30" hidden="1" outlineLevel="1" x14ac:dyDescent="0.25">
      <c r="B97" s="27">
        <v>84</v>
      </c>
      <c r="C97" s="48"/>
      <c r="D97" s="48"/>
      <c r="E97" s="48"/>
      <c r="F97" s="48"/>
      <c r="G97" s="48"/>
      <c r="H97" s="48"/>
      <c r="I97" s="48"/>
      <c r="J97" s="48"/>
      <c r="K97" s="49"/>
      <c r="L97" s="50"/>
      <c r="M97" s="50"/>
      <c r="N97" s="50"/>
      <c r="O97" s="50"/>
      <c r="P97" s="50"/>
      <c r="Q97" s="50"/>
      <c r="R97" s="50"/>
      <c r="S97" s="50"/>
      <c r="T97" s="26" t="str">
        <f t="shared" si="2"/>
        <v>pass</v>
      </c>
      <c r="U97" s="50"/>
      <c r="V97" s="51"/>
      <c r="W97" s="50"/>
      <c r="X97" s="50"/>
      <c r="Y97" s="50"/>
      <c r="Z97" s="50"/>
      <c r="AA97" s="50"/>
      <c r="AB97" s="50"/>
      <c r="AC97" s="50"/>
      <c r="AD97" s="50"/>
    </row>
    <row r="98" spans="2:30" hidden="1" outlineLevel="1" x14ac:dyDescent="0.25">
      <c r="B98" s="27">
        <v>85</v>
      </c>
      <c r="C98" s="48"/>
      <c r="D98" s="48"/>
      <c r="E98" s="48"/>
      <c r="F98" s="48"/>
      <c r="G98" s="48"/>
      <c r="H98" s="48"/>
      <c r="I98" s="48"/>
      <c r="J98" s="48"/>
      <c r="K98" s="49"/>
      <c r="L98" s="50"/>
      <c r="M98" s="50"/>
      <c r="N98" s="50"/>
      <c r="O98" s="50"/>
      <c r="P98" s="50"/>
      <c r="Q98" s="50"/>
      <c r="R98" s="50"/>
      <c r="S98" s="50"/>
      <c r="T98" s="26" t="str">
        <f t="shared" si="2"/>
        <v>pass</v>
      </c>
      <c r="U98" s="50"/>
      <c r="V98" s="51"/>
      <c r="W98" s="50"/>
      <c r="X98" s="50"/>
      <c r="Y98" s="50"/>
      <c r="Z98" s="50"/>
      <c r="AA98" s="50"/>
      <c r="AB98" s="50"/>
      <c r="AC98" s="50"/>
      <c r="AD98" s="50"/>
    </row>
    <row r="99" spans="2:30" hidden="1" outlineLevel="1" x14ac:dyDescent="0.25">
      <c r="B99" s="27">
        <v>86</v>
      </c>
      <c r="C99" s="48"/>
      <c r="D99" s="48"/>
      <c r="E99" s="48"/>
      <c r="F99" s="48"/>
      <c r="G99" s="48"/>
      <c r="H99" s="48"/>
      <c r="I99" s="48"/>
      <c r="J99" s="48"/>
      <c r="K99" s="49"/>
      <c r="L99" s="50"/>
      <c r="M99" s="50"/>
      <c r="N99" s="50"/>
      <c r="O99" s="50"/>
      <c r="P99" s="50"/>
      <c r="Q99" s="50"/>
      <c r="R99" s="50"/>
      <c r="S99" s="50"/>
      <c r="T99" s="26" t="str">
        <f t="shared" si="2"/>
        <v>pass</v>
      </c>
      <c r="U99" s="50"/>
      <c r="V99" s="51"/>
      <c r="W99" s="50"/>
      <c r="X99" s="50"/>
      <c r="Y99" s="50"/>
      <c r="Z99" s="50"/>
      <c r="AA99" s="50"/>
      <c r="AB99" s="50"/>
      <c r="AC99" s="50"/>
      <c r="AD99" s="50"/>
    </row>
    <row r="100" spans="2:30" hidden="1" outlineLevel="1" x14ac:dyDescent="0.25">
      <c r="B100" s="27">
        <v>87</v>
      </c>
      <c r="C100" s="48"/>
      <c r="D100" s="48"/>
      <c r="E100" s="48"/>
      <c r="F100" s="48"/>
      <c r="G100" s="48"/>
      <c r="H100" s="48"/>
      <c r="I100" s="48"/>
      <c r="J100" s="48"/>
      <c r="K100" s="49"/>
      <c r="L100" s="50"/>
      <c r="M100" s="50"/>
      <c r="N100" s="50"/>
      <c r="O100" s="50"/>
      <c r="P100" s="50"/>
      <c r="Q100" s="50"/>
      <c r="R100" s="50"/>
      <c r="S100" s="50"/>
      <c r="T100" s="26" t="str">
        <f t="shared" si="2"/>
        <v>pass</v>
      </c>
      <c r="U100" s="50"/>
      <c r="V100" s="51"/>
      <c r="W100" s="50"/>
      <c r="X100" s="50"/>
      <c r="Y100" s="50"/>
      <c r="Z100" s="50"/>
      <c r="AA100" s="50"/>
      <c r="AB100" s="50"/>
      <c r="AC100" s="50"/>
      <c r="AD100" s="50"/>
    </row>
    <row r="101" spans="2:30" hidden="1" outlineLevel="1" x14ac:dyDescent="0.25">
      <c r="B101" s="27">
        <v>88</v>
      </c>
      <c r="C101" s="48"/>
      <c r="D101" s="48"/>
      <c r="E101" s="48"/>
      <c r="F101" s="48"/>
      <c r="G101" s="48"/>
      <c r="H101" s="48"/>
      <c r="I101" s="48"/>
      <c r="J101" s="48"/>
      <c r="K101" s="49"/>
      <c r="L101" s="50"/>
      <c r="M101" s="50"/>
      <c r="N101" s="50"/>
      <c r="O101" s="50"/>
      <c r="P101" s="50"/>
      <c r="Q101" s="50"/>
      <c r="R101" s="50"/>
      <c r="S101" s="50"/>
      <c r="T101" s="26" t="str">
        <f t="shared" si="2"/>
        <v>pass</v>
      </c>
      <c r="U101" s="50"/>
      <c r="V101" s="51"/>
      <c r="W101" s="50"/>
      <c r="X101" s="50"/>
      <c r="Y101" s="50"/>
      <c r="Z101" s="50"/>
      <c r="AA101" s="50"/>
      <c r="AB101" s="50"/>
      <c r="AC101" s="50"/>
      <c r="AD101" s="50"/>
    </row>
    <row r="102" spans="2:30" hidden="1" outlineLevel="1" x14ac:dyDescent="0.25">
      <c r="B102" s="27">
        <v>89</v>
      </c>
      <c r="C102" s="48"/>
      <c r="D102" s="48"/>
      <c r="E102" s="48"/>
      <c r="F102" s="48"/>
      <c r="G102" s="48"/>
      <c r="H102" s="48"/>
      <c r="I102" s="48"/>
      <c r="J102" s="48"/>
      <c r="K102" s="49"/>
      <c r="L102" s="50"/>
      <c r="M102" s="50"/>
      <c r="N102" s="50"/>
      <c r="O102" s="50"/>
      <c r="P102" s="50"/>
      <c r="Q102" s="50"/>
      <c r="R102" s="50"/>
      <c r="S102" s="50"/>
      <c r="T102" s="26" t="str">
        <f t="shared" si="2"/>
        <v>pass</v>
      </c>
      <c r="U102" s="50"/>
      <c r="V102" s="51"/>
      <c r="W102" s="50"/>
      <c r="X102" s="50"/>
      <c r="Y102" s="50"/>
      <c r="Z102" s="50"/>
      <c r="AA102" s="50"/>
      <c r="AB102" s="50"/>
      <c r="AC102" s="50"/>
      <c r="AD102" s="50"/>
    </row>
    <row r="103" spans="2:30" hidden="1" outlineLevel="1" x14ac:dyDescent="0.25">
      <c r="B103" s="27">
        <v>90</v>
      </c>
      <c r="C103" s="48"/>
      <c r="D103" s="48"/>
      <c r="E103" s="48"/>
      <c r="F103" s="48"/>
      <c r="G103" s="48"/>
      <c r="H103" s="48"/>
      <c r="I103" s="48"/>
      <c r="J103" s="48"/>
      <c r="K103" s="49"/>
      <c r="L103" s="50"/>
      <c r="M103" s="50"/>
      <c r="N103" s="50"/>
      <c r="O103" s="50"/>
      <c r="P103" s="50"/>
      <c r="Q103" s="50"/>
      <c r="R103" s="50"/>
      <c r="S103" s="50"/>
      <c r="T103" s="26" t="str">
        <f t="shared" si="2"/>
        <v>pass</v>
      </c>
      <c r="U103" s="50"/>
      <c r="V103" s="51"/>
      <c r="W103" s="50"/>
      <c r="X103" s="50"/>
      <c r="Y103" s="50"/>
      <c r="Z103" s="50"/>
      <c r="AA103" s="50"/>
      <c r="AB103" s="50"/>
      <c r="AC103" s="50"/>
      <c r="AD103" s="50"/>
    </row>
    <row r="104" spans="2:30" hidden="1" outlineLevel="1" x14ac:dyDescent="0.25">
      <c r="B104" s="27">
        <v>91</v>
      </c>
      <c r="C104" s="48"/>
      <c r="D104" s="48"/>
      <c r="E104" s="48"/>
      <c r="F104" s="48"/>
      <c r="G104" s="48"/>
      <c r="H104" s="48"/>
      <c r="I104" s="48"/>
      <c r="J104" s="48"/>
      <c r="K104" s="49"/>
      <c r="L104" s="50"/>
      <c r="M104" s="50"/>
      <c r="N104" s="50"/>
      <c r="O104" s="50"/>
      <c r="P104" s="50"/>
      <c r="Q104" s="50"/>
      <c r="R104" s="50"/>
      <c r="S104" s="50"/>
      <c r="T104" s="26" t="str">
        <f t="shared" si="2"/>
        <v>pass</v>
      </c>
      <c r="U104" s="50"/>
      <c r="V104" s="51"/>
      <c r="W104" s="50"/>
      <c r="X104" s="50"/>
      <c r="Y104" s="50"/>
      <c r="Z104" s="50"/>
      <c r="AA104" s="50"/>
      <c r="AB104" s="50"/>
      <c r="AC104" s="50"/>
      <c r="AD104" s="50"/>
    </row>
    <row r="105" spans="2:30" hidden="1" outlineLevel="1" x14ac:dyDescent="0.25">
      <c r="B105" s="27">
        <v>92</v>
      </c>
      <c r="C105" s="48"/>
      <c r="D105" s="48"/>
      <c r="E105" s="48"/>
      <c r="F105" s="48"/>
      <c r="G105" s="48"/>
      <c r="H105" s="48"/>
      <c r="I105" s="48"/>
      <c r="J105" s="48"/>
      <c r="K105" s="49"/>
      <c r="L105" s="50"/>
      <c r="M105" s="50"/>
      <c r="N105" s="50"/>
      <c r="O105" s="50"/>
      <c r="P105" s="50"/>
      <c r="Q105" s="50"/>
      <c r="R105" s="50"/>
      <c r="S105" s="50"/>
      <c r="T105" s="26" t="str">
        <f t="shared" si="2"/>
        <v>pass</v>
      </c>
      <c r="U105" s="50"/>
      <c r="V105" s="51"/>
      <c r="W105" s="50"/>
      <c r="X105" s="50"/>
      <c r="Y105" s="50"/>
      <c r="Z105" s="50"/>
      <c r="AA105" s="50"/>
      <c r="AB105" s="50"/>
      <c r="AC105" s="50"/>
      <c r="AD105" s="50"/>
    </row>
    <row r="106" spans="2:30" hidden="1" outlineLevel="1" x14ac:dyDescent="0.25">
      <c r="B106" s="27">
        <v>93</v>
      </c>
      <c r="C106" s="48"/>
      <c r="D106" s="48"/>
      <c r="E106" s="48"/>
      <c r="F106" s="48"/>
      <c r="G106" s="48"/>
      <c r="H106" s="48"/>
      <c r="I106" s="48"/>
      <c r="J106" s="48"/>
      <c r="K106" s="49"/>
      <c r="L106" s="50"/>
      <c r="M106" s="50"/>
      <c r="N106" s="50"/>
      <c r="O106" s="50"/>
      <c r="P106" s="50"/>
      <c r="Q106" s="50"/>
      <c r="R106" s="50"/>
      <c r="S106" s="50"/>
      <c r="T106" s="26" t="str">
        <f t="shared" si="2"/>
        <v>pass</v>
      </c>
      <c r="U106" s="50"/>
      <c r="V106" s="51"/>
      <c r="W106" s="50"/>
      <c r="X106" s="50"/>
      <c r="Y106" s="50"/>
      <c r="Z106" s="50"/>
      <c r="AA106" s="50"/>
      <c r="AB106" s="50"/>
      <c r="AC106" s="50"/>
      <c r="AD106" s="50"/>
    </row>
    <row r="107" spans="2:30" hidden="1" outlineLevel="1" x14ac:dyDescent="0.25">
      <c r="B107" s="27">
        <v>94</v>
      </c>
      <c r="C107" s="48"/>
      <c r="D107" s="48"/>
      <c r="E107" s="48"/>
      <c r="F107" s="48"/>
      <c r="G107" s="48"/>
      <c r="H107" s="48"/>
      <c r="I107" s="48"/>
      <c r="J107" s="48"/>
      <c r="K107" s="49"/>
      <c r="L107" s="50"/>
      <c r="M107" s="50"/>
      <c r="N107" s="50"/>
      <c r="O107" s="50"/>
      <c r="P107" s="50"/>
      <c r="Q107" s="50"/>
      <c r="R107" s="50"/>
      <c r="S107" s="50"/>
      <c r="T107" s="26" t="str">
        <f t="shared" si="2"/>
        <v>pass</v>
      </c>
      <c r="U107" s="50"/>
      <c r="V107" s="51"/>
      <c r="W107" s="50"/>
      <c r="X107" s="50"/>
      <c r="Y107" s="50"/>
      <c r="Z107" s="50"/>
      <c r="AA107" s="50"/>
      <c r="AB107" s="50"/>
      <c r="AC107" s="50"/>
      <c r="AD107" s="50"/>
    </row>
    <row r="108" spans="2:30" hidden="1" outlineLevel="1" x14ac:dyDescent="0.25">
      <c r="B108" s="27">
        <v>95</v>
      </c>
      <c r="C108" s="48"/>
      <c r="D108" s="48"/>
      <c r="E108" s="48"/>
      <c r="F108" s="48"/>
      <c r="G108" s="48"/>
      <c r="H108" s="48"/>
      <c r="I108" s="48"/>
      <c r="J108" s="48"/>
      <c r="K108" s="49"/>
      <c r="L108" s="50"/>
      <c r="M108" s="50"/>
      <c r="N108" s="50"/>
      <c r="O108" s="50"/>
      <c r="P108" s="50"/>
      <c r="Q108" s="50"/>
      <c r="R108" s="50"/>
      <c r="S108" s="50"/>
      <c r="T108" s="26" t="str">
        <f t="shared" si="2"/>
        <v>pass</v>
      </c>
      <c r="U108" s="50"/>
      <c r="V108" s="51"/>
      <c r="W108" s="50"/>
      <c r="X108" s="50"/>
      <c r="Y108" s="50"/>
      <c r="Z108" s="50"/>
      <c r="AA108" s="50"/>
      <c r="AB108" s="50"/>
      <c r="AC108" s="50"/>
      <c r="AD108" s="50"/>
    </row>
    <row r="109" spans="2:30" hidden="1" outlineLevel="1" x14ac:dyDescent="0.25">
      <c r="B109" s="27">
        <v>96</v>
      </c>
      <c r="C109" s="48"/>
      <c r="D109" s="48"/>
      <c r="E109" s="48"/>
      <c r="F109" s="48"/>
      <c r="G109" s="48"/>
      <c r="H109" s="48"/>
      <c r="I109" s="48"/>
      <c r="J109" s="48"/>
      <c r="K109" s="49"/>
      <c r="L109" s="50"/>
      <c r="M109" s="50"/>
      <c r="N109" s="50"/>
      <c r="O109" s="50"/>
      <c r="P109" s="50"/>
      <c r="Q109" s="50"/>
      <c r="R109" s="50"/>
      <c r="S109" s="50"/>
      <c r="T109" s="26" t="str">
        <f t="shared" si="2"/>
        <v>pass</v>
      </c>
      <c r="U109" s="50"/>
      <c r="V109" s="51"/>
      <c r="W109" s="50"/>
      <c r="X109" s="50"/>
      <c r="Y109" s="50"/>
      <c r="Z109" s="50"/>
      <c r="AA109" s="50"/>
      <c r="AB109" s="50"/>
      <c r="AC109" s="50"/>
      <c r="AD109" s="50"/>
    </row>
    <row r="110" spans="2:30" hidden="1" outlineLevel="1" x14ac:dyDescent="0.25">
      <c r="B110" s="27">
        <v>97</v>
      </c>
      <c r="C110" s="48"/>
      <c r="D110" s="48"/>
      <c r="E110" s="48"/>
      <c r="F110" s="48"/>
      <c r="G110" s="48"/>
      <c r="H110" s="48"/>
      <c r="I110" s="48"/>
      <c r="J110" s="48"/>
      <c r="K110" s="49"/>
      <c r="L110" s="50"/>
      <c r="M110" s="50"/>
      <c r="N110" s="50"/>
      <c r="O110" s="50"/>
      <c r="P110" s="50"/>
      <c r="Q110" s="50"/>
      <c r="R110" s="50"/>
      <c r="S110" s="50"/>
      <c r="T110" s="26" t="str">
        <f t="shared" ref="T110:T141" si="3">IF(AND(C110&lt;&gt;"",SUM(K110,M110,O110,Q110,S110)=1),"pass",IF(AND(C110="",SUM(K110,M110,O110,Q110,S110)=0),"pass","fail"))</f>
        <v>pass</v>
      </c>
      <c r="U110" s="50"/>
      <c r="V110" s="51"/>
      <c r="W110" s="50"/>
      <c r="X110" s="50"/>
      <c r="Y110" s="50"/>
      <c r="Z110" s="50"/>
      <c r="AA110" s="50"/>
      <c r="AB110" s="50"/>
      <c r="AC110" s="50"/>
      <c r="AD110" s="50"/>
    </row>
    <row r="111" spans="2:30" hidden="1" outlineLevel="1" x14ac:dyDescent="0.25">
      <c r="B111" s="27">
        <v>98</v>
      </c>
      <c r="C111" s="48"/>
      <c r="D111" s="48"/>
      <c r="E111" s="48"/>
      <c r="F111" s="48"/>
      <c r="G111" s="48"/>
      <c r="H111" s="48"/>
      <c r="I111" s="48"/>
      <c r="J111" s="48"/>
      <c r="K111" s="49"/>
      <c r="L111" s="50"/>
      <c r="M111" s="50"/>
      <c r="N111" s="50"/>
      <c r="O111" s="50"/>
      <c r="P111" s="50"/>
      <c r="Q111" s="50"/>
      <c r="R111" s="50"/>
      <c r="S111" s="50"/>
      <c r="T111" s="26" t="str">
        <f t="shared" si="3"/>
        <v>pass</v>
      </c>
      <c r="U111" s="50"/>
      <c r="V111" s="51"/>
      <c r="W111" s="50"/>
      <c r="X111" s="50"/>
      <c r="Y111" s="50"/>
      <c r="Z111" s="50"/>
      <c r="AA111" s="50"/>
      <c r="AB111" s="50"/>
      <c r="AC111" s="50"/>
      <c r="AD111" s="50"/>
    </row>
    <row r="112" spans="2:30" hidden="1" outlineLevel="1" x14ac:dyDescent="0.25">
      <c r="B112" s="27">
        <v>99</v>
      </c>
      <c r="C112" s="48"/>
      <c r="D112" s="48"/>
      <c r="E112" s="48"/>
      <c r="F112" s="48"/>
      <c r="G112" s="48"/>
      <c r="H112" s="48"/>
      <c r="I112" s="48"/>
      <c r="J112" s="48"/>
      <c r="K112" s="49"/>
      <c r="L112" s="50"/>
      <c r="M112" s="50"/>
      <c r="N112" s="50"/>
      <c r="O112" s="50"/>
      <c r="P112" s="50"/>
      <c r="Q112" s="50"/>
      <c r="R112" s="50"/>
      <c r="S112" s="50"/>
      <c r="T112" s="26" t="str">
        <f t="shared" si="3"/>
        <v>pass</v>
      </c>
      <c r="U112" s="50"/>
      <c r="V112" s="51"/>
      <c r="W112" s="50"/>
      <c r="X112" s="50"/>
      <c r="Y112" s="50"/>
      <c r="Z112" s="50"/>
      <c r="AA112" s="50"/>
      <c r="AB112" s="50"/>
      <c r="AC112" s="50"/>
      <c r="AD112" s="50"/>
    </row>
    <row r="113" spans="2:30" hidden="1" outlineLevel="1" x14ac:dyDescent="0.25">
      <c r="B113" s="27">
        <v>100</v>
      </c>
      <c r="C113" s="48"/>
      <c r="D113" s="48"/>
      <c r="E113" s="48"/>
      <c r="F113" s="48"/>
      <c r="G113" s="48"/>
      <c r="H113" s="48"/>
      <c r="I113" s="48"/>
      <c r="J113" s="48"/>
      <c r="K113" s="49"/>
      <c r="L113" s="50"/>
      <c r="M113" s="50"/>
      <c r="N113" s="50"/>
      <c r="O113" s="50"/>
      <c r="P113" s="50"/>
      <c r="Q113" s="50"/>
      <c r="R113" s="50"/>
      <c r="S113" s="50"/>
      <c r="T113" s="26" t="str">
        <f t="shared" si="3"/>
        <v>pass</v>
      </c>
      <c r="U113" s="50"/>
      <c r="V113" s="51"/>
      <c r="W113" s="50"/>
      <c r="X113" s="50"/>
      <c r="Y113" s="50"/>
      <c r="Z113" s="50"/>
      <c r="AA113" s="50"/>
      <c r="AB113" s="50"/>
      <c r="AC113" s="50"/>
      <c r="AD113" s="50"/>
    </row>
    <row r="114" spans="2:30" hidden="1" outlineLevel="1" x14ac:dyDescent="0.25">
      <c r="B114" s="27">
        <v>101</v>
      </c>
      <c r="C114" s="48"/>
      <c r="D114" s="48"/>
      <c r="E114" s="48"/>
      <c r="F114" s="48"/>
      <c r="G114" s="48"/>
      <c r="H114" s="48"/>
      <c r="I114" s="48"/>
      <c r="J114" s="48"/>
      <c r="K114" s="49"/>
      <c r="L114" s="50"/>
      <c r="M114" s="50"/>
      <c r="N114" s="50"/>
      <c r="O114" s="50"/>
      <c r="P114" s="50"/>
      <c r="Q114" s="50"/>
      <c r="R114" s="50"/>
      <c r="S114" s="50"/>
      <c r="T114" s="26" t="str">
        <f t="shared" si="3"/>
        <v>pass</v>
      </c>
      <c r="U114" s="50"/>
      <c r="V114" s="51"/>
      <c r="W114" s="50"/>
      <c r="X114" s="50"/>
      <c r="Y114" s="50"/>
      <c r="Z114" s="50"/>
      <c r="AA114" s="50"/>
      <c r="AB114" s="50"/>
      <c r="AC114" s="50"/>
      <c r="AD114" s="50"/>
    </row>
    <row r="115" spans="2:30" hidden="1" outlineLevel="1" x14ac:dyDescent="0.25">
      <c r="B115" s="27">
        <v>102</v>
      </c>
      <c r="C115" s="48"/>
      <c r="D115" s="48"/>
      <c r="E115" s="48"/>
      <c r="F115" s="48"/>
      <c r="G115" s="48"/>
      <c r="H115" s="48"/>
      <c r="I115" s="48"/>
      <c r="J115" s="48"/>
      <c r="K115" s="49"/>
      <c r="L115" s="50"/>
      <c r="M115" s="50"/>
      <c r="N115" s="50"/>
      <c r="O115" s="50"/>
      <c r="P115" s="50"/>
      <c r="Q115" s="50"/>
      <c r="R115" s="50"/>
      <c r="S115" s="50"/>
      <c r="T115" s="26" t="str">
        <f t="shared" si="3"/>
        <v>pass</v>
      </c>
      <c r="U115" s="50"/>
      <c r="V115" s="51"/>
      <c r="W115" s="50"/>
      <c r="X115" s="50"/>
      <c r="Y115" s="50"/>
      <c r="Z115" s="50"/>
      <c r="AA115" s="50"/>
      <c r="AB115" s="50"/>
      <c r="AC115" s="50"/>
      <c r="AD115" s="50"/>
    </row>
    <row r="116" spans="2:30" hidden="1" outlineLevel="1" x14ac:dyDescent="0.25">
      <c r="B116" s="27">
        <v>103</v>
      </c>
      <c r="C116" s="48"/>
      <c r="D116" s="48"/>
      <c r="E116" s="48"/>
      <c r="F116" s="48"/>
      <c r="G116" s="48"/>
      <c r="H116" s="48"/>
      <c r="I116" s="48"/>
      <c r="J116" s="48"/>
      <c r="K116" s="49"/>
      <c r="L116" s="50"/>
      <c r="M116" s="50"/>
      <c r="N116" s="50"/>
      <c r="O116" s="50"/>
      <c r="P116" s="50"/>
      <c r="Q116" s="50"/>
      <c r="R116" s="50"/>
      <c r="S116" s="50"/>
      <c r="T116" s="26" t="str">
        <f t="shared" si="3"/>
        <v>pass</v>
      </c>
      <c r="U116" s="50"/>
      <c r="V116" s="51"/>
      <c r="W116" s="50"/>
      <c r="X116" s="50"/>
      <c r="Y116" s="50"/>
      <c r="Z116" s="50"/>
      <c r="AA116" s="50"/>
      <c r="AB116" s="50"/>
      <c r="AC116" s="50"/>
      <c r="AD116" s="50"/>
    </row>
    <row r="117" spans="2:30" hidden="1" outlineLevel="1" x14ac:dyDescent="0.25">
      <c r="B117" s="27">
        <v>104</v>
      </c>
      <c r="C117" s="48"/>
      <c r="D117" s="48"/>
      <c r="E117" s="48"/>
      <c r="F117" s="48"/>
      <c r="G117" s="48"/>
      <c r="H117" s="48"/>
      <c r="I117" s="48"/>
      <c r="J117" s="48"/>
      <c r="K117" s="49"/>
      <c r="L117" s="50"/>
      <c r="M117" s="50"/>
      <c r="N117" s="50"/>
      <c r="O117" s="50"/>
      <c r="P117" s="50"/>
      <c r="Q117" s="50"/>
      <c r="R117" s="50"/>
      <c r="S117" s="50"/>
      <c r="T117" s="26" t="str">
        <f t="shared" si="3"/>
        <v>pass</v>
      </c>
      <c r="U117" s="50"/>
      <c r="V117" s="51"/>
      <c r="W117" s="50"/>
      <c r="X117" s="50"/>
      <c r="Y117" s="50"/>
      <c r="Z117" s="50"/>
      <c r="AA117" s="50"/>
      <c r="AB117" s="50"/>
      <c r="AC117" s="50"/>
      <c r="AD117" s="50"/>
    </row>
    <row r="118" spans="2:30" hidden="1" outlineLevel="1" x14ac:dyDescent="0.25">
      <c r="B118" s="27">
        <v>105</v>
      </c>
      <c r="C118" s="48"/>
      <c r="D118" s="48"/>
      <c r="E118" s="48"/>
      <c r="F118" s="48"/>
      <c r="G118" s="48"/>
      <c r="H118" s="48"/>
      <c r="I118" s="48"/>
      <c r="J118" s="48"/>
      <c r="K118" s="49"/>
      <c r="L118" s="50"/>
      <c r="M118" s="50"/>
      <c r="N118" s="50"/>
      <c r="O118" s="50"/>
      <c r="P118" s="50"/>
      <c r="Q118" s="50"/>
      <c r="R118" s="50"/>
      <c r="S118" s="50"/>
      <c r="T118" s="26" t="str">
        <f t="shared" si="3"/>
        <v>pass</v>
      </c>
      <c r="U118" s="50"/>
      <c r="V118" s="51"/>
      <c r="W118" s="50"/>
      <c r="X118" s="50"/>
      <c r="Y118" s="50"/>
      <c r="Z118" s="50"/>
      <c r="AA118" s="50"/>
      <c r="AB118" s="50"/>
      <c r="AC118" s="50"/>
      <c r="AD118" s="50"/>
    </row>
    <row r="119" spans="2:30" hidden="1" outlineLevel="1" x14ac:dyDescent="0.25">
      <c r="B119" s="27">
        <v>106</v>
      </c>
      <c r="C119" s="48"/>
      <c r="D119" s="48"/>
      <c r="E119" s="48"/>
      <c r="F119" s="48"/>
      <c r="G119" s="48"/>
      <c r="H119" s="48"/>
      <c r="I119" s="48"/>
      <c r="J119" s="48"/>
      <c r="K119" s="49"/>
      <c r="L119" s="50"/>
      <c r="M119" s="50"/>
      <c r="N119" s="50"/>
      <c r="O119" s="50"/>
      <c r="P119" s="50"/>
      <c r="Q119" s="50"/>
      <c r="R119" s="50"/>
      <c r="S119" s="50"/>
      <c r="T119" s="26" t="str">
        <f t="shared" si="3"/>
        <v>pass</v>
      </c>
      <c r="U119" s="50"/>
      <c r="V119" s="51"/>
      <c r="W119" s="50"/>
      <c r="X119" s="50"/>
      <c r="Y119" s="50"/>
      <c r="Z119" s="50"/>
      <c r="AA119" s="50"/>
      <c r="AB119" s="50"/>
      <c r="AC119" s="50"/>
      <c r="AD119" s="50"/>
    </row>
    <row r="120" spans="2:30" hidden="1" outlineLevel="1" x14ac:dyDescent="0.25">
      <c r="B120" s="27">
        <v>107</v>
      </c>
      <c r="C120" s="48"/>
      <c r="D120" s="48"/>
      <c r="E120" s="48"/>
      <c r="F120" s="48"/>
      <c r="G120" s="48"/>
      <c r="H120" s="48"/>
      <c r="I120" s="48"/>
      <c r="J120" s="48"/>
      <c r="K120" s="49"/>
      <c r="L120" s="50"/>
      <c r="M120" s="50"/>
      <c r="N120" s="50"/>
      <c r="O120" s="50"/>
      <c r="P120" s="50"/>
      <c r="Q120" s="50"/>
      <c r="R120" s="50"/>
      <c r="S120" s="50"/>
      <c r="T120" s="26" t="str">
        <f t="shared" si="3"/>
        <v>pass</v>
      </c>
      <c r="U120" s="50"/>
      <c r="V120" s="51"/>
      <c r="W120" s="50"/>
      <c r="X120" s="50"/>
      <c r="Y120" s="50"/>
      <c r="Z120" s="50"/>
      <c r="AA120" s="50"/>
      <c r="AB120" s="50"/>
      <c r="AC120" s="50"/>
      <c r="AD120" s="50"/>
    </row>
    <row r="121" spans="2:30" hidden="1" outlineLevel="1" x14ac:dyDescent="0.25">
      <c r="B121" s="27">
        <v>108</v>
      </c>
      <c r="C121" s="48"/>
      <c r="D121" s="48"/>
      <c r="E121" s="48"/>
      <c r="F121" s="48"/>
      <c r="G121" s="48"/>
      <c r="H121" s="48"/>
      <c r="I121" s="48"/>
      <c r="J121" s="48"/>
      <c r="K121" s="49"/>
      <c r="L121" s="50"/>
      <c r="M121" s="50"/>
      <c r="N121" s="50"/>
      <c r="O121" s="50"/>
      <c r="P121" s="50"/>
      <c r="Q121" s="50"/>
      <c r="R121" s="50"/>
      <c r="S121" s="50"/>
      <c r="T121" s="26" t="str">
        <f t="shared" si="3"/>
        <v>pass</v>
      </c>
      <c r="U121" s="50"/>
      <c r="V121" s="51"/>
      <c r="W121" s="50"/>
      <c r="X121" s="50"/>
      <c r="Y121" s="50"/>
      <c r="Z121" s="50"/>
      <c r="AA121" s="50"/>
      <c r="AB121" s="50"/>
      <c r="AC121" s="50"/>
      <c r="AD121" s="50"/>
    </row>
    <row r="122" spans="2:30" hidden="1" outlineLevel="1" x14ac:dyDescent="0.25">
      <c r="B122" s="27">
        <v>109</v>
      </c>
      <c r="C122" s="48"/>
      <c r="D122" s="48"/>
      <c r="E122" s="48"/>
      <c r="F122" s="48"/>
      <c r="G122" s="48"/>
      <c r="H122" s="48"/>
      <c r="I122" s="48"/>
      <c r="J122" s="48"/>
      <c r="K122" s="49"/>
      <c r="L122" s="50"/>
      <c r="M122" s="50"/>
      <c r="N122" s="50"/>
      <c r="O122" s="50"/>
      <c r="P122" s="50"/>
      <c r="Q122" s="50"/>
      <c r="R122" s="50"/>
      <c r="S122" s="50"/>
      <c r="T122" s="26" t="str">
        <f t="shared" si="3"/>
        <v>pass</v>
      </c>
      <c r="U122" s="50"/>
      <c r="V122" s="51"/>
      <c r="W122" s="50"/>
      <c r="X122" s="50"/>
      <c r="Y122" s="50"/>
      <c r="Z122" s="50"/>
      <c r="AA122" s="50"/>
      <c r="AB122" s="50"/>
      <c r="AC122" s="50"/>
      <c r="AD122" s="50"/>
    </row>
    <row r="123" spans="2:30" hidden="1" outlineLevel="1" x14ac:dyDescent="0.25">
      <c r="B123" s="27">
        <v>110</v>
      </c>
      <c r="C123" s="48"/>
      <c r="D123" s="48"/>
      <c r="E123" s="48"/>
      <c r="F123" s="48"/>
      <c r="G123" s="48"/>
      <c r="H123" s="48"/>
      <c r="I123" s="48"/>
      <c r="J123" s="48"/>
      <c r="K123" s="49"/>
      <c r="L123" s="50"/>
      <c r="M123" s="50"/>
      <c r="N123" s="50"/>
      <c r="O123" s="50"/>
      <c r="P123" s="50"/>
      <c r="Q123" s="50"/>
      <c r="R123" s="50"/>
      <c r="S123" s="50"/>
      <c r="T123" s="26" t="str">
        <f t="shared" si="3"/>
        <v>pass</v>
      </c>
      <c r="U123" s="50"/>
      <c r="V123" s="51"/>
      <c r="W123" s="50"/>
      <c r="X123" s="50"/>
      <c r="Y123" s="50"/>
      <c r="Z123" s="50"/>
      <c r="AA123" s="50"/>
      <c r="AB123" s="50"/>
      <c r="AC123" s="50"/>
      <c r="AD123" s="50"/>
    </row>
    <row r="124" spans="2:30" hidden="1" outlineLevel="1" x14ac:dyDescent="0.25">
      <c r="B124" s="27">
        <v>111</v>
      </c>
      <c r="C124" s="48"/>
      <c r="D124" s="48"/>
      <c r="E124" s="48"/>
      <c r="F124" s="48"/>
      <c r="G124" s="48"/>
      <c r="H124" s="48"/>
      <c r="I124" s="48"/>
      <c r="J124" s="48"/>
      <c r="K124" s="49"/>
      <c r="L124" s="50"/>
      <c r="M124" s="50"/>
      <c r="N124" s="50"/>
      <c r="O124" s="50"/>
      <c r="P124" s="50"/>
      <c r="Q124" s="50"/>
      <c r="R124" s="50"/>
      <c r="S124" s="50"/>
      <c r="T124" s="26" t="str">
        <f t="shared" si="3"/>
        <v>pass</v>
      </c>
      <c r="U124" s="50"/>
      <c r="V124" s="51"/>
      <c r="W124" s="50"/>
      <c r="X124" s="50"/>
      <c r="Y124" s="50"/>
      <c r="Z124" s="50"/>
      <c r="AA124" s="50"/>
      <c r="AB124" s="50"/>
      <c r="AC124" s="50"/>
      <c r="AD124" s="50"/>
    </row>
    <row r="125" spans="2:30" hidden="1" outlineLevel="1" x14ac:dyDescent="0.25">
      <c r="B125" s="27">
        <v>112</v>
      </c>
      <c r="C125" s="48"/>
      <c r="D125" s="48"/>
      <c r="E125" s="48"/>
      <c r="F125" s="48"/>
      <c r="G125" s="48"/>
      <c r="H125" s="48"/>
      <c r="I125" s="48"/>
      <c r="J125" s="48"/>
      <c r="K125" s="49"/>
      <c r="L125" s="50"/>
      <c r="M125" s="50"/>
      <c r="N125" s="50"/>
      <c r="O125" s="50"/>
      <c r="P125" s="50"/>
      <c r="Q125" s="50"/>
      <c r="R125" s="50"/>
      <c r="S125" s="50"/>
      <c r="T125" s="26" t="str">
        <f t="shared" si="3"/>
        <v>pass</v>
      </c>
      <c r="U125" s="50"/>
      <c r="V125" s="51"/>
      <c r="W125" s="50"/>
      <c r="X125" s="50"/>
      <c r="Y125" s="50"/>
      <c r="Z125" s="50"/>
      <c r="AA125" s="50"/>
      <c r="AB125" s="50"/>
      <c r="AC125" s="50"/>
      <c r="AD125" s="50"/>
    </row>
    <row r="126" spans="2:30" hidden="1" outlineLevel="1" x14ac:dyDescent="0.25">
      <c r="B126" s="27">
        <v>113</v>
      </c>
      <c r="C126" s="48"/>
      <c r="D126" s="48"/>
      <c r="E126" s="48"/>
      <c r="F126" s="48"/>
      <c r="G126" s="48"/>
      <c r="H126" s="48"/>
      <c r="I126" s="48"/>
      <c r="J126" s="48"/>
      <c r="K126" s="49"/>
      <c r="L126" s="50"/>
      <c r="M126" s="50"/>
      <c r="N126" s="50"/>
      <c r="O126" s="50"/>
      <c r="P126" s="50"/>
      <c r="Q126" s="50"/>
      <c r="R126" s="50"/>
      <c r="S126" s="50"/>
      <c r="T126" s="26" t="str">
        <f t="shared" si="3"/>
        <v>pass</v>
      </c>
      <c r="U126" s="50"/>
      <c r="V126" s="51"/>
      <c r="W126" s="50"/>
      <c r="X126" s="50"/>
      <c r="Y126" s="50"/>
      <c r="Z126" s="50"/>
      <c r="AA126" s="50"/>
      <c r="AB126" s="50"/>
      <c r="AC126" s="50"/>
      <c r="AD126" s="50"/>
    </row>
    <row r="127" spans="2:30" hidden="1" outlineLevel="1" x14ac:dyDescent="0.25">
      <c r="B127" s="27">
        <v>114</v>
      </c>
      <c r="C127" s="48"/>
      <c r="D127" s="48"/>
      <c r="E127" s="48"/>
      <c r="F127" s="48"/>
      <c r="G127" s="48"/>
      <c r="H127" s="48"/>
      <c r="I127" s="48"/>
      <c r="J127" s="48"/>
      <c r="K127" s="49"/>
      <c r="L127" s="50"/>
      <c r="M127" s="50"/>
      <c r="N127" s="50"/>
      <c r="O127" s="50"/>
      <c r="P127" s="50"/>
      <c r="Q127" s="50"/>
      <c r="R127" s="50"/>
      <c r="S127" s="50"/>
      <c r="T127" s="26" t="str">
        <f t="shared" si="3"/>
        <v>pass</v>
      </c>
      <c r="U127" s="50"/>
      <c r="V127" s="51"/>
      <c r="W127" s="50"/>
      <c r="X127" s="50"/>
      <c r="Y127" s="50"/>
      <c r="Z127" s="50"/>
      <c r="AA127" s="50"/>
      <c r="AB127" s="50"/>
      <c r="AC127" s="50"/>
      <c r="AD127" s="50"/>
    </row>
    <row r="128" spans="2:30" hidden="1" outlineLevel="1" x14ac:dyDescent="0.25">
      <c r="B128" s="27">
        <v>115</v>
      </c>
      <c r="C128" s="48"/>
      <c r="D128" s="48"/>
      <c r="E128" s="48"/>
      <c r="F128" s="48"/>
      <c r="G128" s="48"/>
      <c r="H128" s="48"/>
      <c r="I128" s="48"/>
      <c r="J128" s="48"/>
      <c r="K128" s="49"/>
      <c r="L128" s="50"/>
      <c r="M128" s="50"/>
      <c r="N128" s="50"/>
      <c r="O128" s="50"/>
      <c r="P128" s="50"/>
      <c r="Q128" s="50"/>
      <c r="R128" s="50"/>
      <c r="S128" s="50"/>
      <c r="T128" s="26" t="str">
        <f t="shared" si="3"/>
        <v>pass</v>
      </c>
      <c r="U128" s="50"/>
      <c r="V128" s="51"/>
      <c r="W128" s="50"/>
      <c r="X128" s="50"/>
      <c r="Y128" s="50"/>
      <c r="Z128" s="50"/>
      <c r="AA128" s="50"/>
      <c r="AB128" s="50"/>
      <c r="AC128" s="50"/>
      <c r="AD128" s="50"/>
    </row>
    <row r="129" spans="2:30" hidden="1" outlineLevel="1" x14ac:dyDescent="0.25">
      <c r="B129" s="27">
        <v>116</v>
      </c>
      <c r="C129" s="48"/>
      <c r="D129" s="48"/>
      <c r="E129" s="48"/>
      <c r="F129" s="48"/>
      <c r="G129" s="48"/>
      <c r="H129" s="48"/>
      <c r="I129" s="48"/>
      <c r="J129" s="48"/>
      <c r="K129" s="49"/>
      <c r="L129" s="50"/>
      <c r="M129" s="50"/>
      <c r="N129" s="50"/>
      <c r="O129" s="50"/>
      <c r="P129" s="50"/>
      <c r="Q129" s="50"/>
      <c r="R129" s="50"/>
      <c r="S129" s="50"/>
      <c r="T129" s="26" t="str">
        <f t="shared" si="3"/>
        <v>pass</v>
      </c>
      <c r="U129" s="50"/>
      <c r="V129" s="51"/>
      <c r="W129" s="50"/>
      <c r="X129" s="50"/>
      <c r="Y129" s="50"/>
      <c r="Z129" s="50"/>
      <c r="AA129" s="50"/>
      <c r="AB129" s="50"/>
      <c r="AC129" s="50"/>
      <c r="AD129" s="50"/>
    </row>
    <row r="130" spans="2:30" hidden="1" outlineLevel="1" x14ac:dyDescent="0.25">
      <c r="B130" s="27">
        <v>117</v>
      </c>
      <c r="C130" s="48"/>
      <c r="D130" s="48"/>
      <c r="E130" s="48"/>
      <c r="F130" s="48"/>
      <c r="G130" s="48"/>
      <c r="H130" s="48"/>
      <c r="I130" s="48"/>
      <c r="J130" s="48"/>
      <c r="K130" s="49"/>
      <c r="L130" s="50"/>
      <c r="M130" s="50"/>
      <c r="N130" s="50"/>
      <c r="O130" s="50"/>
      <c r="P130" s="50"/>
      <c r="Q130" s="50"/>
      <c r="R130" s="50"/>
      <c r="S130" s="50"/>
      <c r="T130" s="26" t="str">
        <f t="shared" si="3"/>
        <v>pass</v>
      </c>
      <c r="U130" s="50"/>
      <c r="V130" s="51"/>
      <c r="W130" s="50"/>
      <c r="X130" s="50"/>
      <c r="Y130" s="50"/>
      <c r="Z130" s="50"/>
      <c r="AA130" s="50"/>
      <c r="AB130" s="50"/>
      <c r="AC130" s="50"/>
      <c r="AD130" s="50"/>
    </row>
    <row r="131" spans="2:30" hidden="1" outlineLevel="1" x14ac:dyDescent="0.25">
      <c r="B131" s="27">
        <v>118</v>
      </c>
      <c r="C131" s="48"/>
      <c r="D131" s="48"/>
      <c r="E131" s="48"/>
      <c r="F131" s="48"/>
      <c r="G131" s="48"/>
      <c r="H131" s="48"/>
      <c r="I131" s="48"/>
      <c r="J131" s="48"/>
      <c r="K131" s="49"/>
      <c r="L131" s="50"/>
      <c r="M131" s="50"/>
      <c r="N131" s="50"/>
      <c r="O131" s="50"/>
      <c r="P131" s="50"/>
      <c r="Q131" s="50"/>
      <c r="R131" s="50"/>
      <c r="S131" s="50"/>
      <c r="T131" s="26" t="str">
        <f t="shared" si="3"/>
        <v>pass</v>
      </c>
      <c r="U131" s="50"/>
      <c r="V131" s="51"/>
      <c r="W131" s="50"/>
      <c r="X131" s="50"/>
      <c r="Y131" s="50"/>
      <c r="Z131" s="50"/>
      <c r="AA131" s="50"/>
      <c r="AB131" s="50"/>
      <c r="AC131" s="50"/>
      <c r="AD131" s="50"/>
    </row>
    <row r="132" spans="2:30" hidden="1" outlineLevel="1" x14ac:dyDescent="0.25">
      <c r="B132" s="27">
        <v>119</v>
      </c>
      <c r="C132" s="48"/>
      <c r="D132" s="48"/>
      <c r="E132" s="48"/>
      <c r="F132" s="48"/>
      <c r="G132" s="48"/>
      <c r="H132" s="48"/>
      <c r="I132" s="48"/>
      <c r="J132" s="48"/>
      <c r="K132" s="49"/>
      <c r="L132" s="50"/>
      <c r="M132" s="50"/>
      <c r="N132" s="50"/>
      <c r="O132" s="50"/>
      <c r="P132" s="50"/>
      <c r="Q132" s="50"/>
      <c r="R132" s="50"/>
      <c r="S132" s="50"/>
      <c r="T132" s="26" t="str">
        <f t="shared" si="3"/>
        <v>pass</v>
      </c>
      <c r="U132" s="50"/>
      <c r="V132" s="51"/>
      <c r="W132" s="50"/>
      <c r="X132" s="50"/>
      <c r="Y132" s="50"/>
      <c r="Z132" s="50"/>
      <c r="AA132" s="50"/>
      <c r="AB132" s="50"/>
      <c r="AC132" s="50"/>
      <c r="AD132" s="50"/>
    </row>
    <row r="133" spans="2:30" hidden="1" outlineLevel="1" x14ac:dyDescent="0.25">
      <c r="B133" s="27">
        <v>120</v>
      </c>
      <c r="C133" s="48"/>
      <c r="D133" s="48"/>
      <c r="E133" s="48"/>
      <c r="F133" s="48"/>
      <c r="G133" s="48"/>
      <c r="H133" s="48"/>
      <c r="I133" s="48"/>
      <c r="J133" s="48"/>
      <c r="K133" s="49"/>
      <c r="L133" s="50"/>
      <c r="M133" s="50"/>
      <c r="N133" s="50"/>
      <c r="O133" s="50"/>
      <c r="P133" s="50"/>
      <c r="Q133" s="50"/>
      <c r="R133" s="50"/>
      <c r="S133" s="50"/>
      <c r="T133" s="26" t="str">
        <f t="shared" si="3"/>
        <v>pass</v>
      </c>
      <c r="U133" s="50"/>
      <c r="V133" s="51"/>
      <c r="W133" s="50"/>
      <c r="X133" s="50"/>
      <c r="Y133" s="50"/>
      <c r="Z133" s="50"/>
      <c r="AA133" s="50"/>
      <c r="AB133" s="50"/>
      <c r="AC133" s="50"/>
      <c r="AD133" s="50"/>
    </row>
    <row r="134" spans="2:30" hidden="1" outlineLevel="1" x14ac:dyDescent="0.25">
      <c r="B134" s="27">
        <v>121</v>
      </c>
      <c r="C134" s="48"/>
      <c r="D134" s="48"/>
      <c r="E134" s="48"/>
      <c r="F134" s="48"/>
      <c r="G134" s="48"/>
      <c r="H134" s="48"/>
      <c r="I134" s="48"/>
      <c r="J134" s="48"/>
      <c r="K134" s="49"/>
      <c r="L134" s="50"/>
      <c r="M134" s="50"/>
      <c r="N134" s="50"/>
      <c r="O134" s="50"/>
      <c r="P134" s="50"/>
      <c r="Q134" s="50"/>
      <c r="R134" s="50"/>
      <c r="S134" s="50"/>
      <c r="T134" s="26" t="str">
        <f t="shared" si="3"/>
        <v>pass</v>
      </c>
      <c r="U134" s="50"/>
      <c r="V134" s="51"/>
      <c r="W134" s="50"/>
      <c r="X134" s="50"/>
      <c r="Y134" s="50"/>
      <c r="Z134" s="50"/>
      <c r="AA134" s="50"/>
      <c r="AB134" s="50"/>
      <c r="AC134" s="50"/>
      <c r="AD134" s="50"/>
    </row>
    <row r="135" spans="2:30" hidden="1" outlineLevel="1" x14ac:dyDescent="0.25">
      <c r="B135" s="27">
        <v>122</v>
      </c>
      <c r="C135" s="48"/>
      <c r="D135" s="48"/>
      <c r="E135" s="48"/>
      <c r="F135" s="48"/>
      <c r="G135" s="48"/>
      <c r="H135" s="48"/>
      <c r="I135" s="48"/>
      <c r="J135" s="48"/>
      <c r="K135" s="49"/>
      <c r="L135" s="50"/>
      <c r="M135" s="50"/>
      <c r="N135" s="50"/>
      <c r="O135" s="50"/>
      <c r="P135" s="50"/>
      <c r="Q135" s="50"/>
      <c r="R135" s="50"/>
      <c r="S135" s="50"/>
      <c r="T135" s="26" t="str">
        <f t="shared" si="3"/>
        <v>pass</v>
      </c>
      <c r="U135" s="50"/>
      <c r="V135" s="51"/>
      <c r="W135" s="50"/>
      <c r="X135" s="50"/>
      <c r="Y135" s="50"/>
      <c r="Z135" s="50"/>
      <c r="AA135" s="50"/>
      <c r="AB135" s="50"/>
      <c r="AC135" s="50"/>
      <c r="AD135" s="50"/>
    </row>
    <row r="136" spans="2:30" hidden="1" outlineLevel="1" x14ac:dyDescent="0.25">
      <c r="B136" s="27">
        <v>123</v>
      </c>
      <c r="C136" s="48"/>
      <c r="D136" s="48"/>
      <c r="E136" s="48"/>
      <c r="F136" s="48"/>
      <c r="G136" s="48"/>
      <c r="H136" s="48"/>
      <c r="I136" s="48"/>
      <c r="J136" s="48"/>
      <c r="K136" s="49"/>
      <c r="L136" s="50"/>
      <c r="M136" s="50"/>
      <c r="N136" s="50"/>
      <c r="O136" s="50"/>
      <c r="P136" s="50"/>
      <c r="Q136" s="50"/>
      <c r="R136" s="50"/>
      <c r="S136" s="50"/>
      <c r="T136" s="26" t="str">
        <f t="shared" si="3"/>
        <v>pass</v>
      </c>
      <c r="U136" s="50"/>
      <c r="V136" s="51"/>
      <c r="W136" s="50"/>
      <c r="X136" s="50"/>
      <c r="Y136" s="50"/>
      <c r="Z136" s="50"/>
      <c r="AA136" s="50"/>
      <c r="AB136" s="50"/>
      <c r="AC136" s="50"/>
      <c r="AD136" s="50"/>
    </row>
    <row r="137" spans="2:30" hidden="1" outlineLevel="1" x14ac:dyDescent="0.25">
      <c r="B137" s="27">
        <v>124</v>
      </c>
      <c r="C137" s="48"/>
      <c r="D137" s="48"/>
      <c r="E137" s="48"/>
      <c r="F137" s="48"/>
      <c r="G137" s="48"/>
      <c r="H137" s="48"/>
      <c r="I137" s="48"/>
      <c r="J137" s="48"/>
      <c r="K137" s="49"/>
      <c r="L137" s="50"/>
      <c r="M137" s="50"/>
      <c r="N137" s="50"/>
      <c r="O137" s="50"/>
      <c r="P137" s="50"/>
      <c r="Q137" s="50"/>
      <c r="R137" s="50"/>
      <c r="S137" s="50"/>
      <c r="T137" s="26" t="str">
        <f t="shared" si="3"/>
        <v>pass</v>
      </c>
      <c r="U137" s="50"/>
      <c r="V137" s="51"/>
      <c r="W137" s="50"/>
      <c r="X137" s="50"/>
      <c r="Y137" s="50"/>
      <c r="Z137" s="50"/>
      <c r="AA137" s="50"/>
      <c r="AB137" s="50"/>
      <c r="AC137" s="50"/>
      <c r="AD137" s="50"/>
    </row>
    <row r="138" spans="2:30" hidden="1" outlineLevel="1" x14ac:dyDescent="0.25">
      <c r="B138" s="27">
        <v>125</v>
      </c>
      <c r="C138" s="48"/>
      <c r="D138" s="48"/>
      <c r="E138" s="48"/>
      <c r="F138" s="48"/>
      <c r="G138" s="48"/>
      <c r="H138" s="48"/>
      <c r="I138" s="48"/>
      <c r="J138" s="48"/>
      <c r="K138" s="49"/>
      <c r="L138" s="50"/>
      <c r="M138" s="50"/>
      <c r="N138" s="50"/>
      <c r="O138" s="50"/>
      <c r="P138" s="50"/>
      <c r="Q138" s="50"/>
      <c r="R138" s="50"/>
      <c r="S138" s="50"/>
      <c r="T138" s="26" t="str">
        <f t="shared" si="3"/>
        <v>pass</v>
      </c>
      <c r="U138" s="50"/>
      <c r="V138" s="51"/>
      <c r="W138" s="50"/>
      <c r="X138" s="50"/>
      <c r="Y138" s="50"/>
      <c r="Z138" s="50"/>
      <c r="AA138" s="50"/>
      <c r="AB138" s="50"/>
      <c r="AC138" s="50"/>
      <c r="AD138" s="50"/>
    </row>
    <row r="139" spans="2:30" hidden="1" outlineLevel="1" x14ac:dyDescent="0.25">
      <c r="B139" s="27">
        <v>126</v>
      </c>
      <c r="C139" s="48"/>
      <c r="D139" s="48"/>
      <c r="E139" s="48"/>
      <c r="F139" s="48"/>
      <c r="G139" s="48"/>
      <c r="H139" s="48"/>
      <c r="I139" s="48"/>
      <c r="J139" s="48"/>
      <c r="K139" s="49"/>
      <c r="L139" s="50"/>
      <c r="M139" s="50"/>
      <c r="N139" s="50"/>
      <c r="O139" s="50"/>
      <c r="P139" s="50"/>
      <c r="Q139" s="50"/>
      <c r="R139" s="50"/>
      <c r="S139" s="50"/>
      <c r="T139" s="26" t="str">
        <f t="shared" si="3"/>
        <v>pass</v>
      </c>
      <c r="U139" s="50"/>
      <c r="V139" s="51"/>
      <c r="W139" s="50"/>
      <c r="X139" s="50"/>
      <c r="Y139" s="50"/>
      <c r="Z139" s="50"/>
      <c r="AA139" s="50"/>
      <c r="AB139" s="50"/>
      <c r="AC139" s="50"/>
      <c r="AD139" s="50"/>
    </row>
    <row r="140" spans="2:30" hidden="1" outlineLevel="1" x14ac:dyDescent="0.25">
      <c r="B140" s="27">
        <v>127</v>
      </c>
      <c r="C140" s="48"/>
      <c r="D140" s="48"/>
      <c r="E140" s="48"/>
      <c r="F140" s="48"/>
      <c r="G140" s="48"/>
      <c r="H140" s="48"/>
      <c r="I140" s="48"/>
      <c r="J140" s="48"/>
      <c r="K140" s="49"/>
      <c r="L140" s="50"/>
      <c r="M140" s="50"/>
      <c r="N140" s="50"/>
      <c r="O140" s="50"/>
      <c r="P140" s="50"/>
      <c r="Q140" s="50"/>
      <c r="R140" s="50"/>
      <c r="S140" s="50"/>
      <c r="T140" s="26" t="str">
        <f t="shared" si="3"/>
        <v>pass</v>
      </c>
      <c r="U140" s="50"/>
      <c r="V140" s="51"/>
      <c r="W140" s="50"/>
      <c r="X140" s="50"/>
      <c r="Y140" s="50"/>
      <c r="Z140" s="50"/>
      <c r="AA140" s="50"/>
      <c r="AB140" s="50"/>
      <c r="AC140" s="50"/>
      <c r="AD140" s="50"/>
    </row>
    <row r="141" spans="2:30" hidden="1" outlineLevel="1" x14ac:dyDescent="0.25">
      <c r="B141" s="27">
        <v>128</v>
      </c>
      <c r="C141" s="48"/>
      <c r="D141" s="48"/>
      <c r="E141" s="48"/>
      <c r="F141" s="48"/>
      <c r="G141" s="48"/>
      <c r="H141" s="48"/>
      <c r="I141" s="48"/>
      <c r="J141" s="48"/>
      <c r="K141" s="49"/>
      <c r="L141" s="50"/>
      <c r="M141" s="50"/>
      <c r="N141" s="50"/>
      <c r="O141" s="50"/>
      <c r="P141" s="50"/>
      <c r="Q141" s="50"/>
      <c r="R141" s="50"/>
      <c r="S141" s="50"/>
      <c r="T141" s="26" t="str">
        <f t="shared" si="3"/>
        <v>pass</v>
      </c>
      <c r="U141" s="50"/>
      <c r="V141" s="51"/>
      <c r="W141" s="50"/>
      <c r="X141" s="50"/>
      <c r="Y141" s="50"/>
      <c r="Z141" s="50"/>
      <c r="AA141" s="50"/>
      <c r="AB141" s="50"/>
      <c r="AC141" s="50"/>
      <c r="AD141" s="50"/>
    </row>
    <row r="142" spans="2:30" hidden="1" outlineLevel="1" x14ac:dyDescent="0.25">
      <c r="B142" s="27">
        <v>129</v>
      </c>
      <c r="C142" s="48"/>
      <c r="D142" s="48"/>
      <c r="E142" s="48"/>
      <c r="F142" s="48"/>
      <c r="G142" s="48"/>
      <c r="H142" s="48"/>
      <c r="I142" s="48"/>
      <c r="J142" s="48"/>
      <c r="K142" s="49"/>
      <c r="L142" s="50"/>
      <c r="M142" s="50"/>
      <c r="N142" s="50"/>
      <c r="O142" s="50"/>
      <c r="P142" s="50"/>
      <c r="Q142" s="50"/>
      <c r="R142" s="50"/>
      <c r="S142" s="50"/>
      <c r="T142" s="26" t="str">
        <f t="shared" ref="T142:T173" si="4">IF(AND(C142&lt;&gt;"",SUM(K142,M142,O142,Q142,S142)=1),"pass",IF(AND(C142="",SUM(K142,M142,O142,Q142,S142)=0),"pass","fail"))</f>
        <v>pass</v>
      </c>
      <c r="U142" s="50"/>
      <c r="V142" s="51"/>
      <c r="W142" s="50"/>
      <c r="X142" s="50"/>
      <c r="Y142" s="50"/>
      <c r="Z142" s="50"/>
      <c r="AA142" s="50"/>
      <c r="AB142" s="50"/>
      <c r="AC142" s="50"/>
      <c r="AD142" s="50"/>
    </row>
    <row r="143" spans="2:30" hidden="1" outlineLevel="1" x14ac:dyDescent="0.25">
      <c r="B143" s="27">
        <v>130</v>
      </c>
      <c r="C143" s="48"/>
      <c r="D143" s="48"/>
      <c r="E143" s="48"/>
      <c r="F143" s="48"/>
      <c r="G143" s="48"/>
      <c r="H143" s="48"/>
      <c r="I143" s="48"/>
      <c r="J143" s="48"/>
      <c r="K143" s="49"/>
      <c r="L143" s="50"/>
      <c r="M143" s="50"/>
      <c r="N143" s="50"/>
      <c r="O143" s="50"/>
      <c r="P143" s="50"/>
      <c r="Q143" s="50"/>
      <c r="R143" s="50"/>
      <c r="S143" s="50"/>
      <c r="T143" s="26" t="str">
        <f t="shared" si="4"/>
        <v>pass</v>
      </c>
      <c r="U143" s="50"/>
      <c r="V143" s="51"/>
      <c r="W143" s="50"/>
      <c r="X143" s="50"/>
      <c r="Y143" s="50"/>
      <c r="Z143" s="50"/>
      <c r="AA143" s="50"/>
      <c r="AB143" s="50"/>
      <c r="AC143" s="50"/>
      <c r="AD143" s="50"/>
    </row>
    <row r="144" spans="2:30" hidden="1" outlineLevel="1" x14ac:dyDescent="0.25">
      <c r="B144" s="27">
        <v>131</v>
      </c>
      <c r="C144" s="48"/>
      <c r="D144" s="48"/>
      <c r="E144" s="48"/>
      <c r="F144" s="48"/>
      <c r="G144" s="48"/>
      <c r="H144" s="48"/>
      <c r="I144" s="48"/>
      <c r="J144" s="48"/>
      <c r="K144" s="49"/>
      <c r="L144" s="50"/>
      <c r="M144" s="50"/>
      <c r="N144" s="50"/>
      <c r="O144" s="50"/>
      <c r="P144" s="50"/>
      <c r="Q144" s="50"/>
      <c r="R144" s="50"/>
      <c r="S144" s="50"/>
      <c r="T144" s="26" t="str">
        <f t="shared" si="4"/>
        <v>pass</v>
      </c>
      <c r="U144" s="50"/>
      <c r="V144" s="51"/>
      <c r="W144" s="50"/>
      <c r="X144" s="50"/>
      <c r="Y144" s="50"/>
      <c r="Z144" s="50"/>
      <c r="AA144" s="50"/>
      <c r="AB144" s="50"/>
      <c r="AC144" s="50"/>
      <c r="AD144" s="50"/>
    </row>
    <row r="145" spans="2:30" hidden="1" outlineLevel="1" x14ac:dyDescent="0.25">
      <c r="B145" s="27">
        <v>132</v>
      </c>
      <c r="C145" s="48"/>
      <c r="D145" s="48"/>
      <c r="E145" s="48"/>
      <c r="F145" s="48"/>
      <c r="G145" s="48"/>
      <c r="H145" s="48"/>
      <c r="I145" s="48"/>
      <c r="J145" s="48"/>
      <c r="K145" s="49"/>
      <c r="L145" s="50"/>
      <c r="M145" s="50"/>
      <c r="N145" s="50"/>
      <c r="O145" s="50"/>
      <c r="P145" s="50"/>
      <c r="Q145" s="50"/>
      <c r="R145" s="50"/>
      <c r="S145" s="50"/>
      <c r="T145" s="26" t="str">
        <f t="shared" si="4"/>
        <v>pass</v>
      </c>
      <c r="U145" s="50"/>
      <c r="V145" s="51"/>
      <c r="W145" s="50"/>
      <c r="X145" s="50"/>
      <c r="Y145" s="50"/>
      <c r="Z145" s="50"/>
      <c r="AA145" s="50"/>
      <c r="AB145" s="50"/>
      <c r="AC145" s="50"/>
      <c r="AD145" s="50"/>
    </row>
    <row r="146" spans="2:30" hidden="1" outlineLevel="1" x14ac:dyDescent="0.25">
      <c r="B146" s="27">
        <v>133</v>
      </c>
      <c r="C146" s="48"/>
      <c r="D146" s="48"/>
      <c r="E146" s="48"/>
      <c r="F146" s="48"/>
      <c r="G146" s="48"/>
      <c r="H146" s="48"/>
      <c r="I146" s="48"/>
      <c r="J146" s="48"/>
      <c r="K146" s="49"/>
      <c r="L146" s="50"/>
      <c r="M146" s="50"/>
      <c r="N146" s="50"/>
      <c r="O146" s="50"/>
      <c r="P146" s="50"/>
      <c r="Q146" s="50"/>
      <c r="R146" s="50"/>
      <c r="S146" s="50"/>
      <c r="T146" s="26" t="str">
        <f t="shared" si="4"/>
        <v>pass</v>
      </c>
      <c r="U146" s="50"/>
      <c r="V146" s="51"/>
      <c r="W146" s="50"/>
      <c r="X146" s="50"/>
      <c r="Y146" s="50"/>
      <c r="Z146" s="50"/>
      <c r="AA146" s="50"/>
      <c r="AB146" s="50"/>
      <c r="AC146" s="50"/>
      <c r="AD146" s="50"/>
    </row>
    <row r="147" spans="2:30" hidden="1" outlineLevel="1" x14ac:dyDescent="0.25">
      <c r="B147" s="27">
        <v>134</v>
      </c>
      <c r="C147" s="48"/>
      <c r="D147" s="48"/>
      <c r="E147" s="48"/>
      <c r="F147" s="48"/>
      <c r="G147" s="48"/>
      <c r="H147" s="48"/>
      <c r="I147" s="48"/>
      <c r="J147" s="48"/>
      <c r="K147" s="49"/>
      <c r="L147" s="50"/>
      <c r="M147" s="50"/>
      <c r="N147" s="50"/>
      <c r="O147" s="50"/>
      <c r="P147" s="50"/>
      <c r="Q147" s="50"/>
      <c r="R147" s="50"/>
      <c r="S147" s="50"/>
      <c r="T147" s="26" t="str">
        <f t="shared" si="4"/>
        <v>pass</v>
      </c>
      <c r="U147" s="50"/>
      <c r="V147" s="51"/>
      <c r="W147" s="50"/>
      <c r="X147" s="50"/>
      <c r="Y147" s="50"/>
      <c r="Z147" s="50"/>
      <c r="AA147" s="50"/>
      <c r="AB147" s="50"/>
      <c r="AC147" s="50"/>
      <c r="AD147" s="50"/>
    </row>
    <row r="148" spans="2:30" hidden="1" outlineLevel="1" x14ac:dyDescent="0.25">
      <c r="B148" s="27">
        <v>135</v>
      </c>
      <c r="C148" s="48"/>
      <c r="D148" s="48"/>
      <c r="E148" s="48"/>
      <c r="F148" s="48"/>
      <c r="G148" s="48"/>
      <c r="H148" s="48"/>
      <c r="I148" s="48"/>
      <c r="J148" s="48"/>
      <c r="K148" s="49"/>
      <c r="L148" s="50"/>
      <c r="M148" s="50"/>
      <c r="N148" s="50"/>
      <c r="O148" s="50"/>
      <c r="P148" s="50"/>
      <c r="Q148" s="50"/>
      <c r="R148" s="50"/>
      <c r="S148" s="50"/>
      <c r="T148" s="26" t="str">
        <f t="shared" si="4"/>
        <v>pass</v>
      </c>
      <c r="U148" s="50"/>
      <c r="V148" s="51"/>
      <c r="W148" s="50"/>
      <c r="X148" s="50"/>
      <c r="Y148" s="50"/>
      <c r="Z148" s="50"/>
      <c r="AA148" s="50"/>
      <c r="AB148" s="50"/>
      <c r="AC148" s="50"/>
      <c r="AD148" s="50"/>
    </row>
    <row r="149" spans="2:30" hidden="1" outlineLevel="1" x14ac:dyDescent="0.25">
      <c r="B149" s="27">
        <v>136</v>
      </c>
      <c r="C149" s="48"/>
      <c r="D149" s="48"/>
      <c r="E149" s="48"/>
      <c r="F149" s="48"/>
      <c r="G149" s="48"/>
      <c r="H149" s="48"/>
      <c r="I149" s="48"/>
      <c r="J149" s="48"/>
      <c r="K149" s="49"/>
      <c r="L149" s="50"/>
      <c r="M149" s="50"/>
      <c r="N149" s="50"/>
      <c r="O149" s="50"/>
      <c r="P149" s="50"/>
      <c r="Q149" s="50"/>
      <c r="R149" s="50"/>
      <c r="S149" s="50"/>
      <c r="T149" s="26" t="str">
        <f t="shared" si="4"/>
        <v>pass</v>
      </c>
      <c r="U149" s="50"/>
      <c r="V149" s="51"/>
      <c r="W149" s="50"/>
      <c r="X149" s="50"/>
      <c r="Y149" s="50"/>
      <c r="Z149" s="50"/>
      <c r="AA149" s="50"/>
      <c r="AB149" s="50"/>
      <c r="AC149" s="50"/>
      <c r="AD149" s="50"/>
    </row>
    <row r="150" spans="2:30" hidden="1" outlineLevel="1" x14ac:dyDescent="0.25">
      <c r="B150" s="27">
        <v>137</v>
      </c>
      <c r="C150" s="48"/>
      <c r="D150" s="48"/>
      <c r="E150" s="48"/>
      <c r="F150" s="48"/>
      <c r="G150" s="48"/>
      <c r="H150" s="48"/>
      <c r="I150" s="48"/>
      <c r="J150" s="48"/>
      <c r="K150" s="49"/>
      <c r="L150" s="50"/>
      <c r="M150" s="50"/>
      <c r="N150" s="50"/>
      <c r="O150" s="50"/>
      <c r="P150" s="50"/>
      <c r="Q150" s="50"/>
      <c r="R150" s="50"/>
      <c r="S150" s="50"/>
      <c r="T150" s="26" t="str">
        <f t="shared" si="4"/>
        <v>pass</v>
      </c>
      <c r="U150" s="50"/>
      <c r="V150" s="51"/>
      <c r="W150" s="50"/>
      <c r="X150" s="50"/>
      <c r="Y150" s="50"/>
      <c r="Z150" s="50"/>
      <c r="AA150" s="50"/>
      <c r="AB150" s="50"/>
      <c r="AC150" s="50"/>
      <c r="AD150" s="50"/>
    </row>
    <row r="151" spans="2:30" hidden="1" outlineLevel="1" x14ac:dyDescent="0.25">
      <c r="B151" s="27">
        <v>138</v>
      </c>
      <c r="C151" s="48"/>
      <c r="D151" s="48"/>
      <c r="E151" s="48"/>
      <c r="F151" s="48"/>
      <c r="G151" s="48"/>
      <c r="H151" s="48"/>
      <c r="I151" s="48"/>
      <c r="J151" s="48"/>
      <c r="K151" s="49"/>
      <c r="L151" s="50"/>
      <c r="M151" s="50"/>
      <c r="N151" s="50"/>
      <c r="O151" s="50"/>
      <c r="P151" s="50"/>
      <c r="Q151" s="50"/>
      <c r="R151" s="50"/>
      <c r="S151" s="50"/>
      <c r="T151" s="26" t="str">
        <f t="shared" si="4"/>
        <v>pass</v>
      </c>
      <c r="U151" s="50"/>
      <c r="V151" s="51"/>
      <c r="W151" s="50"/>
      <c r="X151" s="50"/>
      <c r="Y151" s="50"/>
      <c r="Z151" s="50"/>
      <c r="AA151" s="50"/>
      <c r="AB151" s="50"/>
      <c r="AC151" s="50"/>
      <c r="AD151" s="50"/>
    </row>
    <row r="152" spans="2:30" hidden="1" outlineLevel="1" x14ac:dyDescent="0.25">
      <c r="B152" s="27">
        <v>139</v>
      </c>
      <c r="C152" s="48"/>
      <c r="D152" s="48"/>
      <c r="E152" s="48"/>
      <c r="F152" s="48"/>
      <c r="G152" s="48"/>
      <c r="H152" s="48"/>
      <c r="I152" s="48"/>
      <c r="J152" s="48"/>
      <c r="K152" s="49"/>
      <c r="L152" s="50"/>
      <c r="M152" s="50"/>
      <c r="N152" s="50"/>
      <c r="O152" s="50"/>
      <c r="P152" s="50"/>
      <c r="Q152" s="50"/>
      <c r="R152" s="50"/>
      <c r="S152" s="50"/>
      <c r="T152" s="26" t="str">
        <f t="shared" si="4"/>
        <v>pass</v>
      </c>
      <c r="U152" s="50"/>
      <c r="V152" s="51"/>
      <c r="W152" s="50"/>
      <c r="X152" s="50"/>
      <c r="Y152" s="50"/>
      <c r="Z152" s="50"/>
      <c r="AA152" s="50"/>
      <c r="AB152" s="50"/>
      <c r="AC152" s="50"/>
      <c r="AD152" s="50"/>
    </row>
    <row r="153" spans="2:30" hidden="1" outlineLevel="1" x14ac:dyDescent="0.25">
      <c r="B153" s="27">
        <v>140</v>
      </c>
      <c r="C153" s="48"/>
      <c r="D153" s="48"/>
      <c r="E153" s="48"/>
      <c r="F153" s="48"/>
      <c r="G153" s="48"/>
      <c r="H153" s="48"/>
      <c r="I153" s="48"/>
      <c r="J153" s="48"/>
      <c r="K153" s="49"/>
      <c r="L153" s="50"/>
      <c r="M153" s="50"/>
      <c r="N153" s="50"/>
      <c r="O153" s="50"/>
      <c r="P153" s="50"/>
      <c r="Q153" s="50"/>
      <c r="R153" s="50"/>
      <c r="S153" s="50"/>
      <c r="T153" s="26" t="str">
        <f t="shared" si="4"/>
        <v>pass</v>
      </c>
      <c r="U153" s="50"/>
      <c r="V153" s="51"/>
      <c r="W153" s="50"/>
      <c r="X153" s="50"/>
      <c r="Y153" s="50"/>
      <c r="Z153" s="50"/>
      <c r="AA153" s="50"/>
      <c r="AB153" s="50"/>
      <c r="AC153" s="50"/>
      <c r="AD153" s="50"/>
    </row>
    <row r="154" spans="2:30" hidden="1" outlineLevel="1" x14ac:dyDescent="0.25">
      <c r="B154" s="27">
        <v>141</v>
      </c>
      <c r="C154" s="48"/>
      <c r="D154" s="48"/>
      <c r="E154" s="48"/>
      <c r="F154" s="48"/>
      <c r="G154" s="48"/>
      <c r="H154" s="48"/>
      <c r="I154" s="48"/>
      <c r="J154" s="48"/>
      <c r="K154" s="49"/>
      <c r="L154" s="50"/>
      <c r="M154" s="50"/>
      <c r="N154" s="50"/>
      <c r="O154" s="50"/>
      <c r="P154" s="50"/>
      <c r="Q154" s="50"/>
      <c r="R154" s="50"/>
      <c r="S154" s="50"/>
      <c r="T154" s="26" t="str">
        <f t="shared" si="4"/>
        <v>pass</v>
      </c>
      <c r="U154" s="50"/>
      <c r="V154" s="51"/>
      <c r="W154" s="50"/>
      <c r="X154" s="50"/>
      <c r="Y154" s="50"/>
      <c r="Z154" s="50"/>
      <c r="AA154" s="50"/>
      <c r="AB154" s="50"/>
      <c r="AC154" s="50"/>
      <c r="AD154" s="50"/>
    </row>
    <row r="155" spans="2:30" hidden="1" outlineLevel="1" x14ac:dyDescent="0.25">
      <c r="B155" s="27">
        <v>142</v>
      </c>
      <c r="C155" s="48"/>
      <c r="D155" s="48"/>
      <c r="E155" s="48"/>
      <c r="F155" s="48"/>
      <c r="G155" s="48"/>
      <c r="H155" s="48"/>
      <c r="I155" s="48"/>
      <c r="J155" s="48"/>
      <c r="K155" s="49"/>
      <c r="L155" s="50"/>
      <c r="M155" s="50"/>
      <c r="N155" s="50"/>
      <c r="O155" s="50"/>
      <c r="P155" s="50"/>
      <c r="Q155" s="50"/>
      <c r="R155" s="50"/>
      <c r="S155" s="50"/>
      <c r="T155" s="26" t="str">
        <f t="shared" si="4"/>
        <v>pass</v>
      </c>
      <c r="U155" s="50"/>
      <c r="V155" s="51"/>
      <c r="W155" s="50"/>
      <c r="X155" s="50"/>
      <c r="Y155" s="50"/>
      <c r="Z155" s="50"/>
      <c r="AA155" s="50"/>
      <c r="AB155" s="50"/>
      <c r="AC155" s="50"/>
      <c r="AD155" s="50"/>
    </row>
    <row r="156" spans="2:30" hidden="1" outlineLevel="1" x14ac:dyDescent="0.25">
      <c r="B156" s="27">
        <v>143</v>
      </c>
      <c r="C156" s="48"/>
      <c r="D156" s="48"/>
      <c r="E156" s="48"/>
      <c r="F156" s="48"/>
      <c r="G156" s="48"/>
      <c r="H156" s="48"/>
      <c r="I156" s="48"/>
      <c r="J156" s="48"/>
      <c r="K156" s="49"/>
      <c r="L156" s="50"/>
      <c r="M156" s="50"/>
      <c r="N156" s="50"/>
      <c r="O156" s="50"/>
      <c r="P156" s="50"/>
      <c r="Q156" s="50"/>
      <c r="R156" s="50"/>
      <c r="S156" s="50"/>
      <c r="T156" s="26" t="str">
        <f t="shared" si="4"/>
        <v>pass</v>
      </c>
      <c r="U156" s="50"/>
      <c r="V156" s="51"/>
      <c r="W156" s="50"/>
      <c r="X156" s="50"/>
      <c r="Y156" s="50"/>
      <c r="Z156" s="50"/>
      <c r="AA156" s="50"/>
      <c r="AB156" s="50"/>
      <c r="AC156" s="50"/>
      <c r="AD156" s="50"/>
    </row>
    <row r="157" spans="2:30" hidden="1" outlineLevel="1" x14ac:dyDescent="0.25">
      <c r="B157" s="27">
        <v>144</v>
      </c>
      <c r="C157" s="48"/>
      <c r="D157" s="48"/>
      <c r="E157" s="48"/>
      <c r="F157" s="48"/>
      <c r="G157" s="48"/>
      <c r="H157" s="48"/>
      <c r="I157" s="48"/>
      <c r="J157" s="48"/>
      <c r="K157" s="49"/>
      <c r="L157" s="50"/>
      <c r="M157" s="50"/>
      <c r="N157" s="50"/>
      <c r="O157" s="50"/>
      <c r="P157" s="50"/>
      <c r="Q157" s="50"/>
      <c r="R157" s="50"/>
      <c r="S157" s="50"/>
      <c r="T157" s="26" t="str">
        <f t="shared" si="4"/>
        <v>pass</v>
      </c>
      <c r="U157" s="50"/>
      <c r="V157" s="51"/>
      <c r="W157" s="50"/>
      <c r="X157" s="50"/>
      <c r="Y157" s="50"/>
      <c r="Z157" s="50"/>
      <c r="AA157" s="50"/>
      <c r="AB157" s="50"/>
      <c r="AC157" s="50"/>
      <c r="AD157" s="50"/>
    </row>
    <row r="158" spans="2:30" hidden="1" outlineLevel="1" x14ac:dyDescent="0.25">
      <c r="B158" s="27">
        <v>145</v>
      </c>
      <c r="C158" s="48"/>
      <c r="D158" s="48"/>
      <c r="E158" s="48"/>
      <c r="F158" s="48"/>
      <c r="G158" s="48"/>
      <c r="H158" s="48"/>
      <c r="I158" s="48"/>
      <c r="J158" s="48"/>
      <c r="K158" s="49"/>
      <c r="L158" s="50"/>
      <c r="M158" s="50"/>
      <c r="N158" s="50"/>
      <c r="O158" s="50"/>
      <c r="P158" s="50"/>
      <c r="Q158" s="50"/>
      <c r="R158" s="50"/>
      <c r="S158" s="50"/>
      <c r="T158" s="26" t="str">
        <f t="shared" si="4"/>
        <v>pass</v>
      </c>
      <c r="U158" s="50"/>
      <c r="V158" s="51"/>
      <c r="W158" s="50"/>
      <c r="X158" s="50"/>
      <c r="Y158" s="50"/>
      <c r="Z158" s="50"/>
      <c r="AA158" s="50"/>
      <c r="AB158" s="50"/>
      <c r="AC158" s="50"/>
      <c r="AD158" s="50"/>
    </row>
    <row r="159" spans="2:30" hidden="1" outlineLevel="1" x14ac:dyDescent="0.25">
      <c r="B159" s="27">
        <v>146</v>
      </c>
      <c r="C159" s="48"/>
      <c r="D159" s="48"/>
      <c r="E159" s="48"/>
      <c r="F159" s="48"/>
      <c r="G159" s="48"/>
      <c r="H159" s="48"/>
      <c r="I159" s="48"/>
      <c r="J159" s="48"/>
      <c r="K159" s="49"/>
      <c r="L159" s="50"/>
      <c r="M159" s="50"/>
      <c r="N159" s="50"/>
      <c r="O159" s="50"/>
      <c r="P159" s="50"/>
      <c r="Q159" s="50"/>
      <c r="R159" s="50"/>
      <c r="S159" s="50"/>
      <c r="T159" s="26" t="str">
        <f t="shared" si="4"/>
        <v>pass</v>
      </c>
      <c r="U159" s="50"/>
      <c r="V159" s="51"/>
      <c r="W159" s="50"/>
      <c r="X159" s="50"/>
      <c r="Y159" s="50"/>
      <c r="Z159" s="50"/>
      <c r="AA159" s="50"/>
      <c r="AB159" s="50"/>
      <c r="AC159" s="50"/>
      <c r="AD159" s="50"/>
    </row>
    <row r="160" spans="2:30" hidden="1" outlineLevel="1" x14ac:dyDescent="0.25">
      <c r="B160" s="27">
        <v>147</v>
      </c>
      <c r="C160" s="48"/>
      <c r="D160" s="48"/>
      <c r="E160" s="48"/>
      <c r="F160" s="48"/>
      <c r="G160" s="48"/>
      <c r="H160" s="48"/>
      <c r="I160" s="48"/>
      <c r="J160" s="48"/>
      <c r="K160" s="49"/>
      <c r="L160" s="50"/>
      <c r="M160" s="50"/>
      <c r="N160" s="50"/>
      <c r="O160" s="50"/>
      <c r="P160" s="50"/>
      <c r="Q160" s="50"/>
      <c r="R160" s="50"/>
      <c r="S160" s="50"/>
      <c r="T160" s="26" t="str">
        <f t="shared" si="4"/>
        <v>pass</v>
      </c>
      <c r="U160" s="50"/>
      <c r="V160" s="51"/>
      <c r="W160" s="50"/>
      <c r="X160" s="50"/>
      <c r="Y160" s="50"/>
      <c r="Z160" s="50"/>
      <c r="AA160" s="50"/>
      <c r="AB160" s="50"/>
      <c r="AC160" s="50"/>
      <c r="AD160" s="50"/>
    </row>
    <row r="161" spans="2:30" hidden="1" outlineLevel="1" x14ac:dyDescent="0.25">
      <c r="B161" s="27">
        <v>148</v>
      </c>
      <c r="C161" s="48"/>
      <c r="D161" s="48"/>
      <c r="E161" s="48"/>
      <c r="F161" s="48"/>
      <c r="G161" s="48"/>
      <c r="H161" s="48"/>
      <c r="I161" s="48"/>
      <c r="J161" s="48"/>
      <c r="K161" s="49"/>
      <c r="L161" s="50"/>
      <c r="M161" s="50"/>
      <c r="N161" s="50"/>
      <c r="O161" s="50"/>
      <c r="P161" s="50"/>
      <c r="Q161" s="50"/>
      <c r="R161" s="50"/>
      <c r="S161" s="50"/>
      <c r="T161" s="26" t="str">
        <f t="shared" si="4"/>
        <v>pass</v>
      </c>
      <c r="U161" s="50"/>
      <c r="V161" s="51"/>
      <c r="W161" s="50"/>
      <c r="X161" s="50"/>
      <c r="Y161" s="50"/>
      <c r="Z161" s="50"/>
      <c r="AA161" s="50"/>
      <c r="AB161" s="50"/>
      <c r="AC161" s="50"/>
      <c r="AD161" s="50"/>
    </row>
    <row r="162" spans="2:30" hidden="1" outlineLevel="1" x14ac:dyDescent="0.25">
      <c r="B162" s="27">
        <v>149</v>
      </c>
      <c r="C162" s="48"/>
      <c r="D162" s="48"/>
      <c r="E162" s="48"/>
      <c r="F162" s="48"/>
      <c r="G162" s="48"/>
      <c r="H162" s="48"/>
      <c r="I162" s="48"/>
      <c r="J162" s="48"/>
      <c r="K162" s="49"/>
      <c r="L162" s="50"/>
      <c r="M162" s="50"/>
      <c r="N162" s="50"/>
      <c r="O162" s="50"/>
      <c r="P162" s="50"/>
      <c r="Q162" s="50"/>
      <c r="R162" s="50"/>
      <c r="S162" s="50"/>
      <c r="T162" s="26" t="str">
        <f t="shared" si="4"/>
        <v>pass</v>
      </c>
      <c r="U162" s="50"/>
      <c r="V162" s="51"/>
      <c r="W162" s="50"/>
      <c r="X162" s="50"/>
      <c r="Y162" s="50"/>
      <c r="Z162" s="50"/>
      <c r="AA162" s="50"/>
      <c r="AB162" s="50"/>
      <c r="AC162" s="50"/>
      <c r="AD162" s="50"/>
    </row>
    <row r="163" spans="2:30" hidden="1" outlineLevel="1" x14ac:dyDescent="0.25">
      <c r="B163" s="27">
        <v>150</v>
      </c>
      <c r="C163" s="48"/>
      <c r="D163" s="48"/>
      <c r="E163" s="48"/>
      <c r="F163" s="48"/>
      <c r="G163" s="48"/>
      <c r="H163" s="48"/>
      <c r="I163" s="48"/>
      <c r="J163" s="48"/>
      <c r="K163" s="49"/>
      <c r="L163" s="50"/>
      <c r="M163" s="50"/>
      <c r="N163" s="50"/>
      <c r="O163" s="50"/>
      <c r="P163" s="50"/>
      <c r="Q163" s="50"/>
      <c r="R163" s="50"/>
      <c r="S163" s="50"/>
      <c r="T163" s="26" t="str">
        <f t="shared" si="4"/>
        <v>pass</v>
      </c>
      <c r="U163" s="50"/>
      <c r="V163" s="51"/>
      <c r="W163" s="50"/>
      <c r="X163" s="50"/>
      <c r="Y163" s="50"/>
      <c r="Z163" s="50"/>
      <c r="AA163" s="50"/>
      <c r="AB163" s="50"/>
      <c r="AC163" s="50"/>
      <c r="AD163" s="50"/>
    </row>
    <row r="164" spans="2:30" hidden="1" outlineLevel="1" x14ac:dyDescent="0.25">
      <c r="B164" s="27">
        <v>151</v>
      </c>
      <c r="C164" s="48"/>
      <c r="D164" s="48"/>
      <c r="E164" s="48"/>
      <c r="F164" s="48"/>
      <c r="G164" s="48"/>
      <c r="H164" s="48"/>
      <c r="I164" s="48"/>
      <c r="J164" s="48"/>
      <c r="K164" s="49"/>
      <c r="L164" s="50"/>
      <c r="M164" s="50"/>
      <c r="N164" s="50"/>
      <c r="O164" s="50"/>
      <c r="P164" s="50"/>
      <c r="Q164" s="50"/>
      <c r="R164" s="50"/>
      <c r="S164" s="50"/>
      <c r="T164" s="26" t="str">
        <f t="shared" si="4"/>
        <v>pass</v>
      </c>
      <c r="U164" s="50"/>
      <c r="V164" s="51"/>
      <c r="W164" s="50"/>
      <c r="X164" s="50"/>
      <c r="Y164" s="50"/>
      <c r="Z164" s="50"/>
      <c r="AA164" s="50"/>
      <c r="AB164" s="50"/>
      <c r="AC164" s="50"/>
      <c r="AD164" s="50"/>
    </row>
    <row r="165" spans="2:30" hidden="1" outlineLevel="1" x14ac:dyDescent="0.25">
      <c r="B165" s="27">
        <v>152</v>
      </c>
      <c r="C165" s="48"/>
      <c r="D165" s="48"/>
      <c r="E165" s="48"/>
      <c r="F165" s="48"/>
      <c r="G165" s="48"/>
      <c r="H165" s="48"/>
      <c r="I165" s="48"/>
      <c r="J165" s="48"/>
      <c r="K165" s="49"/>
      <c r="L165" s="50"/>
      <c r="M165" s="50"/>
      <c r="N165" s="50"/>
      <c r="O165" s="50"/>
      <c r="P165" s="50"/>
      <c r="Q165" s="50"/>
      <c r="R165" s="50"/>
      <c r="S165" s="50"/>
      <c r="T165" s="26" t="str">
        <f t="shared" si="4"/>
        <v>pass</v>
      </c>
      <c r="U165" s="50"/>
      <c r="V165" s="51"/>
      <c r="W165" s="50"/>
      <c r="X165" s="50"/>
      <c r="Y165" s="50"/>
      <c r="Z165" s="50"/>
      <c r="AA165" s="50"/>
      <c r="AB165" s="50"/>
      <c r="AC165" s="50"/>
      <c r="AD165" s="50"/>
    </row>
    <row r="166" spans="2:30" hidden="1" outlineLevel="1" x14ac:dyDescent="0.25">
      <c r="B166" s="27">
        <v>153</v>
      </c>
      <c r="C166" s="48"/>
      <c r="D166" s="48"/>
      <c r="E166" s="48"/>
      <c r="F166" s="48"/>
      <c r="G166" s="48"/>
      <c r="H166" s="48"/>
      <c r="I166" s="48"/>
      <c r="J166" s="48"/>
      <c r="K166" s="49"/>
      <c r="L166" s="50"/>
      <c r="M166" s="50"/>
      <c r="N166" s="50"/>
      <c r="O166" s="50"/>
      <c r="P166" s="50"/>
      <c r="Q166" s="50"/>
      <c r="R166" s="50"/>
      <c r="S166" s="50"/>
      <c r="T166" s="26" t="str">
        <f t="shared" si="4"/>
        <v>pass</v>
      </c>
      <c r="U166" s="50"/>
      <c r="V166" s="51"/>
      <c r="W166" s="50"/>
      <c r="X166" s="50"/>
      <c r="Y166" s="50"/>
      <c r="Z166" s="50"/>
      <c r="AA166" s="50"/>
      <c r="AB166" s="50"/>
      <c r="AC166" s="50"/>
      <c r="AD166" s="50"/>
    </row>
    <row r="167" spans="2:30" hidden="1" outlineLevel="1" x14ac:dyDescent="0.25">
      <c r="B167" s="27">
        <v>154</v>
      </c>
      <c r="C167" s="48"/>
      <c r="D167" s="48"/>
      <c r="E167" s="48"/>
      <c r="F167" s="48"/>
      <c r="G167" s="48"/>
      <c r="H167" s="48"/>
      <c r="I167" s="48"/>
      <c r="J167" s="48"/>
      <c r="K167" s="49"/>
      <c r="L167" s="50"/>
      <c r="M167" s="50"/>
      <c r="N167" s="50"/>
      <c r="O167" s="50"/>
      <c r="P167" s="50"/>
      <c r="Q167" s="50"/>
      <c r="R167" s="50"/>
      <c r="S167" s="50"/>
      <c r="T167" s="26" t="str">
        <f t="shared" si="4"/>
        <v>pass</v>
      </c>
      <c r="U167" s="50"/>
      <c r="V167" s="51"/>
      <c r="W167" s="50"/>
      <c r="X167" s="50"/>
      <c r="Y167" s="50"/>
      <c r="Z167" s="50"/>
      <c r="AA167" s="50"/>
      <c r="AB167" s="50"/>
      <c r="AC167" s="50"/>
      <c r="AD167" s="50"/>
    </row>
    <row r="168" spans="2:30" hidden="1" outlineLevel="1" x14ac:dyDescent="0.25">
      <c r="B168" s="27">
        <v>155</v>
      </c>
      <c r="C168" s="48"/>
      <c r="D168" s="48"/>
      <c r="E168" s="48"/>
      <c r="F168" s="48"/>
      <c r="G168" s="48"/>
      <c r="H168" s="48"/>
      <c r="I168" s="48"/>
      <c r="J168" s="48"/>
      <c r="K168" s="49"/>
      <c r="L168" s="50"/>
      <c r="M168" s="50"/>
      <c r="N168" s="50"/>
      <c r="O168" s="50"/>
      <c r="P168" s="50"/>
      <c r="Q168" s="50"/>
      <c r="R168" s="50"/>
      <c r="S168" s="50"/>
      <c r="T168" s="26" t="str">
        <f t="shared" si="4"/>
        <v>pass</v>
      </c>
      <c r="U168" s="50"/>
      <c r="V168" s="51"/>
      <c r="W168" s="50"/>
      <c r="X168" s="50"/>
      <c r="Y168" s="50"/>
      <c r="Z168" s="50"/>
      <c r="AA168" s="50"/>
      <c r="AB168" s="50"/>
      <c r="AC168" s="50"/>
      <c r="AD168" s="50"/>
    </row>
    <row r="169" spans="2:30" hidden="1" outlineLevel="1" x14ac:dyDescent="0.25">
      <c r="B169" s="27">
        <v>156</v>
      </c>
      <c r="C169" s="48"/>
      <c r="D169" s="48"/>
      <c r="E169" s="48"/>
      <c r="F169" s="48"/>
      <c r="G169" s="48"/>
      <c r="H169" s="48"/>
      <c r="I169" s="48"/>
      <c r="J169" s="48"/>
      <c r="K169" s="49"/>
      <c r="L169" s="50"/>
      <c r="M169" s="50"/>
      <c r="N169" s="50"/>
      <c r="O169" s="50"/>
      <c r="P169" s="50"/>
      <c r="Q169" s="50"/>
      <c r="R169" s="50"/>
      <c r="S169" s="50"/>
      <c r="T169" s="26" t="str">
        <f t="shared" si="4"/>
        <v>pass</v>
      </c>
      <c r="U169" s="50"/>
      <c r="V169" s="51"/>
      <c r="W169" s="50"/>
      <c r="X169" s="50"/>
      <c r="Y169" s="50"/>
      <c r="Z169" s="50"/>
      <c r="AA169" s="50"/>
      <c r="AB169" s="50"/>
      <c r="AC169" s="50"/>
      <c r="AD169" s="50"/>
    </row>
    <row r="170" spans="2:30" hidden="1" outlineLevel="1" x14ac:dyDescent="0.25">
      <c r="B170" s="27">
        <v>157</v>
      </c>
      <c r="C170" s="48"/>
      <c r="D170" s="48"/>
      <c r="E170" s="48"/>
      <c r="F170" s="48"/>
      <c r="G170" s="48"/>
      <c r="H170" s="48"/>
      <c r="I170" s="48"/>
      <c r="J170" s="48"/>
      <c r="K170" s="49"/>
      <c r="L170" s="50"/>
      <c r="M170" s="50"/>
      <c r="N170" s="50"/>
      <c r="O170" s="50"/>
      <c r="P170" s="50"/>
      <c r="Q170" s="50"/>
      <c r="R170" s="50"/>
      <c r="S170" s="50"/>
      <c r="T170" s="26" t="str">
        <f t="shared" si="4"/>
        <v>pass</v>
      </c>
      <c r="U170" s="50"/>
      <c r="V170" s="51"/>
      <c r="W170" s="50"/>
      <c r="X170" s="50"/>
      <c r="Y170" s="50"/>
      <c r="Z170" s="50"/>
      <c r="AA170" s="50"/>
      <c r="AB170" s="50"/>
      <c r="AC170" s="50"/>
      <c r="AD170" s="50"/>
    </row>
    <row r="171" spans="2:30" hidden="1" outlineLevel="1" x14ac:dyDescent="0.25">
      <c r="B171" s="27">
        <v>158</v>
      </c>
      <c r="C171" s="48"/>
      <c r="D171" s="48"/>
      <c r="E171" s="48"/>
      <c r="F171" s="48"/>
      <c r="G171" s="48"/>
      <c r="H171" s="48"/>
      <c r="I171" s="48"/>
      <c r="J171" s="48"/>
      <c r="K171" s="49"/>
      <c r="L171" s="50"/>
      <c r="M171" s="50"/>
      <c r="N171" s="50"/>
      <c r="O171" s="50"/>
      <c r="P171" s="50"/>
      <c r="Q171" s="50"/>
      <c r="R171" s="50"/>
      <c r="S171" s="50"/>
      <c r="T171" s="26" t="str">
        <f t="shared" si="4"/>
        <v>pass</v>
      </c>
      <c r="U171" s="50"/>
      <c r="V171" s="51"/>
      <c r="W171" s="50"/>
      <c r="X171" s="50"/>
      <c r="Y171" s="50"/>
      <c r="Z171" s="50"/>
      <c r="AA171" s="50"/>
      <c r="AB171" s="50"/>
      <c r="AC171" s="50"/>
      <c r="AD171" s="50"/>
    </row>
    <row r="172" spans="2:30" hidden="1" outlineLevel="1" x14ac:dyDescent="0.25">
      <c r="B172" s="27">
        <v>159</v>
      </c>
      <c r="C172" s="48"/>
      <c r="D172" s="48"/>
      <c r="E172" s="48"/>
      <c r="F172" s="48"/>
      <c r="G172" s="48"/>
      <c r="H172" s="48"/>
      <c r="I172" s="48"/>
      <c r="J172" s="48"/>
      <c r="K172" s="49"/>
      <c r="L172" s="50"/>
      <c r="M172" s="50"/>
      <c r="N172" s="50"/>
      <c r="O172" s="50"/>
      <c r="P172" s="50"/>
      <c r="Q172" s="50"/>
      <c r="R172" s="50"/>
      <c r="S172" s="50"/>
      <c r="T172" s="26" t="str">
        <f t="shared" si="4"/>
        <v>pass</v>
      </c>
      <c r="U172" s="50"/>
      <c r="V172" s="51"/>
      <c r="W172" s="50"/>
      <c r="X172" s="50"/>
      <c r="Y172" s="50"/>
      <c r="Z172" s="50"/>
      <c r="AA172" s="50"/>
      <c r="AB172" s="50"/>
      <c r="AC172" s="50"/>
      <c r="AD172" s="50"/>
    </row>
    <row r="173" spans="2:30" hidden="1" outlineLevel="1" x14ac:dyDescent="0.25">
      <c r="B173" s="27">
        <v>160</v>
      </c>
      <c r="C173" s="48"/>
      <c r="D173" s="48"/>
      <c r="E173" s="48"/>
      <c r="F173" s="48"/>
      <c r="G173" s="48"/>
      <c r="H173" s="48"/>
      <c r="I173" s="48"/>
      <c r="J173" s="48"/>
      <c r="K173" s="49"/>
      <c r="L173" s="50"/>
      <c r="M173" s="50"/>
      <c r="N173" s="50"/>
      <c r="O173" s="50"/>
      <c r="P173" s="50"/>
      <c r="Q173" s="50"/>
      <c r="R173" s="50"/>
      <c r="S173" s="50"/>
      <c r="T173" s="26" t="str">
        <f t="shared" si="4"/>
        <v>pass</v>
      </c>
      <c r="U173" s="50"/>
      <c r="V173" s="51"/>
      <c r="W173" s="50"/>
      <c r="X173" s="50"/>
      <c r="Y173" s="50"/>
      <c r="Z173" s="50"/>
      <c r="AA173" s="50"/>
      <c r="AB173" s="50"/>
      <c r="AC173" s="50"/>
      <c r="AD173" s="50"/>
    </row>
    <row r="174" spans="2:30" hidden="1" outlineLevel="1" x14ac:dyDescent="0.25">
      <c r="B174" s="27">
        <v>161</v>
      </c>
      <c r="C174" s="48"/>
      <c r="D174" s="48"/>
      <c r="E174" s="48"/>
      <c r="F174" s="48"/>
      <c r="G174" s="48"/>
      <c r="H174" s="48"/>
      <c r="I174" s="48"/>
      <c r="J174" s="48"/>
      <c r="K174" s="49"/>
      <c r="L174" s="50"/>
      <c r="M174" s="50"/>
      <c r="N174" s="50"/>
      <c r="O174" s="50"/>
      <c r="P174" s="50"/>
      <c r="Q174" s="50"/>
      <c r="R174" s="50"/>
      <c r="S174" s="50"/>
      <c r="T174" s="26" t="str">
        <f t="shared" ref="T174:T205" si="5">IF(AND(C174&lt;&gt;"",SUM(K174,M174,O174,Q174,S174)=1),"pass",IF(AND(C174="",SUM(K174,M174,O174,Q174,S174)=0),"pass","fail"))</f>
        <v>pass</v>
      </c>
      <c r="U174" s="50"/>
      <c r="V174" s="51"/>
      <c r="W174" s="50"/>
      <c r="X174" s="50"/>
      <c r="Y174" s="50"/>
      <c r="Z174" s="50"/>
      <c r="AA174" s="50"/>
      <c r="AB174" s="50"/>
      <c r="AC174" s="50"/>
      <c r="AD174" s="50"/>
    </row>
    <row r="175" spans="2:30" hidden="1" outlineLevel="1" x14ac:dyDescent="0.25">
      <c r="B175" s="27">
        <v>162</v>
      </c>
      <c r="C175" s="48"/>
      <c r="D175" s="48"/>
      <c r="E175" s="48"/>
      <c r="F175" s="48"/>
      <c r="G175" s="48"/>
      <c r="H175" s="48"/>
      <c r="I175" s="48"/>
      <c r="J175" s="48"/>
      <c r="K175" s="49"/>
      <c r="L175" s="50"/>
      <c r="M175" s="50"/>
      <c r="N175" s="50"/>
      <c r="O175" s="50"/>
      <c r="P175" s="50"/>
      <c r="Q175" s="50"/>
      <c r="R175" s="50"/>
      <c r="S175" s="50"/>
      <c r="T175" s="26" t="str">
        <f t="shared" si="5"/>
        <v>pass</v>
      </c>
      <c r="U175" s="50"/>
      <c r="V175" s="51"/>
      <c r="W175" s="50"/>
      <c r="X175" s="50"/>
      <c r="Y175" s="50"/>
      <c r="Z175" s="50"/>
      <c r="AA175" s="50"/>
      <c r="AB175" s="50"/>
      <c r="AC175" s="50"/>
      <c r="AD175" s="50"/>
    </row>
    <row r="176" spans="2:30" hidden="1" outlineLevel="1" x14ac:dyDescent="0.25">
      <c r="B176" s="27">
        <v>163</v>
      </c>
      <c r="C176" s="48"/>
      <c r="D176" s="48"/>
      <c r="E176" s="48"/>
      <c r="F176" s="48"/>
      <c r="G176" s="48"/>
      <c r="H176" s="48"/>
      <c r="I176" s="48"/>
      <c r="J176" s="48"/>
      <c r="K176" s="49"/>
      <c r="L176" s="50"/>
      <c r="M176" s="50"/>
      <c r="N176" s="50"/>
      <c r="O176" s="50"/>
      <c r="P176" s="50"/>
      <c r="Q176" s="50"/>
      <c r="R176" s="50"/>
      <c r="S176" s="50"/>
      <c r="T176" s="26" t="str">
        <f t="shared" si="5"/>
        <v>pass</v>
      </c>
      <c r="U176" s="50"/>
      <c r="V176" s="51"/>
      <c r="W176" s="50"/>
      <c r="X176" s="50"/>
      <c r="Y176" s="50"/>
      <c r="Z176" s="50"/>
      <c r="AA176" s="50"/>
      <c r="AB176" s="50"/>
      <c r="AC176" s="50"/>
      <c r="AD176" s="50"/>
    </row>
    <row r="177" spans="2:30" hidden="1" outlineLevel="1" x14ac:dyDescent="0.25">
      <c r="B177" s="27">
        <v>164</v>
      </c>
      <c r="C177" s="48"/>
      <c r="D177" s="48"/>
      <c r="E177" s="48"/>
      <c r="F177" s="48"/>
      <c r="G177" s="48"/>
      <c r="H177" s="48"/>
      <c r="I177" s="48"/>
      <c r="J177" s="48"/>
      <c r="K177" s="49"/>
      <c r="L177" s="50"/>
      <c r="M177" s="50"/>
      <c r="N177" s="50"/>
      <c r="O177" s="50"/>
      <c r="P177" s="50"/>
      <c r="Q177" s="50"/>
      <c r="R177" s="50"/>
      <c r="S177" s="50"/>
      <c r="T177" s="26" t="str">
        <f t="shared" si="5"/>
        <v>pass</v>
      </c>
      <c r="U177" s="50"/>
      <c r="V177" s="51"/>
      <c r="W177" s="50"/>
      <c r="X177" s="50"/>
      <c r="Y177" s="50"/>
      <c r="Z177" s="50"/>
      <c r="AA177" s="50"/>
      <c r="AB177" s="50"/>
      <c r="AC177" s="50"/>
      <c r="AD177" s="50"/>
    </row>
    <row r="178" spans="2:30" hidden="1" outlineLevel="1" x14ac:dyDescent="0.25">
      <c r="B178" s="27">
        <v>165</v>
      </c>
      <c r="C178" s="48"/>
      <c r="D178" s="48"/>
      <c r="E178" s="48"/>
      <c r="F178" s="48"/>
      <c r="G178" s="48"/>
      <c r="H178" s="48"/>
      <c r="I178" s="48"/>
      <c r="J178" s="48"/>
      <c r="K178" s="49"/>
      <c r="L178" s="50"/>
      <c r="M178" s="50"/>
      <c r="N178" s="50"/>
      <c r="O178" s="50"/>
      <c r="P178" s="50"/>
      <c r="Q178" s="50"/>
      <c r="R178" s="50"/>
      <c r="S178" s="50"/>
      <c r="T178" s="26" t="str">
        <f t="shared" si="5"/>
        <v>pass</v>
      </c>
      <c r="U178" s="50"/>
      <c r="V178" s="51"/>
      <c r="W178" s="50"/>
      <c r="X178" s="50"/>
      <c r="Y178" s="50"/>
      <c r="Z178" s="50"/>
      <c r="AA178" s="50"/>
      <c r="AB178" s="50"/>
      <c r="AC178" s="50"/>
      <c r="AD178" s="50"/>
    </row>
    <row r="179" spans="2:30" hidden="1" outlineLevel="1" x14ac:dyDescent="0.25">
      <c r="B179" s="27">
        <v>166</v>
      </c>
      <c r="C179" s="48"/>
      <c r="D179" s="48"/>
      <c r="E179" s="48"/>
      <c r="F179" s="48"/>
      <c r="G179" s="48"/>
      <c r="H179" s="48"/>
      <c r="I179" s="48"/>
      <c r="J179" s="48"/>
      <c r="K179" s="49"/>
      <c r="L179" s="50"/>
      <c r="M179" s="50"/>
      <c r="N179" s="50"/>
      <c r="O179" s="50"/>
      <c r="P179" s="50"/>
      <c r="Q179" s="50"/>
      <c r="R179" s="50"/>
      <c r="S179" s="50"/>
      <c r="T179" s="26" t="str">
        <f t="shared" si="5"/>
        <v>pass</v>
      </c>
      <c r="U179" s="50"/>
      <c r="V179" s="51"/>
      <c r="W179" s="50"/>
      <c r="X179" s="50"/>
      <c r="Y179" s="50"/>
      <c r="Z179" s="50"/>
      <c r="AA179" s="50"/>
      <c r="AB179" s="50"/>
      <c r="AC179" s="50"/>
      <c r="AD179" s="50"/>
    </row>
    <row r="180" spans="2:30" hidden="1" outlineLevel="1" x14ac:dyDescent="0.25">
      <c r="B180" s="27">
        <v>167</v>
      </c>
      <c r="C180" s="48"/>
      <c r="D180" s="48"/>
      <c r="E180" s="48"/>
      <c r="F180" s="48"/>
      <c r="G180" s="48"/>
      <c r="H180" s="48"/>
      <c r="I180" s="48"/>
      <c r="J180" s="48"/>
      <c r="K180" s="49"/>
      <c r="L180" s="50"/>
      <c r="M180" s="50"/>
      <c r="N180" s="50"/>
      <c r="O180" s="50"/>
      <c r="P180" s="50"/>
      <c r="Q180" s="50"/>
      <c r="R180" s="50"/>
      <c r="S180" s="50"/>
      <c r="T180" s="26" t="str">
        <f t="shared" si="5"/>
        <v>pass</v>
      </c>
      <c r="U180" s="50"/>
      <c r="V180" s="51"/>
      <c r="W180" s="50"/>
      <c r="X180" s="50"/>
      <c r="Y180" s="50"/>
      <c r="Z180" s="50"/>
      <c r="AA180" s="50"/>
      <c r="AB180" s="50"/>
      <c r="AC180" s="50"/>
      <c r="AD180" s="50"/>
    </row>
    <row r="181" spans="2:30" hidden="1" outlineLevel="1" x14ac:dyDescent="0.25">
      <c r="B181" s="27">
        <v>168</v>
      </c>
      <c r="C181" s="48"/>
      <c r="D181" s="48"/>
      <c r="E181" s="48"/>
      <c r="F181" s="48"/>
      <c r="G181" s="48"/>
      <c r="H181" s="48"/>
      <c r="I181" s="48"/>
      <c r="J181" s="48"/>
      <c r="K181" s="49"/>
      <c r="L181" s="50"/>
      <c r="M181" s="50"/>
      <c r="N181" s="50"/>
      <c r="O181" s="50"/>
      <c r="P181" s="50"/>
      <c r="Q181" s="50"/>
      <c r="R181" s="50"/>
      <c r="S181" s="50"/>
      <c r="T181" s="26" t="str">
        <f t="shared" si="5"/>
        <v>pass</v>
      </c>
      <c r="U181" s="50"/>
      <c r="V181" s="51"/>
      <c r="W181" s="50"/>
      <c r="X181" s="50"/>
      <c r="Y181" s="50"/>
      <c r="Z181" s="50"/>
      <c r="AA181" s="50"/>
      <c r="AB181" s="50"/>
      <c r="AC181" s="50"/>
      <c r="AD181" s="50"/>
    </row>
    <row r="182" spans="2:30" hidden="1" outlineLevel="1" x14ac:dyDescent="0.25">
      <c r="B182" s="27">
        <v>169</v>
      </c>
      <c r="C182" s="48"/>
      <c r="D182" s="48"/>
      <c r="E182" s="48"/>
      <c r="F182" s="48"/>
      <c r="G182" s="48"/>
      <c r="H182" s="48"/>
      <c r="I182" s="48"/>
      <c r="J182" s="48"/>
      <c r="K182" s="49"/>
      <c r="L182" s="50"/>
      <c r="M182" s="50"/>
      <c r="N182" s="50"/>
      <c r="O182" s="50"/>
      <c r="P182" s="50"/>
      <c r="Q182" s="50"/>
      <c r="R182" s="50"/>
      <c r="S182" s="50"/>
      <c r="T182" s="26" t="str">
        <f t="shared" si="5"/>
        <v>pass</v>
      </c>
      <c r="U182" s="50"/>
      <c r="V182" s="51"/>
      <c r="W182" s="50"/>
      <c r="X182" s="50"/>
      <c r="Y182" s="50"/>
      <c r="Z182" s="50"/>
      <c r="AA182" s="50"/>
      <c r="AB182" s="50"/>
      <c r="AC182" s="50"/>
      <c r="AD182" s="50"/>
    </row>
    <row r="183" spans="2:30" hidden="1" outlineLevel="1" x14ac:dyDescent="0.25">
      <c r="B183" s="27">
        <v>170</v>
      </c>
      <c r="C183" s="48"/>
      <c r="D183" s="48"/>
      <c r="E183" s="48"/>
      <c r="F183" s="48"/>
      <c r="G183" s="48"/>
      <c r="H183" s="48"/>
      <c r="I183" s="48"/>
      <c r="J183" s="48"/>
      <c r="K183" s="49"/>
      <c r="L183" s="50"/>
      <c r="M183" s="50"/>
      <c r="N183" s="50"/>
      <c r="O183" s="50"/>
      <c r="P183" s="50"/>
      <c r="Q183" s="50"/>
      <c r="R183" s="50"/>
      <c r="S183" s="50"/>
      <c r="T183" s="26" t="str">
        <f t="shared" si="5"/>
        <v>pass</v>
      </c>
      <c r="U183" s="50"/>
      <c r="V183" s="51"/>
      <c r="W183" s="50"/>
      <c r="X183" s="50"/>
      <c r="Y183" s="50"/>
      <c r="Z183" s="50"/>
      <c r="AA183" s="50"/>
      <c r="AB183" s="50"/>
      <c r="AC183" s="50"/>
      <c r="AD183" s="50"/>
    </row>
    <row r="184" spans="2:30" hidden="1" outlineLevel="1" x14ac:dyDescent="0.25">
      <c r="B184" s="27">
        <v>171</v>
      </c>
      <c r="C184" s="48"/>
      <c r="D184" s="48"/>
      <c r="E184" s="48"/>
      <c r="F184" s="48"/>
      <c r="G184" s="48"/>
      <c r="H184" s="48"/>
      <c r="I184" s="48"/>
      <c r="J184" s="48"/>
      <c r="K184" s="49"/>
      <c r="L184" s="50"/>
      <c r="M184" s="50"/>
      <c r="N184" s="50"/>
      <c r="O184" s="50"/>
      <c r="P184" s="50"/>
      <c r="Q184" s="50"/>
      <c r="R184" s="50"/>
      <c r="S184" s="50"/>
      <c r="T184" s="26" t="str">
        <f t="shared" si="5"/>
        <v>pass</v>
      </c>
      <c r="U184" s="50"/>
      <c r="V184" s="51"/>
      <c r="W184" s="50"/>
      <c r="X184" s="50"/>
      <c r="Y184" s="50"/>
      <c r="Z184" s="50"/>
      <c r="AA184" s="50"/>
      <c r="AB184" s="50"/>
      <c r="AC184" s="50"/>
      <c r="AD184" s="50"/>
    </row>
    <row r="185" spans="2:30" hidden="1" outlineLevel="1" x14ac:dyDescent="0.25">
      <c r="B185" s="27">
        <v>172</v>
      </c>
      <c r="C185" s="48"/>
      <c r="D185" s="48"/>
      <c r="E185" s="48"/>
      <c r="F185" s="48"/>
      <c r="G185" s="48"/>
      <c r="H185" s="48"/>
      <c r="I185" s="48"/>
      <c r="J185" s="48"/>
      <c r="K185" s="49"/>
      <c r="L185" s="50"/>
      <c r="M185" s="50"/>
      <c r="N185" s="50"/>
      <c r="O185" s="50"/>
      <c r="P185" s="50"/>
      <c r="Q185" s="50"/>
      <c r="R185" s="50"/>
      <c r="S185" s="50"/>
      <c r="T185" s="26" t="str">
        <f t="shared" si="5"/>
        <v>pass</v>
      </c>
      <c r="U185" s="50"/>
      <c r="V185" s="51"/>
      <c r="W185" s="50"/>
      <c r="X185" s="50"/>
      <c r="Y185" s="50"/>
      <c r="Z185" s="50"/>
      <c r="AA185" s="50"/>
      <c r="AB185" s="50"/>
      <c r="AC185" s="50"/>
      <c r="AD185" s="50"/>
    </row>
    <row r="186" spans="2:30" hidden="1" outlineLevel="1" x14ac:dyDescent="0.25">
      <c r="B186" s="27">
        <v>173</v>
      </c>
      <c r="C186" s="48"/>
      <c r="D186" s="48"/>
      <c r="E186" s="48"/>
      <c r="F186" s="48"/>
      <c r="G186" s="48"/>
      <c r="H186" s="48"/>
      <c r="I186" s="48"/>
      <c r="J186" s="48"/>
      <c r="K186" s="49"/>
      <c r="L186" s="50"/>
      <c r="M186" s="50"/>
      <c r="N186" s="50"/>
      <c r="O186" s="50"/>
      <c r="P186" s="50"/>
      <c r="Q186" s="50"/>
      <c r="R186" s="50"/>
      <c r="S186" s="50"/>
      <c r="T186" s="26" t="str">
        <f t="shared" si="5"/>
        <v>pass</v>
      </c>
      <c r="U186" s="50"/>
      <c r="V186" s="51"/>
      <c r="W186" s="50"/>
      <c r="X186" s="50"/>
      <c r="Y186" s="50"/>
      <c r="Z186" s="50"/>
      <c r="AA186" s="50"/>
      <c r="AB186" s="50"/>
      <c r="AC186" s="50"/>
      <c r="AD186" s="50"/>
    </row>
    <row r="187" spans="2:30" hidden="1" outlineLevel="1" x14ac:dyDescent="0.25">
      <c r="B187" s="27">
        <v>174</v>
      </c>
      <c r="C187" s="48"/>
      <c r="D187" s="48"/>
      <c r="E187" s="48"/>
      <c r="F187" s="48"/>
      <c r="G187" s="48"/>
      <c r="H187" s="48"/>
      <c r="I187" s="48"/>
      <c r="J187" s="48"/>
      <c r="K187" s="49"/>
      <c r="L187" s="50"/>
      <c r="M187" s="50"/>
      <c r="N187" s="50"/>
      <c r="O187" s="50"/>
      <c r="P187" s="50"/>
      <c r="Q187" s="50"/>
      <c r="R187" s="50"/>
      <c r="S187" s="50"/>
      <c r="T187" s="26" t="str">
        <f t="shared" si="5"/>
        <v>pass</v>
      </c>
      <c r="U187" s="50"/>
      <c r="V187" s="51"/>
      <c r="W187" s="50"/>
      <c r="X187" s="50"/>
      <c r="Y187" s="50"/>
      <c r="Z187" s="50"/>
      <c r="AA187" s="50"/>
      <c r="AB187" s="50"/>
      <c r="AC187" s="50"/>
      <c r="AD187" s="50"/>
    </row>
    <row r="188" spans="2:30" hidden="1" outlineLevel="1" x14ac:dyDescent="0.25">
      <c r="B188" s="27">
        <v>175</v>
      </c>
      <c r="C188" s="48"/>
      <c r="D188" s="48"/>
      <c r="E188" s="48"/>
      <c r="F188" s="48"/>
      <c r="G188" s="48"/>
      <c r="H188" s="48"/>
      <c r="I188" s="48"/>
      <c r="J188" s="48"/>
      <c r="K188" s="49"/>
      <c r="L188" s="50"/>
      <c r="M188" s="50"/>
      <c r="N188" s="50"/>
      <c r="O188" s="50"/>
      <c r="P188" s="50"/>
      <c r="Q188" s="50"/>
      <c r="R188" s="50"/>
      <c r="S188" s="50"/>
      <c r="T188" s="26" t="str">
        <f t="shared" si="5"/>
        <v>pass</v>
      </c>
      <c r="U188" s="50"/>
      <c r="V188" s="51"/>
      <c r="W188" s="50"/>
      <c r="X188" s="50"/>
      <c r="Y188" s="50"/>
      <c r="Z188" s="50"/>
      <c r="AA188" s="50"/>
      <c r="AB188" s="50"/>
      <c r="AC188" s="50"/>
      <c r="AD188" s="50"/>
    </row>
    <row r="189" spans="2:30" hidden="1" outlineLevel="1" x14ac:dyDescent="0.25">
      <c r="B189" s="27">
        <v>176</v>
      </c>
      <c r="C189" s="48"/>
      <c r="D189" s="48"/>
      <c r="E189" s="48"/>
      <c r="F189" s="48"/>
      <c r="G189" s="48"/>
      <c r="H189" s="48"/>
      <c r="I189" s="48"/>
      <c r="J189" s="48"/>
      <c r="K189" s="49"/>
      <c r="L189" s="50"/>
      <c r="M189" s="50"/>
      <c r="N189" s="50"/>
      <c r="O189" s="50"/>
      <c r="P189" s="50"/>
      <c r="Q189" s="50"/>
      <c r="R189" s="50"/>
      <c r="S189" s="50"/>
      <c r="T189" s="26" t="str">
        <f t="shared" si="5"/>
        <v>pass</v>
      </c>
      <c r="U189" s="50"/>
      <c r="V189" s="51"/>
      <c r="W189" s="50"/>
      <c r="X189" s="50"/>
      <c r="Y189" s="50"/>
      <c r="Z189" s="50"/>
      <c r="AA189" s="50"/>
      <c r="AB189" s="50"/>
      <c r="AC189" s="50"/>
      <c r="AD189" s="50"/>
    </row>
    <row r="190" spans="2:30" hidden="1" outlineLevel="1" x14ac:dyDescent="0.25">
      <c r="B190" s="27">
        <v>177</v>
      </c>
      <c r="C190" s="48"/>
      <c r="D190" s="48"/>
      <c r="E190" s="48"/>
      <c r="F190" s="48"/>
      <c r="G190" s="48"/>
      <c r="H190" s="48"/>
      <c r="I190" s="48"/>
      <c r="J190" s="48"/>
      <c r="K190" s="49"/>
      <c r="L190" s="50"/>
      <c r="M190" s="50"/>
      <c r="N190" s="50"/>
      <c r="O190" s="50"/>
      <c r="P190" s="50"/>
      <c r="Q190" s="50"/>
      <c r="R190" s="50"/>
      <c r="S190" s="50"/>
      <c r="T190" s="26" t="str">
        <f t="shared" si="5"/>
        <v>pass</v>
      </c>
      <c r="U190" s="50"/>
      <c r="V190" s="51"/>
      <c r="W190" s="50"/>
      <c r="X190" s="50"/>
      <c r="Y190" s="50"/>
      <c r="Z190" s="50"/>
      <c r="AA190" s="50"/>
      <c r="AB190" s="50"/>
      <c r="AC190" s="50"/>
      <c r="AD190" s="50"/>
    </row>
    <row r="191" spans="2:30" hidden="1" outlineLevel="1" x14ac:dyDescent="0.25">
      <c r="B191" s="27">
        <v>178</v>
      </c>
      <c r="C191" s="48"/>
      <c r="D191" s="48"/>
      <c r="E191" s="48"/>
      <c r="F191" s="48"/>
      <c r="G191" s="48"/>
      <c r="H191" s="48"/>
      <c r="I191" s="48"/>
      <c r="J191" s="48"/>
      <c r="K191" s="49"/>
      <c r="L191" s="50"/>
      <c r="M191" s="50"/>
      <c r="N191" s="50"/>
      <c r="O191" s="50"/>
      <c r="P191" s="50"/>
      <c r="Q191" s="50"/>
      <c r="R191" s="50"/>
      <c r="S191" s="50"/>
      <c r="T191" s="26" t="str">
        <f t="shared" si="5"/>
        <v>pass</v>
      </c>
      <c r="U191" s="50"/>
      <c r="V191" s="51"/>
      <c r="W191" s="50"/>
      <c r="X191" s="50"/>
      <c r="Y191" s="50"/>
      <c r="Z191" s="50"/>
      <c r="AA191" s="50"/>
      <c r="AB191" s="50"/>
      <c r="AC191" s="50"/>
      <c r="AD191" s="50"/>
    </row>
    <row r="192" spans="2:30" hidden="1" outlineLevel="1" x14ac:dyDescent="0.25">
      <c r="B192" s="27">
        <v>179</v>
      </c>
      <c r="C192" s="48"/>
      <c r="D192" s="48"/>
      <c r="E192" s="48"/>
      <c r="F192" s="48"/>
      <c r="G192" s="48"/>
      <c r="H192" s="48"/>
      <c r="I192" s="48"/>
      <c r="J192" s="48"/>
      <c r="K192" s="49"/>
      <c r="L192" s="50"/>
      <c r="M192" s="50"/>
      <c r="N192" s="50"/>
      <c r="O192" s="50"/>
      <c r="P192" s="50"/>
      <c r="Q192" s="50"/>
      <c r="R192" s="50"/>
      <c r="S192" s="50"/>
      <c r="T192" s="26" t="str">
        <f t="shared" si="5"/>
        <v>pass</v>
      </c>
      <c r="U192" s="50"/>
      <c r="V192" s="51"/>
      <c r="W192" s="50"/>
      <c r="X192" s="50"/>
      <c r="Y192" s="50"/>
      <c r="Z192" s="50"/>
      <c r="AA192" s="50"/>
      <c r="AB192" s="50"/>
      <c r="AC192" s="50"/>
      <c r="AD192" s="50"/>
    </row>
    <row r="193" spans="2:30" hidden="1" outlineLevel="1" x14ac:dyDescent="0.25">
      <c r="B193" s="27">
        <v>180</v>
      </c>
      <c r="C193" s="48"/>
      <c r="D193" s="48"/>
      <c r="E193" s="48"/>
      <c r="F193" s="48"/>
      <c r="G193" s="48"/>
      <c r="H193" s="48"/>
      <c r="I193" s="48"/>
      <c r="J193" s="48"/>
      <c r="K193" s="49"/>
      <c r="L193" s="50"/>
      <c r="M193" s="50"/>
      <c r="N193" s="50"/>
      <c r="O193" s="50"/>
      <c r="P193" s="50"/>
      <c r="Q193" s="50"/>
      <c r="R193" s="50"/>
      <c r="S193" s="50"/>
      <c r="T193" s="26" t="str">
        <f t="shared" si="5"/>
        <v>pass</v>
      </c>
      <c r="U193" s="50"/>
      <c r="V193" s="51"/>
      <c r="W193" s="50"/>
      <c r="X193" s="50"/>
      <c r="Y193" s="50"/>
      <c r="Z193" s="50"/>
      <c r="AA193" s="50"/>
      <c r="AB193" s="50"/>
      <c r="AC193" s="50"/>
      <c r="AD193" s="50"/>
    </row>
    <row r="194" spans="2:30" hidden="1" outlineLevel="1" x14ac:dyDescent="0.25">
      <c r="B194" s="27">
        <v>181</v>
      </c>
      <c r="C194" s="48"/>
      <c r="D194" s="48"/>
      <c r="E194" s="48"/>
      <c r="F194" s="48"/>
      <c r="G194" s="48"/>
      <c r="H194" s="48"/>
      <c r="I194" s="48"/>
      <c r="J194" s="48"/>
      <c r="K194" s="49"/>
      <c r="L194" s="50"/>
      <c r="M194" s="50"/>
      <c r="N194" s="50"/>
      <c r="O194" s="50"/>
      <c r="P194" s="50"/>
      <c r="Q194" s="50"/>
      <c r="R194" s="50"/>
      <c r="S194" s="50"/>
      <c r="T194" s="26" t="str">
        <f t="shared" si="5"/>
        <v>pass</v>
      </c>
      <c r="U194" s="50"/>
      <c r="V194" s="51"/>
      <c r="W194" s="50"/>
      <c r="X194" s="50"/>
      <c r="Y194" s="50"/>
      <c r="Z194" s="50"/>
      <c r="AA194" s="50"/>
      <c r="AB194" s="50"/>
      <c r="AC194" s="50"/>
      <c r="AD194" s="50"/>
    </row>
    <row r="195" spans="2:30" hidden="1" outlineLevel="1" x14ac:dyDescent="0.25">
      <c r="B195" s="27">
        <v>182</v>
      </c>
      <c r="C195" s="48"/>
      <c r="D195" s="48"/>
      <c r="E195" s="48"/>
      <c r="F195" s="48"/>
      <c r="G195" s="48"/>
      <c r="H195" s="48"/>
      <c r="I195" s="48"/>
      <c r="J195" s="48"/>
      <c r="K195" s="49"/>
      <c r="L195" s="50"/>
      <c r="M195" s="50"/>
      <c r="N195" s="50"/>
      <c r="O195" s="50"/>
      <c r="P195" s="50"/>
      <c r="Q195" s="50"/>
      <c r="R195" s="50"/>
      <c r="S195" s="50"/>
      <c r="T195" s="26" t="str">
        <f t="shared" si="5"/>
        <v>pass</v>
      </c>
      <c r="U195" s="50"/>
      <c r="V195" s="51"/>
      <c r="W195" s="50"/>
      <c r="X195" s="50"/>
      <c r="Y195" s="50"/>
      <c r="Z195" s="50"/>
      <c r="AA195" s="50"/>
      <c r="AB195" s="50"/>
      <c r="AC195" s="50"/>
      <c r="AD195" s="50"/>
    </row>
    <row r="196" spans="2:30" hidden="1" outlineLevel="1" x14ac:dyDescent="0.25">
      <c r="B196" s="27">
        <v>183</v>
      </c>
      <c r="C196" s="48"/>
      <c r="D196" s="48"/>
      <c r="E196" s="48"/>
      <c r="F196" s="48"/>
      <c r="G196" s="48"/>
      <c r="H196" s="48"/>
      <c r="I196" s="48"/>
      <c r="J196" s="48"/>
      <c r="K196" s="49"/>
      <c r="L196" s="50"/>
      <c r="M196" s="50"/>
      <c r="N196" s="50"/>
      <c r="O196" s="50"/>
      <c r="P196" s="50"/>
      <c r="Q196" s="50"/>
      <c r="R196" s="50"/>
      <c r="S196" s="50"/>
      <c r="T196" s="26" t="str">
        <f t="shared" si="5"/>
        <v>pass</v>
      </c>
      <c r="U196" s="50"/>
      <c r="V196" s="51"/>
      <c r="W196" s="50"/>
      <c r="X196" s="50"/>
      <c r="Y196" s="50"/>
      <c r="Z196" s="50"/>
      <c r="AA196" s="50"/>
      <c r="AB196" s="50"/>
      <c r="AC196" s="50"/>
      <c r="AD196" s="50"/>
    </row>
    <row r="197" spans="2:30" hidden="1" outlineLevel="1" x14ac:dyDescent="0.25">
      <c r="B197" s="27">
        <v>184</v>
      </c>
      <c r="C197" s="48"/>
      <c r="D197" s="48"/>
      <c r="E197" s="48"/>
      <c r="F197" s="48"/>
      <c r="G197" s="48"/>
      <c r="H197" s="48"/>
      <c r="I197" s="48"/>
      <c r="J197" s="48"/>
      <c r="K197" s="49"/>
      <c r="L197" s="50"/>
      <c r="M197" s="50"/>
      <c r="N197" s="50"/>
      <c r="O197" s="50"/>
      <c r="P197" s="50"/>
      <c r="Q197" s="50"/>
      <c r="R197" s="50"/>
      <c r="S197" s="50"/>
      <c r="T197" s="26" t="str">
        <f t="shared" si="5"/>
        <v>pass</v>
      </c>
      <c r="U197" s="50"/>
      <c r="V197" s="51"/>
      <c r="W197" s="50"/>
      <c r="X197" s="50"/>
      <c r="Y197" s="50"/>
      <c r="Z197" s="50"/>
      <c r="AA197" s="50"/>
      <c r="AB197" s="50"/>
      <c r="AC197" s="50"/>
      <c r="AD197" s="50"/>
    </row>
    <row r="198" spans="2:30" hidden="1" outlineLevel="1" x14ac:dyDescent="0.25">
      <c r="B198" s="27">
        <v>185</v>
      </c>
      <c r="C198" s="48"/>
      <c r="D198" s="48"/>
      <c r="E198" s="48"/>
      <c r="F198" s="48"/>
      <c r="G198" s="48"/>
      <c r="H198" s="48"/>
      <c r="I198" s="48"/>
      <c r="J198" s="48"/>
      <c r="K198" s="49"/>
      <c r="L198" s="50"/>
      <c r="M198" s="50"/>
      <c r="N198" s="50"/>
      <c r="O198" s="50"/>
      <c r="P198" s="50"/>
      <c r="Q198" s="50"/>
      <c r="R198" s="50"/>
      <c r="S198" s="50"/>
      <c r="T198" s="26" t="str">
        <f t="shared" si="5"/>
        <v>pass</v>
      </c>
      <c r="U198" s="50"/>
      <c r="V198" s="51"/>
      <c r="W198" s="50"/>
      <c r="X198" s="50"/>
      <c r="Y198" s="50"/>
      <c r="Z198" s="50"/>
      <c r="AA198" s="50"/>
      <c r="AB198" s="50"/>
      <c r="AC198" s="50"/>
      <c r="AD198" s="50"/>
    </row>
    <row r="199" spans="2:30" hidden="1" outlineLevel="1" x14ac:dyDescent="0.25">
      <c r="B199" s="27">
        <v>186</v>
      </c>
      <c r="C199" s="48"/>
      <c r="D199" s="48"/>
      <c r="E199" s="48"/>
      <c r="F199" s="48"/>
      <c r="G199" s="48"/>
      <c r="H199" s="48"/>
      <c r="I199" s="48"/>
      <c r="J199" s="48"/>
      <c r="K199" s="49"/>
      <c r="L199" s="50"/>
      <c r="M199" s="50"/>
      <c r="N199" s="50"/>
      <c r="O199" s="50"/>
      <c r="P199" s="50"/>
      <c r="Q199" s="50"/>
      <c r="R199" s="50"/>
      <c r="S199" s="50"/>
      <c r="T199" s="26" t="str">
        <f t="shared" si="5"/>
        <v>pass</v>
      </c>
      <c r="U199" s="50"/>
      <c r="V199" s="51"/>
      <c r="W199" s="50"/>
      <c r="X199" s="50"/>
      <c r="Y199" s="50"/>
      <c r="Z199" s="50"/>
      <c r="AA199" s="50"/>
      <c r="AB199" s="50"/>
      <c r="AC199" s="50"/>
      <c r="AD199" s="50"/>
    </row>
    <row r="200" spans="2:30" hidden="1" outlineLevel="1" x14ac:dyDescent="0.25">
      <c r="B200" s="27">
        <v>187</v>
      </c>
      <c r="C200" s="48"/>
      <c r="D200" s="48"/>
      <c r="E200" s="48"/>
      <c r="F200" s="48"/>
      <c r="G200" s="48"/>
      <c r="H200" s="48"/>
      <c r="I200" s="48"/>
      <c r="J200" s="48"/>
      <c r="K200" s="49"/>
      <c r="L200" s="50"/>
      <c r="M200" s="50"/>
      <c r="N200" s="50"/>
      <c r="O200" s="50"/>
      <c r="P200" s="50"/>
      <c r="Q200" s="50"/>
      <c r="R200" s="50"/>
      <c r="S200" s="50"/>
      <c r="T200" s="26" t="str">
        <f t="shared" si="5"/>
        <v>pass</v>
      </c>
      <c r="U200" s="50"/>
      <c r="V200" s="51"/>
      <c r="W200" s="50"/>
      <c r="X200" s="50"/>
      <c r="Y200" s="50"/>
      <c r="Z200" s="50"/>
      <c r="AA200" s="50"/>
      <c r="AB200" s="50"/>
      <c r="AC200" s="50"/>
      <c r="AD200" s="50"/>
    </row>
    <row r="201" spans="2:30" hidden="1" outlineLevel="1" x14ac:dyDescent="0.25">
      <c r="B201" s="27">
        <v>188</v>
      </c>
      <c r="C201" s="48"/>
      <c r="D201" s="48"/>
      <c r="E201" s="48"/>
      <c r="F201" s="48"/>
      <c r="G201" s="48"/>
      <c r="H201" s="48"/>
      <c r="I201" s="48"/>
      <c r="J201" s="48"/>
      <c r="K201" s="49"/>
      <c r="L201" s="50"/>
      <c r="M201" s="50"/>
      <c r="N201" s="50"/>
      <c r="O201" s="50"/>
      <c r="P201" s="50"/>
      <c r="Q201" s="50"/>
      <c r="R201" s="50"/>
      <c r="S201" s="50"/>
      <c r="T201" s="26" t="str">
        <f t="shared" si="5"/>
        <v>pass</v>
      </c>
      <c r="U201" s="50"/>
      <c r="V201" s="51"/>
      <c r="W201" s="50"/>
      <c r="X201" s="50"/>
      <c r="Y201" s="50"/>
      <c r="Z201" s="50"/>
      <c r="AA201" s="50"/>
      <c r="AB201" s="50"/>
      <c r="AC201" s="50"/>
      <c r="AD201" s="50"/>
    </row>
    <row r="202" spans="2:30" hidden="1" outlineLevel="1" x14ac:dyDescent="0.25">
      <c r="B202" s="27">
        <v>189</v>
      </c>
      <c r="C202" s="48"/>
      <c r="D202" s="48"/>
      <c r="E202" s="48"/>
      <c r="F202" s="48"/>
      <c r="G202" s="48"/>
      <c r="H202" s="48"/>
      <c r="I202" s="48"/>
      <c r="J202" s="48"/>
      <c r="K202" s="49"/>
      <c r="L202" s="50"/>
      <c r="M202" s="50"/>
      <c r="N202" s="50"/>
      <c r="O202" s="50"/>
      <c r="P202" s="50"/>
      <c r="Q202" s="50"/>
      <c r="R202" s="50"/>
      <c r="S202" s="50"/>
      <c r="T202" s="26" t="str">
        <f t="shared" si="5"/>
        <v>pass</v>
      </c>
      <c r="U202" s="50"/>
      <c r="V202" s="51"/>
      <c r="W202" s="50"/>
      <c r="X202" s="50"/>
      <c r="Y202" s="50"/>
      <c r="Z202" s="50"/>
      <c r="AA202" s="50"/>
      <c r="AB202" s="50"/>
      <c r="AC202" s="50"/>
      <c r="AD202" s="50"/>
    </row>
    <row r="203" spans="2:30" hidden="1" outlineLevel="1" x14ac:dyDescent="0.25">
      <c r="B203" s="27">
        <v>190</v>
      </c>
      <c r="C203" s="48"/>
      <c r="D203" s="48"/>
      <c r="E203" s="48"/>
      <c r="F203" s="48"/>
      <c r="G203" s="48"/>
      <c r="H203" s="48"/>
      <c r="I203" s="48"/>
      <c r="J203" s="48"/>
      <c r="K203" s="49"/>
      <c r="L203" s="50"/>
      <c r="M203" s="50"/>
      <c r="N203" s="50"/>
      <c r="O203" s="50"/>
      <c r="P203" s="50"/>
      <c r="Q203" s="50"/>
      <c r="R203" s="50"/>
      <c r="S203" s="50"/>
      <c r="T203" s="26" t="str">
        <f t="shared" si="5"/>
        <v>pass</v>
      </c>
      <c r="U203" s="50"/>
      <c r="V203" s="51"/>
      <c r="W203" s="50"/>
      <c r="X203" s="50"/>
      <c r="Y203" s="50"/>
      <c r="Z203" s="50"/>
      <c r="AA203" s="50"/>
      <c r="AB203" s="50"/>
      <c r="AC203" s="50"/>
      <c r="AD203" s="50"/>
    </row>
    <row r="204" spans="2:30" hidden="1" outlineLevel="1" x14ac:dyDescent="0.25">
      <c r="B204" s="27">
        <v>191</v>
      </c>
      <c r="C204" s="48"/>
      <c r="D204" s="48"/>
      <c r="E204" s="48"/>
      <c r="F204" s="48"/>
      <c r="G204" s="48"/>
      <c r="H204" s="48"/>
      <c r="I204" s="48"/>
      <c r="J204" s="48"/>
      <c r="K204" s="49"/>
      <c r="L204" s="50"/>
      <c r="M204" s="50"/>
      <c r="N204" s="50"/>
      <c r="O204" s="50"/>
      <c r="P204" s="50"/>
      <c r="Q204" s="50"/>
      <c r="R204" s="50"/>
      <c r="S204" s="50"/>
      <c r="T204" s="26" t="str">
        <f t="shared" si="5"/>
        <v>pass</v>
      </c>
      <c r="U204" s="50"/>
      <c r="V204" s="51"/>
      <c r="W204" s="50"/>
      <c r="X204" s="50"/>
      <c r="Y204" s="50"/>
      <c r="Z204" s="50"/>
      <c r="AA204" s="50"/>
      <c r="AB204" s="50"/>
      <c r="AC204" s="50"/>
      <c r="AD204" s="50"/>
    </row>
    <row r="205" spans="2:30" hidden="1" outlineLevel="1" x14ac:dyDescent="0.25">
      <c r="B205" s="27">
        <v>192</v>
      </c>
      <c r="C205" s="48"/>
      <c r="D205" s="48"/>
      <c r="E205" s="48"/>
      <c r="F205" s="48"/>
      <c r="G205" s="48"/>
      <c r="H205" s="48"/>
      <c r="I205" s="48"/>
      <c r="J205" s="48"/>
      <c r="K205" s="49"/>
      <c r="L205" s="50"/>
      <c r="M205" s="50"/>
      <c r="N205" s="50"/>
      <c r="O205" s="50"/>
      <c r="P205" s="50"/>
      <c r="Q205" s="50"/>
      <c r="R205" s="50"/>
      <c r="S205" s="50"/>
      <c r="T205" s="26" t="str">
        <f t="shared" si="5"/>
        <v>pass</v>
      </c>
      <c r="U205" s="50"/>
      <c r="V205" s="51"/>
      <c r="W205" s="50"/>
      <c r="X205" s="50"/>
      <c r="Y205" s="50"/>
      <c r="Z205" s="50"/>
      <c r="AA205" s="50"/>
      <c r="AB205" s="50"/>
      <c r="AC205" s="50"/>
      <c r="AD205" s="50"/>
    </row>
    <row r="206" spans="2:30" hidden="1" outlineLevel="1" x14ac:dyDescent="0.25">
      <c r="B206" s="27">
        <v>193</v>
      </c>
      <c r="C206" s="48"/>
      <c r="D206" s="48"/>
      <c r="E206" s="48"/>
      <c r="F206" s="48"/>
      <c r="G206" s="48"/>
      <c r="H206" s="48"/>
      <c r="I206" s="48"/>
      <c r="J206" s="48"/>
      <c r="K206" s="49"/>
      <c r="L206" s="50"/>
      <c r="M206" s="50"/>
      <c r="N206" s="50"/>
      <c r="O206" s="50"/>
      <c r="P206" s="50"/>
      <c r="Q206" s="50"/>
      <c r="R206" s="50"/>
      <c r="S206" s="50"/>
      <c r="T206" s="26" t="str">
        <f t="shared" ref="T206:T213" si="6">IF(AND(C206&lt;&gt;"",SUM(K206,M206,O206,Q206,S206)=1),"pass",IF(AND(C206="",SUM(K206,M206,O206,Q206,S206)=0),"pass","fail"))</f>
        <v>pass</v>
      </c>
      <c r="U206" s="50"/>
      <c r="V206" s="51"/>
      <c r="W206" s="50"/>
      <c r="X206" s="50"/>
      <c r="Y206" s="50"/>
      <c r="Z206" s="50"/>
      <c r="AA206" s="50"/>
      <c r="AB206" s="50"/>
      <c r="AC206" s="50"/>
      <c r="AD206" s="50"/>
    </row>
    <row r="207" spans="2:30" hidden="1" outlineLevel="1" x14ac:dyDescent="0.25">
      <c r="B207" s="27">
        <v>194</v>
      </c>
      <c r="C207" s="48"/>
      <c r="D207" s="48"/>
      <c r="E207" s="48"/>
      <c r="F207" s="48"/>
      <c r="G207" s="48"/>
      <c r="H207" s="48"/>
      <c r="I207" s="48"/>
      <c r="J207" s="48"/>
      <c r="K207" s="49"/>
      <c r="L207" s="50"/>
      <c r="M207" s="50"/>
      <c r="N207" s="50"/>
      <c r="O207" s="50"/>
      <c r="P207" s="50"/>
      <c r="Q207" s="50"/>
      <c r="R207" s="50"/>
      <c r="S207" s="50"/>
      <c r="T207" s="26" t="str">
        <f t="shared" si="6"/>
        <v>pass</v>
      </c>
      <c r="U207" s="50"/>
      <c r="V207" s="51"/>
      <c r="W207" s="50"/>
      <c r="X207" s="50"/>
      <c r="Y207" s="50"/>
      <c r="Z207" s="50"/>
      <c r="AA207" s="50"/>
      <c r="AB207" s="50"/>
      <c r="AC207" s="50"/>
      <c r="AD207" s="50"/>
    </row>
    <row r="208" spans="2:30" hidden="1" outlineLevel="1" x14ac:dyDescent="0.25">
      <c r="B208" s="27">
        <v>195</v>
      </c>
      <c r="C208" s="48"/>
      <c r="D208" s="48"/>
      <c r="E208" s="48"/>
      <c r="F208" s="48"/>
      <c r="G208" s="48"/>
      <c r="H208" s="48"/>
      <c r="I208" s="48"/>
      <c r="J208" s="48"/>
      <c r="K208" s="49"/>
      <c r="L208" s="50"/>
      <c r="M208" s="50"/>
      <c r="N208" s="50"/>
      <c r="O208" s="50"/>
      <c r="P208" s="50"/>
      <c r="Q208" s="50"/>
      <c r="R208" s="50"/>
      <c r="S208" s="50"/>
      <c r="T208" s="26" t="str">
        <f t="shared" si="6"/>
        <v>pass</v>
      </c>
      <c r="U208" s="50"/>
      <c r="V208" s="51"/>
      <c r="W208" s="50"/>
      <c r="X208" s="50"/>
      <c r="Y208" s="50"/>
      <c r="Z208" s="50"/>
      <c r="AA208" s="50"/>
      <c r="AB208" s="50"/>
      <c r="AC208" s="50"/>
      <c r="AD208" s="50"/>
    </row>
    <row r="209" spans="2:30" hidden="1" outlineLevel="1" x14ac:dyDescent="0.25">
      <c r="B209" s="27">
        <v>196</v>
      </c>
      <c r="C209" s="48"/>
      <c r="D209" s="48"/>
      <c r="E209" s="48"/>
      <c r="F209" s="48"/>
      <c r="G209" s="48"/>
      <c r="H209" s="48"/>
      <c r="I209" s="48"/>
      <c r="J209" s="48"/>
      <c r="K209" s="49"/>
      <c r="L209" s="50"/>
      <c r="M209" s="50"/>
      <c r="N209" s="50"/>
      <c r="O209" s="50"/>
      <c r="P209" s="50"/>
      <c r="Q209" s="50"/>
      <c r="R209" s="50"/>
      <c r="S209" s="50"/>
      <c r="T209" s="26" t="str">
        <f t="shared" si="6"/>
        <v>pass</v>
      </c>
      <c r="U209" s="50"/>
      <c r="V209" s="51"/>
      <c r="W209" s="50"/>
      <c r="X209" s="50"/>
      <c r="Y209" s="50"/>
      <c r="Z209" s="50"/>
      <c r="AA209" s="50"/>
      <c r="AB209" s="50"/>
      <c r="AC209" s="50"/>
      <c r="AD209" s="50"/>
    </row>
    <row r="210" spans="2:30" hidden="1" outlineLevel="1" x14ac:dyDescent="0.25">
      <c r="B210" s="27">
        <v>197</v>
      </c>
      <c r="C210" s="48"/>
      <c r="D210" s="48"/>
      <c r="E210" s="48"/>
      <c r="F210" s="48"/>
      <c r="G210" s="48"/>
      <c r="H210" s="48"/>
      <c r="I210" s="48"/>
      <c r="J210" s="48"/>
      <c r="K210" s="49"/>
      <c r="L210" s="50"/>
      <c r="M210" s="50"/>
      <c r="N210" s="50"/>
      <c r="O210" s="50"/>
      <c r="P210" s="50"/>
      <c r="Q210" s="50"/>
      <c r="R210" s="50"/>
      <c r="S210" s="50"/>
      <c r="T210" s="26" t="str">
        <f t="shared" si="6"/>
        <v>pass</v>
      </c>
      <c r="U210" s="50"/>
      <c r="V210" s="51"/>
      <c r="W210" s="50"/>
      <c r="X210" s="50"/>
      <c r="Y210" s="50"/>
      <c r="Z210" s="50"/>
      <c r="AA210" s="50"/>
      <c r="AB210" s="50"/>
      <c r="AC210" s="50"/>
      <c r="AD210" s="50"/>
    </row>
    <row r="211" spans="2:30" hidden="1" outlineLevel="1" x14ac:dyDescent="0.25">
      <c r="B211" s="27">
        <v>198</v>
      </c>
      <c r="C211" s="48"/>
      <c r="D211" s="48"/>
      <c r="E211" s="48"/>
      <c r="F211" s="48"/>
      <c r="G211" s="48"/>
      <c r="H211" s="48"/>
      <c r="I211" s="48"/>
      <c r="J211" s="48"/>
      <c r="K211" s="49"/>
      <c r="L211" s="50"/>
      <c r="M211" s="50"/>
      <c r="N211" s="50"/>
      <c r="O211" s="50"/>
      <c r="P211" s="50"/>
      <c r="Q211" s="50"/>
      <c r="R211" s="50"/>
      <c r="S211" s="50"/>
      <c r="T211" s="26" t="str">
        <f t="shared" si="6"/>
        <v>pass</v>
      </c>
      <c r="U211" s="50"/>
      <c r="V211" s="51"/>
      <c r="W211" s="50"/>
      <c r="X211" s="50"/>
      <c r="Y211" s="50"/>
      <c r="Z211" s="50"/>
      <c r="AA211" s="50"/>
      <c r="AB211" s="50"/>
      <c r="AC211" s="50"/>
      <c r="AD211" s="50"/>
    </row>
    <row r="212" spans="2:30" hidden="1" outlineLevel="1" x14ac:dyDescent="0.25">
      <c r="B212" s="27">
        <v>199</v>
      </c>
      <c r="C212" s="48"/>
      <c r="D212" s="48"/>
      <c r="E212" s="48"/>
      <c r="F212" s="48"/>
      <c r="G212" s="48"/>
      <c r="H212" s="48"/>
      <c r="I212" s="48"/>
      <c r="J212" s="48"/>
      <c r="K212" s="49"/>
      <c r="L212" s="50"/>
      <c r="M212" s="50"/>
      <c r="N212" s="50"/>
      <c r="O212" s="50"/>
      <c r="P212" s="50"/>
      <c r="Q212" s="50"/>
      <c r="R212" s="50"/>
      <c r="S212" s="50"/>
      <c r="T212" s="26" t="str">
        <f t="shared" si="6"/>
        <v>pass</v>
      </c>
      <c r="U212" s="50"/>
      <c r="V212" s="51"/>
      <c r="W212" s="50"/>
      <c r="X212" s="50"/>
      <c r="Y212" s="50"/>
      <c r="Z212" s="50"/>
      <c r="AA212" s="50"/>
      <c r="AB212" s="50"/>
      <c r="AC212" s="50"/>
      <c r="AD212" s="50"/>
    </row>
    <row r="213" spans="2:30" hidden="1" outlineLevel="1" x14ac:dyDescent="0.25">
      <c r="B213" s="27">
        <v>200</v>
      </c>
      <c r="C213" s="48"/>
      <c r="D213" s="48"/>
      <c r="E213" s="48"/>
      <c r="F213" s="48"/>
      <c r="G213" s="48"/>
      <c r="H213" s="48"/>
      <c r="I213" s="48"/>
      <c r="J213" s="48"/>
      <c r="K213" s="49"/>
      <c r="L213" s="50"/>
      <c r="M213" s="50"/>
      <c r="N213" s="50"/>
      <c r="O213" s="50"/>
      <c r="P213" s="50"/>
      <c r="Q213" s="50"/>
      <c r="R213" s="50"/>
      <c r="S213" s="50"/>
      <c r="T213" s="26" t="str">
        <f t="shared" si="6"/>
        <v>pass</v>
      </c>
      <c r="U213" s="50"/>
      <c r="V213" s="51"/>
      <c r="W213" s="50"/>
      <c r="X213" s="50"/>
      <c r="Y213" s="50"/>
      <c r="Z213" s="50"/>
      <c r="AA213" s="50"/>
      <c r="AB213" s="50"/>
      <c r="AC213" s="50"/>
      <c r="AD213" s="50"/>
    </row>
    <row r="214" spans="2:30" collapsed="1" x14ac:dyDescent="0.25"/>
    <row r="216" spans="2:30" ht="15.75" customHeight="1" x14ac:dyDescent="0.25">
      <c r="B216" s="29" t="s">
        <v>65</v>
      </c>
    </row>
    <row r="217" spans="2:30" ht="15.75" customHeight="1" x14ac:dyDescent="0.25">
      <c r="S217" s="72" t="s">
        <v>18</v>
      </c>
      <c r="T217" s="73"/>
      <c r="U217" s="73"/>
      <c r="V217" s="73"/>
      <c r="W217" s="73"/>
    </row>
    <row r="218" spans="2:30" s="55" customFormat="1" ht="30" customHeight="1" x14ac:dyDescent="0.25">
      <c r="B218" s="52" t="s">
        <v>19</v>
      </c>
      <c r="C218" s="52" t="s">
        <v>66</v>
      </c>
      <c r="D218" s="52" t="s">
        <v>21</v>
      </c>
      <c r="E218" s="52" t="s">
        <v>67</v>
      </c>
      <c r="F218" s="52" t="s">
        <v>68</v>
      </c>
      <c r="G218" s="52" t="s">
        <v>24</v>
      </c>
      <c r="H218" s="52" t="s">
        <v>25</v>
      </c>
      <c r="I218" s="52" t="s">
        <v>26</v>
      </c>
      <c r="J218" s="52" t="s">
        <v>27</v>
      </c>
      <c r="K218" s="52" t="s">
        <v>28</v>
      </c>
      <c r="L218" s="52" t="s">
        <v>29</v>
      </c>
      <c r="M218" s="52" t="s">
        <v>30</v>
      </c>
      <c r="N218" s="52" t="s">
        <v>31</v>
      </c>
      <c r="O218" s="52" t="s">
        <v>32</v>
      </c>
      <c r="P218" s="52" t="s">
        <v>33</v>
      </c>
      <c r="Q218" s="52" t="s">
        <v>34</v>
      </c>
      <c r="R218" s="52" t="s">
        <v>35</v>
      </c>
      <c r="S218" s="52" t="s">
        <v>36</v>
      </c>
      <c r="T218" s="52" t="s">
        <v>37</v>
      </c>
      <c r="U218" s="52" t="s">
        <v>38</v>
      </c>
      <c r="V218" s="52" t="s">
        <v>39</v>
      </c>
      <c r="W218" s="53" t="s">
        <v>40</v>
      </c>
      <c r="X218" s="53" t="s">
        <v>41</v>
      </c>
      <c r="Y218" s="53" t="s">
        <v>42</v>
      </c>
      <c r="Z218" s="53" t="s">
        <v>43</v>
      </c>
      <c r="AA218" s="53" t="s">
        <v>44</v>
      </c>
    </row>
    <row r="219" spans="2:30" x14ac:dyDescent="0.25">
      <c r="B219" s="27">
        <v>1</v>
      </c>
      <c r="C219" s="48" t="s">
        <v>49</v>
      </c>
      <c r="D219" s="48" t="s">
        <v>50</v>
      </c>
      <c r="E219" s="48" t="s">
        <v>49</v>
      </c>
      <c r="F219" s="50"/>
      <c r="G219" s="48" t="s">
        <v>51</v>
      </c>
      <c r="H219" s="48"/>
      <c r="I219" s="48"/>
      <c r="J219" s="48" t="s">
        <v>52</v>
      </c>
      <c r="K219" s="49">
        <v>1</v>
      </c>
      <c r="L219" s="50"/>
      <c r="M219" s="50"/>
      <c r="N219" s="50"/>
      <c r="O219" s="50"/>
      <c r="P219" s="50"/>
      <c r="Q219" s="50"/>
      <c r="R219" s="50"/>
      <c r="S219" s="50"/>
      <c r="T219" s="26" t="str">
        <f t="shared" ref="T219:T250" si="7">IF(AND(C219&lt;&gt;"",SUM(K219,M219,O219,Q219,S219)=1),"pass",IF(AND(C219="",SUM(K219,M219,O219,Q219,S219)=0),"pass","fail"))</f>
        <v>pass</v>
      </c>
      <c r="U219" s="50"/>
      <c r="V219" s="50"/>
      <c r="W219" s="50"/>
      <c r="X219" s="50"/>
      <c r="Y219" s="50"/>
      <c r="Z219" s="50"/>
      <c r="AA219" s="50"/>
    </row>
    <row r="220" spans="2:30" x14ac:dyDescent="0.25">
      <c r="B220" s="27">
        <v>2</v>
      </c>
      <c r="C220" s="48" t="s">
        <v>54</v>
      </c>
      <c r="D220" s="48" t="s">
        <v>50</v>
      </c>
      <c r="E220" s="48" t="s">
        <v>54</v>
      </c>
      <c r="F220" s="50"/>
      <c r="G220" s="48" t="s">
        <v>51</v>
      </c>
      <c r="H220" s="48"/>
      <c r="I220" s="48"/>
      <c r="J220" s="48" t="s">
        <v>52</v>
      </c>
      <c r="K220" s="49">
        <v>1</v>
      </c>
      <c r="L220" s="50"/>
      <c r="M220" s="50"/>
      <c r="N220" s="50"/>
      <c r="O220" s="50"/>
      <c r="P220" s="50"/>
      <c r="Q220" s="50"/>
      <c r="R220" s="50"/>
      <c r="S220" s="50"/>
      <c r="T220" s="26" t="str">
        <f t="shared" si="7"/>
        <v>pass</v>
      </c>
      <c r="U220" s="50"/>
      <c r="V220" s="50"/>
      <c r="W220" s="50"/>
      <c r="X220" s="50"/>
      <c r="Y220" s="50"/>
      <c r="Z220" s="50"/>
      <c r="AA220" s="50"/>
    </row>
    <row r="221" spans="2:30" x14ac:dyDescent="0.25">
      <c r="B221" s="27">
        <v>3</v>
      </c>
      <c r="C221" s="48" t="s">
        <v>55</v>
      </c>
      <c r="D221" s="48" t="s">
        <v>50</v>
      </c>
      <c r="E221" s="48" t="s">
        <v>55</v>
      </c>
      <c r="F221" s="50"/>
      <c r="G221" s="48" t="s">
        <v>51</v>
      </c>
      <c r="H221" s="48"/>
      <c r="I221" s="48"/>
      <c r="J221" s="48" t="s">
        <v>52</v>
      </c>
      <c r="K221" s="49">
        <v>1</v>
      </c>
      <c r="L221" s="50"/>
      <c r="M221" s="50"/>
      <c r="N221" s="50"/>
      <c r="O221" s="50"/>
      <c r="P221" s="50"/>
      <c r="Q221" s="50"/>
      <c r="R221" s="50"/>
      <c r="S221" s="50"/>
      <c r="T221" s="26" t="str">
        <f t="shared" si="7"/>
        <v>pass</v>
      </c>
      <c r="U221" s="50"/>
      <c r="V221" s="50"/>
      <c r="W221" s="50"/>
      <c r="X221" s="50"/>
      <c r="Y221" s="50"/>
      <c r="Z221" s="50"/>
      <c r="AA221" s="50"/>
    </row>
    <row r="222" spans="2:30" x14ac:dyDescent="0.25">
      <c r="B222" s="27">
        <v>4</v>
      </c>
      <c r="C222" s="48" t="s">
        <v>56</v>
      </c>
      <c r="D222" s="48" t="s">
        <v>50</v>
      </c>
      <c r="E222" s="48" t="s">
        <v>56</v>
      </c>
      <c r="F222" s="50"/>
      <c r="G222" s="48" t="s">
        <v>51</v>
      </c>
      <c r="H222" s="48"/>
      <c r="I222" s="48"/>
      <c r="J222" s="48" t="s">
        <v>52</v>
      </c>
      <c r="K222" s="49">
        <v>1</v>
      </c>
      <c r="L222" s="50"/>
      <c r="M222" s="50"/>
      <c r="N222" s="50"/>
      <c r="O222" s="50"/>
      <c r="P222" s="50"/>
      <c r="Q222" s="50"/>
      <c r="R222" s="50"/>
      <c r="S222" s="50"/>
      <c r="T222" s="26" t="str">
        <f t="shared" si="7"/>
        <v>pass</v>
      </c>
      <c r="U222" s="50"/>
      <c r="V222" s="50"/>
      <c r="W222" s="50"/>
      <c r="X222" s="50"/>
      <c r="Y222" s="50"/>
      <c r="Z222" s="50"/>
      <c r="AA222" s="50"/>
    </row>
    <row r="223" spans="2:30" x14ac:dyDescent="0.25">
      <c r="B223" s="27">
        <v>5</v>
      </c>
      <c r="C223" s="48" t="s">
        <v>57</v>
      </c>
      <c r="D223" s="48" t="s">
        <v>50</v>
      </c>
      <c r="E223" s="48" t="s">
        <v>57</v>
      </c>
      <c r="F223" s="50"/>
      <c r="G223" s="48" t="s">
        <v>51</v>
      </c>
      <c r="H223" s="48"/>
      <c r="I223" s="48"/>
      <c r="J223" s="48" t="s">
        <v>52</v>
      </c>
      <c r="K223" s="49">
        <v>1</v>
      </c>
      <c r="L223" s="50"/>
      <c r="M223" s="50"/>
      <c r="N223" s="50"/>
      <c r="O223" s="50"/>
      <c r="P223" s="50"/>
      <c r="Q223" s="50"/>
      <c r="R223" s="50"/>
      <c r="S223" s="50"/>
      <c r="T223" s="26" t="str">
        <f t="shared" si="7"/>
        <v>pass</v>
      </c>
      <c r="U223" s="50"/>
      <c r="V223" s="50"/>
      <c r="W223" s="50"/>
      <c r="X223" s="50"/>
      <c r="Y223" s="50"/>
      <c r="Z223" s="50"/>
      <c r="AA223" s="50"/>
    </row>
    <row r="224" spans="2:30" x14ac:dyDescent="0.25">
      <c r="B224" s="27">
        <v>6</v>
      </c>
      <c r="C224" s="48" t="s">
        <v>58</v>
      </c>
      <c r="D224" s="48" t="s">
        <v>50</v>
      </c>
      <c r="E224" s="48" t="s">
        <v>58</v>
      </c>
      <c r="F224" s="50"/>
      <c r="G224" s="48" t="s">
        <v>51</v>
      </c>
      <c r="H224" s="48"/>
      <c r="I224" s="48"/>
      <c r="J224" s="48" t="s">
        <v>52</v>
      </c>
      <c r="K224" s="49">
        <v>1</v>
      </c>
      <c r="L224" s="50"/>
      <c r="M224" s="50"/>
      <c r="N224" s="50"/>
      <c r="O224" s="50"/>
      <c r="P224" s="50"/>
      <c r="Q224" s="50"/>
      <c r="R224" s="50"/>
      <c r="S224" s="50"/>
      <c r="T224" s="26" t="str">
        <f t="shared" si="7"/>
        <v>pass</v>
      </c>
      <c r="U224" s="50"/>
      <c r="V224" s="50"/>
      <c r="W224" s="50"/>
      <c r="X224" s="50"/>
      <c r="Y224" s="50"/>
      <c r="Z224" s="50"/>
      <c r="AA224" s="50"/>
    </row>
    <row r="225" spans="2:27" x14ac:dyDescent="0.25">
      <c r="B225" s="27">
        <v>7</v>
      </c>
      <c r="C225" s="48" t="s">
        <v>59</v>
      </c>
      <c r="D225" s="48" t="s">
        <v>60</v>
      </c>
      <c r="E225" s="48" t="s">
        <v>59</v>
      </c>
      <c r="F225" s="50"/>
      <c r="G225" s="48" t="s">
        <v>51</v>
      </c>
      <c r="H225" s="48"/>
      <c r="I225" s="48"/>
      <c r="J225" s="48" t="s">
        <v>52</v>
      </c>
      <c r="K225" s="49">
        <v>1</v>
      </c>
      <c r="L225" s="50"/>
      <c r="M225" s="50"/>
      <c r="N225" s="50"/>
      <c r="O225" s="50"/>
      <c r="P225" s="50"/>
      <c r="Q225" s="50"/>
      <c r="R225" s="50"/>
      <c r="S225" s="50"/>
      <c r="T225" s="26" t="str">
        <f t="shared" si="7"/>
        <v>pass</v>
      </c>
      <c r="U225" s="50"/>
      <c r="V225" s="50"/>
      <c r="W225" s="50"/>
      <c r="X225" s="50"/>
      <c r="Y225" s="50"/>
      <c r="Z225" s="50"/>
      <c r="AA225" s="50"/>
    </row>
    <row r="226" spans="2:27" x14ac:dyDescent="0.25">
      <c r="B226" s="27">
        <v>8</v>
      </c>
      <c r="C226" s="48" t="s">
        <v>61</v>
      </c>
      <c r="D226" s="48" t="s">
        <v>50</v>
      </c>
      <c r="E226" s="48" t="s">
        <v>61</v>
      </c>
      <c r="F226" s="50"/>
      <c r="G226" s="48" t="s">
        <v>51</v>
      </c>
      <c r="H226" s="48"/>
      <c r="I226" s="48"/>
      <c r="J226" s="48" t="s">
        <v>52</v>
      </c>
      <c r="K226" s="49">
        <v>1</v>
      </c>
      <c r="L226" s="50"/>
      <c r="M226" s="50"/>
      <c r="N226" s="50"/>
      <c r="O226" s="50"/>
      <c r="P226" s="50"/>
      <c r="Q226" s="50"/>
      <c r="R226" s="50"/>
      <c r="S226" s="50"/>
      <c r="T226" s="26" t="str">
        <f t="shared" si="7"/>
        <v>pass</v>
      </c>
      <c r="U226" s="50"/>
      <c r="V226" s="50"/>
      <c r="W226" s="50"/>
      <c r="X226" s="50"/>
      <c r="Y226" s="50"/>
      <c r="Z226" s="50"/>
      <c r="AA226" s="50"/>
    </row>
    <row r="227" spans="2:27" x14ac:dyDescent="0.25">
      <c r="B227" s="27">
        <v>9</v>
      </c>
      <c r="C227" s="48" t="s">
        <v>62</v>
      </c>
      <c r="D227" s="48" t="s">
        <v>50</v>
      </c>
      <c r="E227" s="48" t="s">
        <v>62</v>
      </c>
      <c r="F227" s="50"/>
      <c r="G227" s="48" t="s">
        <v>51</v>
      </c>
      <c r="H227" s="48"/>
      <c r="I227" s="48"/>
      <c r="J227" s="48" t="s">
        <v>52</v>
      </c>
      <c r="K227" s="49">
        <v>1</v>
      </c>
      <c r="L227" s="50"/>
      <c r="M227" s="50"/>
      <c r="N227" s="50"/>
      <c r="O227" s="50"/>
      <c r="P227" s="50"/>
      <c r="Q227" s="50"/>
      <c r="R227" s="50"/>
      <c r="S227" s="50"/>
      <c r="T227" s="26" t="str">
        <f t="shared" si="7"/>
        <v>pass</v>
      </c>
      <c r="U227" s="50"/>
      <c r="V227" s="50"/>
      <c r="W227" s="50"/>
      <c r="X227" s="50"/>
      <c r="Y227" s="50"/>
      <c r="Z227" s="50"/>
      <c r="AA227" s="50"/>
    </row>
    <row r="228" spans="2:27" x14ac:dyDescent="0.25">
      <c r="B228" s="27">
        <v>10</v>
      </c>
      <c r="C228" s="48" t="s">
        <v>63</v>
      </c>
      <c r="D228" s="48" t="s">
        <v>50</v>
      </c>
      <c r="E228" s="48" t="s">
        <v>63</v>
      </c>
      <c r="F228" s="50"/>
      <c r="G228" s="48" t="s">
        <v>51</v>
      </c>
      <c r="H228" s="48"/>
      <c r="I228" s="48"/>
      <c r="J228" s="48" t="s">
        <v>52</v>
      </c>
      <c r="K228" s="49">
        <v>1</v>
      </c>
      <c r="L228" s="50"/>
      <c r="M228" s="50"/>
      <c r="N228" s="50"/>
      <c r="O228" s="50"/>
      <c r="P228" s="50"/>
      <c r="Q228" s="50"/>
      <c r="R228" s="50"/>
      <c r="S228" s="50"/>
      <c r="T228" s="26" t="str">
        <f t="shared" si="7"/>
        <v>pass</v>
      </c>
      <c r="U228" s="50"/>
      <c r="V228" s="50"/>
      <c r="W228" s="50"/>
      <c r="X228" s="50"/>
      <c r="Y228" s="50"/>
      <c r="Z228" s="50"/>
      <c r="AA228" s="50"/>
    </row>
    <row r="229" spans="2:27" x14ac:dyDescent="0.25">
      <c r="B229" s="27">
        <v>11</v>
      </c>
      <c r="C229" s="48" t="s">
        <v>64</v>
      </c>
      <c r="D229" s="48" t="s">
        <v>50</v>
      </c>
      <c r="E229" s="48" t="s">
        <v>64</v>
      </c>
      <c r="F229" s="50"/>
      <c r="G229" s="48" t="s">
        <v>51</v>
      </c>
      <c r="H229" s="48"/>
      <c r="I229" s="48"/>
      <c r="J229" s="48" t="s">
        <v>52</v>
      </c>
      <c r="K229" s="49">
        <v>1</v>
      </c>
      <c r="L229" s="50"/>
      <c r="M229" s="50"/>
      <c r="N229" s="50"/>
      <c r="O229" s="50"/>
      <c r="P229" s="50"/>
      <c r="Q229" s="50"/>
      <c r="R229" s="50"/>
      <c r="S229" s="50"/>
      <c r="T229" s="26" t="str">
        <f t="shared" si="7"/>
        <v>pass</v>
      </c>
      <c r="U229" s="50"/>
      <c r="V229" s="50"/>
      <c r="W229" s="50"/>
      <c r="X229" s="50"/>
      <c r="Y229" s="50"/>
      <c r="Z229" s="50"/>
      <c r="AA229" s="50"/>
    </row>
    <row r="230" spans="2:27" x14ac:dyDescent="0.25">
      <c r="B230" s="27">
        <v>12</v>
      </c>
      <c r="C230" s="48"/>
      <c r="D230" s="48"/>
      <c r="E230" s="48"/>
      <c r="F230" s="50"/>
      <c r="G230" s="48"/>
      <c r="H230" s="48"/>
      <c r="I230" s="48"/>
      <c r="J230" s="48"/>
      <c r="K230" s="49"/>
      <c r="L230" s="50"/>
      <c r="M230" s="50"/>
      <c r="N230" s="50"/>
      <c r="O230" s="50"/>
      <c r="P230" s="50"/>
      <c r="Q230" s="50"/>
      <c r="R230" s="50"/>
      <c r="S230" s="50"/>
      <c r="T230" s="26" t="str">
        <f t="shared" si="7"/>
        <v>pass</v>
      </c>
      <c r="U230" s="50"/>
      <c r="V230" s="50"/>
      <c r="W230" s="50"/>
      <c r="X230" s="50"/>
      <c r="Y230" s="50"/>
      <c r="Z230" s="50"/>
      <c r="AA230" s="50"/>
    </row>
    <row r="231" spans="2:27" x14ac:dyDescent="0.25">
      <c r="B231" s="27">
        <v>13</v>
      </c>
      <c r="C231" s="48"/>
      <c r="D231" s="48"/>
      <c r="E231" s="48"/>
      <c r="F231" s="50"/>
      <c r="G231" s="48"/>
      <c r="H231" s="48"/>
      <c r="I231" s="48"/>
      <c r="J231" s="48"/>
      <c r="K231" s="49"/>
      <c r="L231" s="50"/>
      <c r="M231" s="50"/>
      <c r="N231" s="50"/>
      <c r="O231" s="50"/>
      <c r="P231" s="50"/>
      <c r="Q231" s="50"/>
      <c r="R231" s="50"/>
      <c r="S231" s="50"/>
      <c r="T231" s="26" t="str">
        <f t="shared" si="7"/>
        <v>pass</v>
      </c>
      <c r="U231" s="50"/>
      <c r="V231" s="50"/>
      <c r="W231" s="50"/>
      <c r="X231" s="50"/>
      <c r="Y231" s="50"/>
      <c r="Z231" s="50"/>
      <c r="AA231" s="50"/>
    </row>
    <row r="232" spans="2:27" x14ac:dyDescent="0.25">
      <c r="B232" s="27">
        <v>14</v>
      </c>
      <c r="C232" s="48"/>
      <c r="D232" s="48"/>
      <c r="E232" s="48"/>
      <c r="F232" s="50"/>
      <c r="G232" s="48"/>
      <c r="H232" s="48"/>
      <c r="I232" s="48"/>
      <c r="J232" s="48"/>
      <c r="K232" s="49"/>
      <c r="L232" s="50"/>
      <c r="M232" s="50"/>
      <c r="N232" s="50"/>
      <c r="O232" s="50"/>
      <c r="P232" s="50"/>
      <c r="Q232" s="50"/>
      <c r="R232" s="50"/>
      <c r="S232" s="50"/>
      <c r="T232" s="26" t="str">
        <f t="shared" si="7"/>
        <v>pass</v>
      </c>
      <c r="U232" s="50"/>
      <c r="V232" s="50"/>
      <c r="W232" s="50"/>
      <c r="X232" s="50"/>
      <c r="Y232" s="50"/>
      <c r="Z232" s="50"/>
      <c r="AA232" s="50"/>
    </row>
    <row r="233" spans="2:27" x14ac:dyDescent="0.25">
      <c r="B233" s="27">
        <v>15</v>
      </c>
      <c r="C233" s="48"/>
      <c r="D233" s="48"/>
      <c r="E233" s="48"/>
      <c r="F233" s="50"/>
      <c r="G233" s="48"/>
      <c r="H233" s="48"/>
      <c r="I233" s="48"/>
      <c r="J233" s="48"/>
      <c r="K233" s="49"/>
      <c r="L233" s="50"/>
      <c r="M233" s="50"/>
      <c r="N233" s="50"/>
      <c r="O233" s="50"/>
      <c r="P233" s="50"/>
      <c r="Q233" s="50"/>
      <c r="R233" s="50"/>
      <c r="S233" s="50"/>
      <c r="T233" s="26" t="str">
        <f t="shared" si="7"/>
        <v>pass</v>
      </c>
      <c r="U233" s="50"/>
      <c r="V233" s="50"/>
      <c r="W233" s="50"/>
      <c r="X233" s="50"/>
      <c r="Y233" s="50"/>
      <c r="Z233" s="50"/>
      <c r="AA233" s="50"/>
    </row>
    <row r="234" spans="2:27" x14ac:dyDescent="0.25">
      <c r="B234" s="27">
        <v>16</v>
      </c>
      <c r="C234" s="48"/>
      <c r="D234" s="48"/>
      <c r="E234" s="48"/>
      <c r="F234" s="50"/>
      <c r="G234" s="48"/>
      <c r="H234" s="48"/>
      <c r="I234" s="48"/>
      <c r="J234" s="48"/>
      <c r="K234" s="49"/>
      <c r="L234" s="50"/>
      <c r="M234" s="50"/>
      <c r="N234" s="50"/>
      <c r="O234" s="50"/>
      <c r="P234" s="50"/>
      <c r="Q234" s="50"/>
      <c r="R234" s="50"/>
      <c r="S234" s="50"/>
      <c r="T234" s="26" t="str">
        <f t="shared" si="7"/>
        <v>pass</v>
      </c>
      <c r="U234" s="50"/>
      <c r="V234" s="50"/>
      <c r="W234" s="50"/>
      <c r="X234" s="50"/>
      <c r="Y234" s="50"/>
      <c r="Z234" s="50"/>
      <c r="AA234" s="50"/>
    </row>
    <row r="235" spans="2:27" x14ac:dyDescent="0.25">
      <c r="B235" s="27">
        <v>17</v>
      </c>
      <c r="C235" s="48"/>
      <c r="D235" s="48"/>
      <c r="E235" s="48"/>
      <c r="F235" s="50"/>
      <c r="G235" s="48"/>
      <c r="H235" s="48"/>
      <c r="I235" s="48"/>
      <c r="J235" s="48"/>
      <c r="K235" s="49"/>
      <c r="L235" s="50"/>
      <c r="M235" s="50"/>
      <c r="N235" s="50"/>
      <c r="O235" s="50"/>
      <c r="P235" s="50"/>
      <c r="Q235" s="50"/>
      <c r="R235" s="50"/>
      <c r="S235" s="50"/>
      <c r="T235" s="26" t="str">
        <f t="shared" si="7"/>
        <v>pass</v>
      </c>
      <c r="U235" s="50"/>
      <c r="V235" s="50"/>
      <c r="W235" s="50"/>
      <c r="X235" s="50"/>
      <c r="Y235" s="50"/>
      <c r="Z235" s="50"/>
      <c r="AA235" s="50"/>
    </row>
    <row r="236" spans="2:27" x14ac:dyDescent="0.25">
      <c r="B236" s="27">
        <v>18</v>
      </c>
      <c r="C236" s="48"/>
      <c r="D236" s="48"/>
      <c r="E236" s="48"/>
      <c r="F236" s="50"/>
      <c r="G236" s="48"/>
      <c r="H236" s="48"/>
      <c r="I236" s="48"/>
      <c r="J236" s="48"/>
      <c r="K236" s="49"/>
      <c r="L236" s="50"/>
      <c r="M236" s="50"/>
      <c r="N236" s="50"/>
      <c r="O236" s="50"/>
      <c r="P236" s="50"/>
      <c r="Q236" s="50"/>
      <c r="R236" s="50"/>
      <c r="S236" s="50"/>
      <c r="T236" s="26" t="str">
        <f t="shared" si="7"/>
        <v>pass</v>
      </c>
      <c r="U236" s="50"/>
      <c r="V236" s="50"/>
      <c r="W236" s="50"/>
      <c r="X236" s="50"/>
      <c r="Y236" s="50"/>
      <c r="Z236" s="50"/>
      <c r="AA236" s="50"/>
    </row>
    <row r="237" spans="2:27" x14ac:dyDescent="0.25">
      <c r="B237" s="27">
        <v>19</v>
      </c>
      <c r="C237" s="48"/>
      <c r="D237" s="48"/>
      <c r="E237" s="48"/>
      <c r="F237" s="50"/>
      <c r="G237" s="48"/>
      <c r="H237" s="48"/>
      <c r="I237" s="48"/>
      <c r="J237" s="48"/>
      <c r="K237" s="49"/>
      <c r="L237" s="50"/>
      <c r="M237" s="50"/>
      <c r="N237" s="50"/>
      <c r="O237" s="50"/>
      <c r="P237" s="50"/>
      <c r="Q237" s="50"/>
      <c r="R237" s="50"/>
      <c r="S237" s="50"/>
      <c r="T237" s="26" t="str">
        <f t="shared" si="7"/>
        <v>pass</v>
      </c>
      <c r="U237" s="50"/>
      <c r="V237" s="50"/>
      <c r="W237" s="50"/>
      <c r="X237" s="50"/>
      <c r="Y237" s="50"/>
      <c r="Z237" s="50"/>
      <c r="AA237" s="50"/>
    </row>
    <row r="238" spans="2:27" x14ac:dyDescent="0.25">
      <c r="B238" s="27">
        <v>20</v>
      </c>
      <c r="C238" s="48"/>
      <c r="D238" s="48"/>
      <c r="E238" s="48"/>
      <c r="F238" s="50"/>
      <c r="G238" s="48"/>
      <c r="H238" s="48"/>
      <c r="I238" s="48"/>
      <c r="J238" s="48"/>
      <c r="K238" s="49"/>
      <c r="L238" s="50"/>
      <c r="M238" s="50"/>
      <c r="N238" s="50"/>
      <c r="O238" s="50"/>
      <c r="P238" s="50"/>
      <c r="Q238" s="50"/>
      <c r="R238" s="50"/>
      <c r="S238" s="50"/>
      <c r="T238" s="26" t="str">
        <f t="shared" si="7"/>
        <v>pass</v>
      </c>
      <c r="U238" s="50"/>
      <c r="V238" s="50"/>
      <c r="W238" s="50"/>
      <c r="X238" s="50"/>
      <c r="Y238" s="50"/>
      <c r="Z238" s="50"/>
      <c r="AA238" s="50"/>
    </row>
    <row r="239" spans="2:27" x14ac:dyDescent="0.25">
      <c r="B239" s="27">
        <v>21</v>
      </c>
      <c r="C239" s="48"/>
      <c r="D239" s="48"/>
      <c r="E239" s="48"/>
      <c r="F239" s="50"/>
      <c r="G239" s="48"/>
      <c r="H239" s="48"/>
      <c r="I239" s="48"/>
      <c r="J239" s="48"/>
      <c r="K239" s="49"/>
      <c r="L239" s="50"/>
      <c r="M239" s="50"/>
      <c r="N239" s="50"/>
      <c r="O239" s="50"/>
      <c r="P239" s="50"/>
      <c r="Q239" s="50"/>
      <c r="R239" s="50"/>
      <c r="S239" s="50"/>
      <c r="T239" s="26" t="str">
        <f t="shared" si="7"/>
        <v>pass</v>
      </c>
      <c r="U239" s="50"/>
      <c r="V239" s="50"/>
      <c r="W239" s="50"/>
      <c r="X239" s="50"/>
      <c r="Y239" s="50"/>
      <c r="Z239" s="50"/>
      <c r="AA239" s="50"/>
    </row>
    <row r="240" spans="2:27" x14ac:dyDescent="0.25">
      <c r="B240" s="27">
        <v>22</v>
      </c>
      <c r="C240" s="48"/>
      <c r="D240" s="48"/>
      <c r="E240" s="48"/>
      <c r="F240" s="50"/>
      <c r="G240" s="48"/>
      <c r="H240" s="48"/>
      <c r="I240" s="48"/>
      <c r="J240" s="48"/>
      <c r="K240" s="49"/>
      <c r="L240" s="50"/>
      <c r="M240" s="50"/>
      <c r="N240" s="50"/>
      <c r="O240" s="50"/>
      <c r="P240" s="50"/>
      <c r="Q240" s="50"/>
      <c r="R240" s="50"/>
      <c r="S240" s="50"/>
      <c r="T240" s="26" t="str">
        <f t="shared" si="7"/>
        <v>pass</v>
      </c>
      <c r="U240" s="50"/>
      <c r="V240" s="50"/>
      <c r="W240" s="50"/>
      <c r="X240" s="50"/>
      <c r="Y240" s="50"/>
      <c r="Z240" s="50"/>
      <c r="AA240" s="50"/>
    </row>
    <row r="241" spans="2:27" x14ac:dyDescent="0.25">
      <c r="B241" s="27">
        <v>23</v>
      </c>
      <c r="C241" s="48"/>
      <c r="D241" s="48"/>
      <c r="E241" s="48"/>
      <c r="F241" s="50"/>
      <c r="G241" s="48"/>
      <c r="H241" s="48"/>
      <c r="I241" s="48"/>
      <c r="J241" s="48"/>
      <c r="K241" s="49"/>
      <c r="L241" s="50"/>
      <c r="M241" s="50"/>
      <c r="N241" s="50"/>
      <c r="O241" s="50"/>
      <c r="P241" s="50"/>
      <c r="Q241" s="50"/>
      <c r="R241" s="50"/>
      <c r="S241" s="50"/>
      <c r="T241" s="26" t="str">
        <f t="shared" si="7"/>
        <v>pass</v>
      </c>
      <c r="U241" s="50"/>
      <c r="V241" s="50"/>
      <c r="W241" s="50"/>
      <c r="X241" s="50"/>
      <c r="Y241" s="50"/>
      <c r="Z241" s="50"/>
      <c r="AA241" s="50"/>
    </row>
    <row r="242" spans="2:27" x14ac:dyDescent="0.25">
      <c r="B242" s="27">
        <v>24</v>
      </c>
      <c r="C242" s="48"/>
      <c r="D242" s="48"/>
      <c r="E242" s="48"/>
      <c r="F242" s="50"/>
      <c r="G242" s="48"/>
      <c r="H242" s="48"/>
      <c r="I242" s="48"/>
      <c r="J242" s="48"/>
      <c r="K242" s="49"/>
      <c r="L242" s="50"/>
      <c r="M242" s="50"/>
      <c r="N242" s="50"/>
      <c r="O242" s="50"/>
      <c r="P242" s="50"/>
      <c r="Q242" s="50"/>
      <c r="R242" s="50"/>
      <c r="S242" s="50"/>
      <c r="T242" s="26" t="str">
        <f t="shared" si="7"/>
        <v>pass</v>
      </c>
      <c r="U242" s="50"/>
      <c r="V242" s="50"/>
      <c r="W242" s="50"/>
      <c r="X242" s="50"/>
      <c r="Y242" s="50"/>
      <c r="Z242" s="50"/>
      <c r="AA242" s="50"/>
    </row>
    <row r="243" spans="2:27" x14ac:dyDescent="0.25">
      <c r="B243" s="27">
        <v>25</v>
      </c>
      <c r="C243" s="48"/>
      <c r="D243" s="48"/>
      <c r="E243" s="48"/>
      <c r="F243" s="50"/>
      <c r="G243" s="48"/>
      <c r="H243" s="48"/>
      <c r="I243" s="48"/>
      <c r="J243" s="48"/>
      <c r="K243" s="49"/>
      <c r="L243" s="50"/>
      <c r="M243" s="50"/>
      <c r="N243" s="50"/>
      <c r="O243" s="50"/>
      <c r="P243" s="50"/>
      <c r="Q243" s="50"/>
      <c r="R243" s="50"/>
      <c r="S243" s="50"/>
      <c r="T243" s="26" t="str">
        <f t="shared" si="7"/>
        <v>pass</v>
      </c>
      <c r="U243" s="50"/>
      <c r="V243" s="50"/>
      <c r="W243" s="50"/>
      <c r="X243" s="50"/>
      <c r="Y243" s="50"/>
      <c r="Z243" s="50"/>
      <c r="AA243" s="50"/>
    </row>
    <row r="244" spans="2:27" outlineLevel="2" x14ac:dyDescent="0.25">
      <c r="B244" s="27">
        <v>26</v>
      </c>
      <c r="C244" s="48"/>
      <c r="D244" s="48"/>
      <c r="E244" s="48"/>
      <c r="F244" s="50"/>
      <c r="G244" s="48"/>
      <c r="H244" s="48"/>
      <c r="I244" s="48"/>
      <c r="J244" s="48"/>
      <c r="K244" s="49"/>
      <c r="L244" s="50"/>
      <c r="M244" s="50"/>
      <c r="N244" s="50"/>
      <c r="O244" s="50"/>
      <c r="P244" s="50"/>
      <c r="Q244" s="50"/>
      <c r="R244" s="50"/>
      <c r="S244" s="50"/>
      <c r="T244" s="26" t="str">
        <f t="shared" si="7"/>
        <v>pass</v>
      </c>
      <c r="U244" s="50"/>
      <c r="V244" s="50"/>
      <c r="W244" s="50"/>
      <c r="X244" s="50"/>
      <c r="Y244" s="50"/>
      <c r="Z244" s="50"/>
      <c r="AA244" s="50"/>
    </row>
    <row r="245" spans="2:27" outlineLevel="2" x14ac:dyDescent="0.25">
      <c r="B245" s="27">
        <v>27</v>
      </c>
      <c r="C245" s="48"/>
      <c r="D245" s="48"/>
      <c r="E245" s="48"/>
      <c r="F245" s="50"/>
      <c r="G245" s="48"/>
      <c r="H245" s="48"/>
      <c r="I245" s="48"/>
      <c r="J245" s="48"/>
      <c r="K245" s="49"/>
      <c r="L245" s="50"/>
      <c r="M245" s="50"/>
      <c r="N245" s="50"/>
      <c r="O245" s="50"/>
      <c r="P245" s="50"/>
      <c r="Q245" s="50"/>
      <c r="R245" s="50"/>
      <c r="S245" s="50"/>
      <c r="T245" s="26" t="str">
        <f t="shared" si="7"/>
        <v>pass</v>
      </c>
      <c r="U245" s="50"/>
      <c r="V245" s="50"/>
      <c r="W245" s="50"/>
      <c r="X245" s="50"/>
      <c r="Y245" s="50"/>
      <c r="Z245" s="50"/>
      <c r="AA245" s="50"/>
    </row>
    <row r="246" spans="2:27" outlineLevel="2" x14ac:dyDescent="0.25">
      <c r="B246" s="27">
        <v>28</v>
      </c>
      <c r="C246" s="48"/>
      <c r="D246" s="48"/>
      <c r="E246" s="48"/>
      <c r="F246" s="50"/>
      <c r="G246" s="48"/>
      <c r="H246" s="48"/>
      <c r="I246" s="48"/>
      <c r="J246" s="48"/>
      <c r="K246" s="49"/>
      <c r="L246" s="50"/>
      <c r="M246" s="50"/>
      <c r="N246" s="50"/>
      <c r="O246" s="50"/>
      <c r="P246" s="50"/>
      <c r="Q246" s="50"/>
      <c r="R246" s="50"/>
      <c r="S246" s="50"/>
      <c r="T246" s="26" t="str">
        <f t="shared" si="7"/>
        <v>pass</v>
      </c>
      <c r="U246" s="50"/>
      <c r="V246" s="50"/>
      <c r="W246" s="50"/>
      <c r="X246" s="50"/>
      <c r="Y246" s="50"/>
      <c r="Z246" s="50"/>
      <c r="AA246" s="50"/>
    </row>
    <row r="247" spans="2:27" outlineLevel="2" x14ac:dyDescent="0.25">
      <c r="B247" s="27">
        <v>29</v>
      </c>
      <c r="C247" s="48"/>
      <c r="D247" s="48"/>
      <c r="E247" s="48"/>
      <c r="F247" s="50"/>
      <c r="G247" s="48"/>
      <c r="H247" s="48"/>
      <c r="I247" s="48"/>
      <c r="J247" s="48"/>
      <c r="K247" s="49"/>
      <c r="L247" s="50"/>
      <c r="M247" s="50"/>
      <c r="N247" s="50"/>
      <c r="O247" s="50"/>
      <c r="P247" s="50"/>
      <c r="Q247" s="50"/>
      <c r="R247" s="50"/>
      <c r="S247" s="50"/>
      <c r="T247" s="26" t="str">
        <f t="shared" si="7"/>
        <v>pass</v>
      </c>
      <c r="U247" s="50"/>
      <c r="V247" s="50"/>
      <c r="W247" s="50"/>
      <c r="X247" s="50"/>
      <c r="Y247" s="50"/>
      <c r="Z247" s="50"/>
      <c r="AA247" s="50"/>
    </row>
    <row r="248" spans="2:27" outlineLevel="2" x14ac:dyDescent="0.25">
      <c r="B248" s="27">
        <v>30</v>
      </c>
      <c r="C248" s="48"/>
      <c r="D248" s="48"/>
      <c r="E248" s="48"/>
      <c r="F248" s="50"/>
      <c r="G248" s="48"/>
      <c r="H248" s="48"/>
      <c r="I248" s="48"/>
      <c r="J248" s="48"/>
      <c r="K248" s="49"/>
      <c r="L248" s="50"/>
      <c r="M248" s="50"/>
      <c r="N248" s="50"/>
      <c r="O248" s="50"/>
      <c r="P248" s="50"/>
      <c r="Q248" s="50"/>
      <c r="R248" s="50"/>
      <c r="S248" s="50"/>
      <c r="T248" s="26" t="str">
        <f t="shared" si="7"/>
        <v>pass</v>
      </c>
      <c r="U248" s="50"/>
      <c r="V248" s="50"/>
      <c r="W248" s="50"/>
      <c r="X248" s="50"/>
      <c r="Y248" s="50"/>
      <c r="Z248" s="50"/>
      <c r="AA248" s="50"/>
    </row>
    <row r="249" spans="2:27" outlineLevel="2" x14ac:dyDescent="0.25">
      <c r="B249" s="27">
        <v>31</v>
      </c>
      <c r="C249" s="48"/>
      <c r="D249" s="48"/>
      <c r="E249" s="48"/>
      <c r="F249" s="50"/>
      <c r="G249" s="48"/>
      <c r="H249" s="48"/>
      <c r="I249" s="48"/>
      <c r="J249" s="48"/>
      <c r="K249" s="49"/>
      <c r="L249" s="50"/>
      <c r="M249" s="50"/>
      <c r="N249" s="50"/>
      <c r="O249" s="50"/>
      <c r="P249" s="50"/>
      <c r="Q249" s="50"/>
      <c r="R249" s="50"/>
      <c r="S249" s="50"/>
      <c r="T249" s="26" t="str">
        <f t="shared" si="7"/>
        <v>pass</v>
      </c>
      <c r="U249" s="50"/>
      <c r="V249" s="50"/>
      <c r="W249" s="50"/>
      <c r="X249" s="50"/>
      <c r="Y249" s="50"/>
      <c r="Z249" s="50"/>
      <c r="AA249" s="50"/>
    </row>
    <row r="250" spans="2:27" outlineLevel="2" x14ac:dyDescent="0.25">
      <c r="B250" s="27">
        <v>32</v>
      </c>
      <c r="C250" s="48"/>
      <c r="D250" s="48"/>
      <c r="E250" s="48"/>
      <c r="F250" s="50"/>
      <c r="G250" s="48"/>
      <c r="H250" s="48"/>
      <c r="I250" s="48"/>
      <c r="J250" s="48"/>
      <c r="K250" s="49"/>
      <c r="L250" s="50"/>
      <c r="M250" s="50"/>
      <c r="N250" s="50"/>
      <c r="O250" s="50"/>
      <c r="P250" s="50"/>
      <c r="Q250" s="50"/>
      <c r="R250" s="50"/>
      <c r="S250" s="50"/>
      <c r="T250" s="26" t="str">
        <f t="shared" si="7"/>
        <v>pass</v>
      </c>
      <c r="U250" s="50"/>
      <c r="V250" s="50"/>
      <c r="W250" s="50"/>
      <c r="X250" s="50"/>
      <c r="Y250" s="50"/>
      <c r="Z250" s="50"/>
      <c r="AA250" s="50"/>
    </row>
    <row r="251" spans="2:27" outlineLevel="2" x14ac:dyDescent="0.25">
      <c r="B251" s="27">
        <v>33</v>
      </c>
      <c r="C251" s="48"/>
      <c r="D251" s="48"/>
      <c r="E251" s="48"/>
      <c r="F251" s="50"/>
      <c r="G251" s="48"/>
      <c r="H251" s="48"/>
      <c r="I251" s="48"/>
      <c r="J251" s="48"/>
      <c r="K251" s="49"/>
      <c r="L251" s="50"/>
      <c r="M251" s="50"/>
      <c r="N251" s="50"/>
      <c r="O251" s="50"/>
      <c r="P251" s="50"/>
      <c r="Q251" s="50"/>
      <c r="R251" s="50"/>
      <c r="S251" s="50"/>
      <c r="T251" s="26" t="str">
        <f t="shared" ref="T251:T282" si="8">IF(AND(C251&lt;&gt;"",SUM(K251,M251,O251,Q251,S251)=1),"pass",IF(AND(C251="",SUM(K251,M251,O251,Q251,S251)=0),"pass","fail"))</f>
        <v>pass</v>
      </c>
      <c r="U251" s="50"/>
      <c r="V251" s="50"/>
      <c r="W251" s="50"/>
      <c r="X251" s="50"/>
      <c r="Y251" s="50"/>
      <c r="Z251" s="50"/>
      <c r="AA251" s="50"/>
    </row>
    <row r="252" spans="2:27" outlineLevel="2" x14ac:dyDescent="0.25">
      <c r="B252" s="27">
        <v>34</v>
      </c>
      <c r="C252" s="48"/>
      <c r="D252" s="48"/>
      <c r="E252" s="48"/>
      <c r="F252" s="50"/>
      <c r="G252" s="48"/>
      <c r="H252" s="48"/>
      <c r="I252" s="48"/>
      <c r="J252" s="48"/>
      <c r="K252" s="49"/>
      <c r="L252" s="50"/>
      <c r="M252" s="50"/>
      <c r="N252" s="50"/>
      <c r="O252" s="50"/>
      <c r="P252" s="50"/>
      <c r="Q252" s="50"/>
      <c r="R252" s="50"/>
      <c r="S252" s="50"/>
      <c r="T252" s="26" t="str">
        <f t="shared" si="8"/>
        <v>pass</v>
      </c>
      <c r="U252" s="50"/>
      <c r="V252" s="50"/>
      <c r="W252" s="50"/>
      <c r="X252" s="50"/>
      <c r="Y252" s="50"/>
      <c r="Z252" s="50"/>
      <c r="AA252" s="50"/>
    </row>
    <row r="253" spans="2:27" outlineLevel="2" x14ac:dyDescent="0.25">
      <c r="B253" s="27">
        <v>35</v>
      </c>
      <c r="C253" s="48"/>
      <c r="D253" s="48"/>
      <c r="E253" s="48"/>
      <c r="F253" s="50"/>
      <c r="G253" s="48"/>
      <c r="H253" s="48"/>
      <c r="I253" s="48"/>
      <c r="J253" s="48"/>
      <c r="K253" s="49"/>
      <c r="L253" s="50"/>
      <c r="M253" s="50"/>
      <c r="N253" s="50"/>
      <c r="O253" s="50"/>
      <c r="P253" s="50"/>
      <c r="Q253" s="50"/>
      <c r="R253" s="50"/>
      <c r="S253" s="50"/>
      <c r="T253" s="26" t="str">
        <f t="shared" si="8"/>
        <v>pass</v>
      </c>
      <c r="U253" s="50"/>
      <c r="V253" s="50"/>
      <c r="W253" s="50"/>
      <c r="X253" s="50"/>
      <c r="Y253" s="50"/>
      <c r="Z253" s="50"/>
      <c r="AA253" s="50"/>
    </row>
    <row r="254" spans="2:27" outlineLevel="2" x14ac:dyDescent="0.25">
      <c r="B254" s="27">
        <v>36</v>
      </c>
      <c r="C254" s="48"/>
      <c r="D254" s="48"/>
      <c r="E254" s="48"/>
      <c r="F254" s="50"/>
      <c r="G254" s="48"/>
      <c r="H254" s="48"/>
      <c r="I254" s="48"/>
      <c r="J254" s="48"/>
      <c r="K254" s="49"/>
      <c r="L254" s="50"/>
      <c r="M254" s="50"/>
      <c r="N254" s="50"/>
      <c r="O254" s="50"/>
      <c r="P254" s="50"/>
      <c r="Q254" s="50"/>
      <c r="R254" s="50"/>
      <c r="S254" s="50"/>
      <c r="T254" s="26" t="str">
        <f t="shared" si="8"/>
        <v>pass</v>
      </c>
      <c r="U254" s="50"/>
      <c r="V254" s="50"/>
      <c r="W254" s="50"/>
      <c r="X254" s="50"/>
      <c r="Y254" s="50"/>
      <c r="Z254" s="50"/>
      <c r="AA254" s="50"/>
    </row>
    <row r="255" spans="2:27" outlineLevel="2" x14ac:dyDescent="0.25">
      <c r="B255" s="27">
        <v>37</v>
      </c>
      <c r="C255" s="48"/>
      <c r="D255" s="48"/>
      <c r="E255" s="48"/>
      <c r="F255" s="50"/>
      <c r="G255" s="48"/>
      <c r="H255" s="48"/>
      <c r="I255" s="48"/>
      <c r="J255" s="48"/>
      <c r="K255" s="49"/>
      <c r="L255" s="50"/>
      <c r="M255" s="50"/>
      <c r="N255" s="50"/>
      <c r="O255" s="50"/>
      <c r="P255" s="50"/>
      <c r="Q255" s="50"/>
      <c r="R255" s="50"/>
      <c r="S255" s="50"/>
      <c r="T255" s="26" t="str">
        <f t="shared" si="8"/>
        <v>pass</v>
      </c>
      <c r="U255" s="50"/>
      <c r="V255" s="50"/>
      <c r="W255" s="50"/>
      <c r="X255" s="50"/>
      <c r="Y255" s="50"/>
      <c r="Z255" s="50"/>
      <c r="AA255" s="50"/>
    </row>
    <row r="256" spans="2:27" outlineLevel="2" x14ac:dyDescent="0.25">
      <c r="B256" s="27">
        <v>38</v>
      </c>
      <c r="C256" s="48"/>
      <c r="D256" s="48"/>
      <c r="E256" s="48"/>
      <c r="F256" s="50"/>
      <c r="G256" s="48"/>
      <c r="H256" s="48"/>
      <c r="I256" s="48"/>
      <c r="J256" s="48"/>
      <c r="K256" s="49"/>
      <c r="L256" s="50"/>
      <c r="M256" s="50"/>
      <c r="N256" s="50"/>
      <c r="O256" s="50"/>
      <c r="P256" s="50"/>
      <c r="Q256" s="50"/>
      <c r="R256" s="50"/>
      <c r="S256" s="50"/>
      <c r="T256" s="26" t="str">
        <f t="shared" si="8"/>
        <v>pass</v>
      </c>
      <c r="U256" s="50"/>
      <c r="V256" s="50"/>
      <c r="W256" s="50"/>
      <c r="X256" s="50"/>
      <c r="Y256" s="50"/>
      <c r="Z256" s="50"/>
      <c r="AA256" s="50"/>
    </row>
    <row r="257" spans="2:27" outlineLevel="2" x14ac:dyDescent="0.25">
      <c r="B257" s="27">
        <v>39</v>
      </c>
      <c r="C257" s="48"/>
      <c r="D257" s="48"/>
      <c r="E257" s="48"/>
      <c r="F257" s="50"/>
      <c r="G257" s="48"/>
      <c r="H257" s="48"/>
      <c r="I257" s="48"/>
      <c r="J257" s="48"/>
      <c r="K257" s="49"/>
      <c r="L257" s="50"/>
      <c r="M257" s="50"/>
      <c r="N257" s="50"/>
      <c r="O257" s="50"/>
      <c r="P257" s="50"/>
      <c r="Q257" s="50"/>
      <c r="R257" s="50"/>
      <c r="S257" s="50"/>
      <c r="T257" s="26" t="str">
        <f t="shared" si="8"/>
        <v>pass</v>
      </c>
      <c r="U257" s="50"/>
      <c r="V257" s="50"/>
      <c r="W257" s="50"/>
      <c r="X257" s="50"/>
      <c r="Y257" s="50"/>
      <c r="Z257" s="50"/>
      <c r="AA257" s="50"/>
    </row>
    <row r="258" spans="2:27" outlineLevel="2" x14ac:dyDescent="0.25">
      <c r="B258" s="27">
        <v>40</v>
      </c>
      <c r="C258" s="48"/>
      <c r="D258" s="48"/>
      <c r="E258" s="48"/>
      <c r="F258" s="50"/>
      <c r="G258" s="48"/>
      <c r="H258" s="48"/>
      <c r="I258" s="48"/>
      <c r="J258" s="48"/>
      <c r="K258" s="49"/>
      <c r="L258" s="50"/>
      <c r="M258" s="50"/>
      <c r="N258" s="50"/>
      <c r="O258" s="50"/>
      <c r="P258" s="50"/>
      <c r="Q258" s="50"/>
      <c r="R258" s="50"/>
      <c r="S258" s="50"/>
      <c r="T258" s="26" t="str">
        <f t="shared" si="8"/>
        <v>pass</v>
      </c>
      <c r="U258" s="50"/>
      <c r="V258" s="50"/>
      <c r="W258" s="50"/>
      <c r="X258" s="50"/>
      <c r="Y258" s="50"/>
      <c r="Z258" s="50"/>
      <c r="AA258" s="50"/>
    </row>
    <row r="259" spans="2:27" outlineLevel="2" x14ac:dyDescent="0.25">
      <c r="B259" s="27">
        <v>41</v>
      </c>
      <c r="C259" s="48"/>
      <c r="D259" s="48"/>
      <c r="E259" s="48"/>
      <c r="F259" s="50"/>
      <c r="G259" s="48"/>
      <c r="H259" s="48"/>
      <c r="I259" s="48"/>
      <c r="J259" s="48"/>
      <c r="K259" s="49"/>
      <c r="L259" s="50"/>
      <c r="M259" s="50"/>
      <c r="N259" s="50"/>
      <c r="O259" s="50"/>
      <c r="P259" s="50"/>
      <c r="Q259" s="50"/>
      <c r="R259" s="50"/>
      <c r="S259" s="50"/>
      <c r="T259" s="26" t="str">
        <f t="shared" si="8"/>
        <v>pass</v>
      </c>
      <c r="U259" s="50"/>
      <c r="V259" s="50"/>
      <c r="W259" s="50"/>
      <c r="X259" s="50"/>
      <c r="Y259" s="50"/>
      <c r="Z259" s="50"/>
      <c r="AA259" s="50"/>
    </row>
    <row r="260" spans="2:27" outlineLevel="2" x14ac:dyDescent="0.25">
      <c r="B260" s="27">
        <v>42</v>
      </c>
      <c r="C260" s="48"/>
      <c r="D260" s="48"/>
      <c r="E260" s="48"/>
      <c r="F260" s="50"/>
      <c r="G260" s="48"/>
      <c r="H260" s="48"/>
      <c r="I260" s="48"/>
      <c r="J260" s="48"/>
      <c r="K260" s="49"/>
      <c r="L260" s="50"/>
      <c r="M260" s="50"/>
      <c r="N260" s="50"/>
      <c r="O260" s="50"/>
      <c r="P260" s="50"/>
      <c r="Q260" s="50"/>
      <c r="R260" s="50"/>
      <c r="S260" s="50"/>
      <c r="T260" s="26" t="str">
        <f t="shared" si="8"/>
        <v>pass</v>
      </c>
      <c r="U260" s="50"/>
      <c r="V260" s="50"/>
      <c r="W260" s="50"/>
      <c r="X260" s="50"/>
      <c r="Y260" s="50"/>
      <c r="Z260" s="50"/>
      <c r="AA260" s="50"/>
    </row>
    <row r="261" spans="2:27" outlineLevel="2" x14ac:dyDescent="0.25">
      <c r="B261" s="27">
        <v>43</v>
      </c>
      <c r="C261" s="48"/>
      <c r="D261" s="48"/>
      <c r="E261" s="48"/>
      <c r="F261" s="50"/>
      <c r="G261" s="48"/>
      <c r="H261" s="48"/>
      <c r="I261" s="48"/>
      <c r="J261" s="48"/>
      <c r="K261" s="49"/>
      <c r="L261" s="50"/>
      <c r="M261" s="50"/>
      <c r="N261" s="50"/>
      <c r="O261" s="50"/>
      <c r="P261" s="50"/>
      <c r="Q261" s="50"/>
      <c r="R261" s="50"/>
      <c r="S261" s="50"/>
      <c r="T261" s="26" t="str">
        <f t="shared" si="8"/>
        <v>pass</v>
      </c>
      <c r="U261" s="50"/>
      <c r="V261" s="50"/>
      <c r="W261" s="50"/>
      <c r="X261" s="50"/>
      <c r="Y261" s="50"/>
      <c r="Z261" s="50"/>
      <c r="AA261" s="50"/>
    </row>
    <row r="262" spans="2:27" outlineLevel="2" x14ac:dyDescent="0.25">
      <c r="B262" s="27">
        <v>44</v>
      </c>
      <c r="C262" s="48"/>
      <c r="D262" s="48"/>
      <c r="E262" s="48"/>
      <c r="F262" s="50"/>
      <c r="G262" s="48"/>
      <c r="H262" s="48"/>
      <c r="I262" s="48"/>
      <c r="J262" s="48"/>
      <c r="K262" s="49"/>
      <c r="L262" s="50"/>
      <c r="M262" s="50"/>
      <c r="N262" s="50"/>
      <c r="O262" s="50"/>
      <c r="P262" s="50"/>
      <c r="Q262" s="50"/>
      <c r="R262" s="50"/>
      <c r="S262" s="50"/>
      <c r="T262" s="26" t="str">
        <f t="shared" si="8"/>
        <v>pass</v>
      </c>
      <c r="U262" s="50"/>
      <c r="V262" s="50"/>
      <c r="W262" s="50"/>
      <c r="X262" s="50"/>
      <c r="Y262" s="50"/>
      <c r="Z262" s="50"/>
      <c r="AA262" s="50"/>
    </row>
    <row r="263" spans="2:27" outlineLevel="2" x14ac:dyDescent="0.25">
      <c r="B263" s="27">
        <v>45</v>
      </c>
      <c r="C263" s="48"/>
      <c r="D263" s="48"/>
      <c r="E263" s="48"/>
      <c r="F263" s="50"/>
      <c r="G263" s="48"/>
      <c r="H263" s="48"/>
      <c r="I263" s="48"/>
      <c r="J263" s="48"/>
      <c r="K263" s="49"/>
      <c r="L263" s="50"/>
      <c r="M263" s="50"/>
      <c r="N263" s="50"/>
      <c r="O263" s="50"/>
      <c r="P263" s="50"/>
      <c r="Q263" s="50"/>
      <c r="R263" s="50"/>
      <c r="S263" s="50"/>
      <c r="T263" s="26" t="str">
        <f t="shared" si="8"/>
        <v>pass</v>
      </c>
      <c r="U263" s="50"/>
      <c r="V263" s="50"/>
      <c r="W263" s="50"/>
      <c r="X263" s="50"/>
      <c r="Y263" s="50"/>
      <c r="Z263" s="50"/>
      <c r="AA263" s="50"/>
    </row>
    <row r="264" spans="2:27" outlineLevel="2" x14ac:dyDescent="0.25">
      <c r="B264" s="27">
        <v>46</v>
      </c>
      <c r="C264" s="48"/>
      <c r="D264" s="48"/>
      <c r="E264" s="48"/>
      <c r="F264" s="50"/>
      <c r="G264" s="48"/>
      <c r="H264" s="48"/>
      <c r="I264" s="48"/>
      <c r="J264" s="48"/>
      <c r="K264" s="49"/>
      <c r="L264" s="50"/>
      <c r="M264" s="50"/>
      <c r="N264" s="50"/>
      <c r="O264" s="50"/>
      <c r="P264" s="50"/>
      <c r="Q264" s="50"/>
      <c r="R264" s="50"/>
      <c r="S264" s="50"/>
      <c r="T264" s="26" t="str">
        <f t="shared" si="8"/>
        <v>pass</v>
      </c>
      <c r="U264" s="50"/>
      <c r="V264" s="50"/>
      <c r="W264" s="50"/>
      <c r="X264" s="50"/>
      <c r="Y264" s="50"/>
      <c r="Z264" s="50"/>
      <c r="AA264" s="50"/>
    </row>
    <row r="265" spans="2:27" outlineLevel="2" x14ac:dyDescent="0.25">
      <c r="B265" s="27">
        <v>47</v>
      </c>
      <c r="C265" s="48"/>
      <c r="D265" s="48"/>
      <c r="E265" s="48"/>
      <c r="F265" s="50"/>
      <c r="G265" s="48"/>
      <c r="H265" s="48"/>
      <c r="I265" s="48"/>
      <c r="J265" s="48"/>
      <c r="K265" s="49"/>
      <c r="L265" s="50"/>
      <c r="M265" s="50"/>
      <c r="N265" s="50"/>
      <c r="O265" s="50"/>
      <c r="P265" s="50"/>
      <c r="Q265" s="50"/>
      <c r="R265" s="50"/>
      <c r="S265" s="50"/>
      <c r="T265" s="26" t="str">
        <f t="shared" si="8"/>
        <v>pass</v>
      </c>
      <c r="U265" s="50"/>
      <c r="V265" s="50"/>
      <c r="W265" s="50"/>
      <c r="X265" s="50"/>
      <c r="Y265" s="50"/>
      <c r="Z265" s="50"/>
      <c r="AA265" s="50"/>
    </row>
    <row r="266" spans="2:27" outlineLevel="2" x14ac:dyDescent="0.25">
      <c r="B266" s="27">
        <v>48</v>
      </c>
      <c r="C266" s="48"/>
      <c r="D266" s="48"/>
      <c r="E266" s="48"/>
      <c r="F266" s="50"/>
      <c r="G266" s="48"/>
      <c r="H266" s="48"/>
      <c r="I266" s="48"/>
      <c r="J266" s="48"/>
      <c r="K266" s="49"/>
      <c r="L266" s="50"/>
      <c r="M266" s="50"/>
      <c r="N266" s="50"/>
      <c r="O266" s="50"/>
      <c r="P266" s="50"/>
      <c r="Q266" s="50"/>
      <c r="R266" s="50"/>
      <c r="S266" s="50"/>
      <c r="T266" s="26" t="str">
        <f t="shared" si="8"/>
        <v>pass</v>
      </c>
      <c r="U266" s="50"/>
      <c r="V266" s="50"/>
      <c r="W266" s="50"/>
      <c r="X266" s="50"/>
      <c r="Y266" s="50"/>
      <c r="Z266" s="50"/>
      <c r="AA266" s="50"/>
    </row>
    <row r="267" spans="2:27" outlineLevel="2" x14ac:dyDescent="0.25">
      <c r="B267" s="27">
        <v>49</v>
      </c>
      <c r="C267" s="48"/>
      <c r="D267" s="48"/>
      <c r="E267" s="48"/>
      <c r="F267" s="50"/>
      <c r="G267" s="48"/>
      <c r="H267" s="48"/>
      <c r="I267" s="48"/>
      <c r="J267" s="48"/>
      <c r="K267" s="49"/>
      <c r="L267" s="50"/>
      <c r="M267" s="50"/>
      <c r="N267" s="50"/>
      <c r="O267" s="50"/>
      <c r="P267" s="50"/>
      <c r="Q267" s="50"/>
      <c r="R267" s="50"/>
      <c r="S267" s="50"/>
      <c r="T267" s="26" t="str">
        <f t="shared" si="8"/>
        <v>pass</v>
      </c>
      <c r="U267" s="50"/>
      <c r="V267" s="50"/>
      <c r="W267" s="50"/>
      <c r="X267" s="50"/>
      <c r="Y267" s="50"/>
      <c r="Z267" s="50"/>
      <c r="AA267" s="50"/>
    </row>
    <row r="268" spans="2:27" outlineLevel="2" x14ac:dyDescent="0.25">
      <c r="B268" s="27">
        <v>50</v>
      </c>
      <c r="C268" s="48"/>
      <c r="D268" s="48"/>
      <c r="E268" s="48"/>
      <c r="F268" s="50"/>
      <c r="G268" s="48"/>
      <c r="H268" s="48"/>
      <c r="I268" s="48"/>
      <c r="J268" s="48"/>
      <c r="K268" s="49"/>
      <c r="L268" s="50"/>
      <c r="M268" s="50"/>
      <c r="N268" s="50"/>
      <c r="O268" s="50"/>
      <c r="P268" s="50"/>
      <c r="Q268" s="50"/>
      <c r="R268" s="50"/>
      <c r="S268" s="50"/>
      <c r="T268" s="26" t="str">
        <f t="shared" si="8"/>
        <v>pass</v>
      </c>
      <c r="U268" s="50"/>
      <c r="V268" s="50"/>
      <c r="W268" s="50"/>
      <c r="X268" s="50"/>
      <c r="Y268" s="50"/>
      <c r="Z268" s="50"/>
      <c r="AA268" s="50"/>
    </row>
    <row r="269" spans="2:27" outlineLevel="2" x14ac:dyDescent="0.25">
      <c r="B269" s="27">
        <v>51</v>
      </c>
      <c r="C269" s="48"/>
      <c r="D269" s="48"/>
      <c r="E269" s="48"/>
      <c r="F269" s="50"/>
      <c r="G269" s="48"/>
      <c r="H269" s="48"/>
      <c r="I269" s="48"/>
      <c r="J269" s="48"/>
      <c r="K269" s="49"/>
      <c r="L269" s="50"/>
      <c r="M269" s="50"/>
      <c r="N269" s="50"/>
      <c r="O269" s="50"/>
      <c r="P269" s="50"/>
      <c r="Q269" s="50"/>
      <c r="R269" s="50"/>
      <c r="S269" s="50"/>
      <c r="T269" s="26" t="str">
        <f t="shared" si="8"/>
        <v>pass</v>
      </c>
      <c r="U269" s="50"/>
      <c r="V269" s="50"/>
      <c r="W269" s="50"/>
      <c r="X269" s="50"/>
      <c r="Y269" s="50"/>
      <c r="Z269" s="50"/>
      <c r="AA269" s="50"/>
    </row>
    <row r="270" spans="2:27" outlineLevel="2" x14ac:dyDescent="0.25">
      <c r="B270" s="27">
        <v>52</v>
      </c>
      <c r="C270" s="48"/>
      <c r="D270" s="48"/>
      <c r="E270" s="48"/>
      <c r="F270" s="50"/>
      <c r="G270" s="48"/>
      <c r="H270" s="48"/>
      <c r="I270" s="48"/>
      <c r="J270" s="48"/>
      <c r="K270" s="49"/>
      <c r="L270" s="50"/>
      <c r="M270" s="50"/>
      <c r="N270" s="50"/>
      <c r="O270" s="50"/>
      <c r="P270" s="50"/>
      <c r="Q270" s="50"/>
      <c r="R270" s="50"/>
      <c r="S270" s="50"/>
      <c r="T270" s="26" t="str">
        <f t="shared" si="8"/>
        <v>pass</v>
      </c>
      <c r="U270" s="50"/>
      <c r="V270" s="50"/>
      <c r="W270" s="50"/>
      <c r="X270" s="50"/>
      <c r="Y270" s="50"/>
      <c r="Z270" s="50"/>
      <c r="AA270" s="50"/>
    </row>
    <row r="271" spans="2:27" outlineLevel="2" x14ac:dyDescent="0.25">
      <c r="B271" s="27">
        <v>53</v>
      </c>
      <c r="C271" s="48"/>
      <c r="D271" s="48"/>
      <c r="E271" s="48"/>
      <c r="F271" s="50"/>
      <c r="G271" s="48"/>
      <c r="H271" s="48"/>
      <c r="I271" s="48"/>
      <c r="J271" s="48"/>
      <c r="K271" s="49"/>
      <c r="L271" s="50"/>
      <c r="M271" s="50"/>
      <c r="N271" s="50"/>
      <c r="O271" s="50"/>
      <c r="P271" s="50"/>
      <c r="Q271" s="50"/>
      <c r="R271" s="50"/>
      <c r="S271" s="50"/>
      <c r="T271" s="26" t="str">
        <f t="shared" si="8"/>
        <v>pass</v>
      </c>
      <c r="U271" s="50"/>
      <c r="V271" s="50"/>
      <c r="W271" s="50"/>
      <c r="X271" s="50"/>
      <c r="Y271" s="50"/>
      <c r="Z271" s="50"/>
      <c r="AA271" s="50"/>
    </row>
    <row r="272" spans="2:27" outlineLevel="2" x14ac:dyDescent="0.25">
      <c r="B272" s="27">
        <v>54</v>
      </c>
      <c r="C272" s="48"/>
      <c r="D272" s="48"/>
      <c r="E272" s="48"/>
      <c r="F272" s="50"/>
      <c r="G272" s="48"/>
      <c r="H272" s="48"/>
      <c r="I272" s="48"/>
      <c r="J272" s="48"/>
      <c r="K272" s="49"/>
      <c r="L272" s="50"/>
      <c r="M272" s="50"/>
      <c r="N272" s="50"/>
      <c r="O272" s="50"/>
      <c r="P272" s="50"/>
      <c r="Q272" s="50"/>
      <c r="R272" s="50"/>
      <c r="S272" s="50"/>
      <c r="T272" s="26" t="str">
        <f t="shared" si="8"/>
        <v>pass</v>
      </c>
      <c r="U272" s="50"/>
      <c r="V272" s="50"/>
      <c r="W272" s="50"/>
      <c r="X272" s="50"/>
      <c r="Y272" s="50"/>
      <c r="Z272" s="50"/>
      <c r="AA272" s="50"/>
    </row>
    <row r="273" spans="2:27" outlineLevel="2" x14ac:dyDescent="0.25">
      <c r="B273" s="27">
        <v>55</v>
      </c>
      <c r="C273" s="48"/>
      <c r="D273" s="48"/>
      <c r="E273" s="48"/>
      <c r="F273" s="50"/>
      <c r="G273" s="48"/>
      <c r="H273" s="48"/>
      <c r="I273" s="48"/>
      <c r="J273" s="48"/>
      <c r="K273" s="49"/>
      <c r="L273" s="50"/>
      <c r="M273" s="50"/>
      <c r="N273" s="50"/>
      <c r="O273" s="50"/>
      <c r="P273" s="50"/>
      <c r="Q273" s="50"/>
      <c r="R273" s="50"/>
      <c r="S273" s="50"/>
      <c r="T273" s="26" t="str">
        <f t="shared" si="8"/>
        <v>pass</v>
      </c>
      <c r="U273" s="50"/>
      <c r="V273" s="50"/>
      <c r="W273" s="50"/>
      <c r="X273" s="50"/>
      <c r="Y273" s="50"/>
      <c r="Z273" s="50"/>
      <c r="AA273" s="50"/>
    </row>
    <row r="274" spans="2:27" outlineLevel="2" x14ac:dyDescent="0.25">
      <c r="B274" s="27">
        <v>56</v>
      </c>
      <c r="C274" s="48"/>
      <c r="D274" s="48"/>
      <c r="E274" s="48"/>
      <c r="F274" s="50"/>
      <c r="G274" s="48"/>
      <c r="H274" s="48"/>
      <c r="I274" s="48"/>
      <c r="J274" s="48"/>
      <c r="K274" s="49"/>
      <c r="L274" s="50"/>
      <c r="M274" s="50"/>
      <c r="N274" s="50"/>
      <c r="O274" s="50"/>
      <c r="P274" s="50"/>
      <c r="Q274" s="50"/>
      <c r="R274" s="50"/>
      <c r="S274" s="50"/>
      <c r="T274" s="26" t="str">
        <f t="shared" si="8"/>
        <v>pass</v>
      </c>
      <c r="U274" s="50"/>
      <c r="V274" s="50"/>
      <c r="W274" s="50"/>
      <c r="X274" s="50"/>
      <c r="Y274" s="50"/>
      <c r="Z274" s="50"/>
      <c r="AA274" s="50"/>
    </row>
    <row r="275" spans="2:27" outlineLevel="2" x14ac:dyDescent="0.25">
      <c r="B275" s="27">
        <v>57</v>
      </c>
      <c r="C275" s="48"/>
      <c r="D275" s="48"/>
      <c r="E275" s="48"/>
      <c r="F275" s="50"/>
      <c r="G275" s="48"/>
      <c r="H275" s="48"/>
      <c r="I275" s="48"/>
      <c r="J275" s="48"/>
      <c r="K275" s="49"/>
      <c r="L275" s="50"/>
      <c r="M275" s="50"/>
      <c r="N275" s="50"/>
      <c r="O275" s="50"/>
      <c r="P275" s="50"/>
      <c r="Q275" s="50"/>
      <c r="R275" s="50"/>
      <c r="S275" s="50"/>
      <c r="T275" s="26" t="str">
        <f t="shared" si="8"/>
        <v>pass</v>
      </c>
      <c r="U275" s="50"/>
      <c r="V275" s="50"/>
      <c r="W275" s="50"/>
      <c r="X275" s="50"/>
      <c r="Y275" s="50"/>
      <c r="Z275" s="50"/>
      <c r="AA275" s="50"/>
    </row>
    <row r="276" spans="2:27" outlineLevel="2" x14ac:dyDescent="0.25">
      <c r="B276" s="27">
        <v>58</v>
      </c>
      <c r="C276" s="48"/>
      <c r="D276" s="48"/>
      <c r="E276" s="48"/>
      <c r="F276" s="50"/>
      <c r="G276" s="48"/>
      <c r="H276" s="48"/>
      <c r="I276" s="48"/>
      <c r="J276" s="48"/>
      <c r="K276" s="49"/>
      <c r="L276" s="50"/>
      <c r="M276" s="50"/>
      <c r="N276" s="50"/>
      <c r="O276" s="50"/>
      <c r="P276" s="50"/>
      <c r="Q276" s="50"/>
      <c r="R276" s="50"/>
      <c r="S276" s="50"/>
      <c r="T276" s="26" t="str">
        <f t="shared" si="8"/>
        <v>pass</v>
      </c>
      <c r="U276" s="50"/>
      <c r="V276" s="50"/>
      <c r="W276" s="50"/>
      <c r="X276" s="50"/>
      <c r="Y276" s="50"/>
      <c r="Z276" s="50"/>
      <c r="AA276" s="50"/>
    </row>
    <row r="277" spans="2:27" outlineLevel="2" x14ac:dyDescent="0.25">
      <c r="B277" s="27">
        <v>59</v>
      </c>
      <c r="C277" s="48"/>
      <c r="D277" s="48"/>
      <c r="E277" s="48"/>
      <c r="F277" s="50"/>
      <c r="G277" s="48"/>
      <c r="H277" s="48"/>
      <c r="I277" s="48"/>
      <c r="J277" s="48"/>
      <c r="K277" s="49"/>
      <c r="L277" s="50"/>
      <c r="M277" s="50"/>
      <c r="N277" s="50"/>
      <c r="O277" s="50"/>
      <c r="P277" s="50"/>
      <c r="Q277" s="50"/>
      <c r="R277" s="50"/>
      <c r="S277" s="50"/>
      <c r="T277" s="26" t="str">
        <f t="shared" si="8"/>
        <v>pass</v>
      </c>
      <c r="U277" s="50"/>
      <c r="V277" s="50"/>
      <c r="W277" s="50"/>
      <c r="X277" s="50"/>
      <c r="Y277" s="50"/>
      <c r="Z277" s="50"/>
      <c r="AA277" s="50"/>
    </row>
    <row r="278" spans="2:27" outlineLevel="2" x14ac:dyDescent="0.25">
      <c r="B278" s="27">
        <v>60</v>
      </c>
      <c r="C278" s="48"/>
      <c r="D278" s="48"/>
      <c r="E278" s="48"/>
      <c r="F278" s="50"/>
      <c r="G278" s="48"/>
      <c r="H278" s="48"/>
      <c r="I278" s="48"/>
      <c r="J278" s="48"/>
      <c r="K278" s="49"/>
      <c r="L278" s="50"/>
      <c r="M278" s="50"/>
      <c r="N278" s="50"/>
      <c r="O278" s="50"/>
      <c r="P278" s="50"/>
      <c r="Q278" s="50"/>
      <c r="R278" s="50"/>
      <c r="S278" s="50"/>
      <c r="T278" s="26" t="str">
        <f t="shared" si="8"/>
        <v>pass</v>
      </c>
      <c r="U278" s="50"/>
      <c r="V278" s="50"/>
      <c r="W278" s="50"/>
      <c r="X278" s="50"/>
      <c r="Y278" s="50"/>
      <c r="Z278" s="50"/>
      <c r="AA278" s="50"/>
    </row>
    <row r="279" spans="2:27" outlineLevel="2" x14ac:dyDescent="0.25">
      <c r="B279" s="27">
        <v>61</v>
      </c>
      <c r="C279" s="48"/>
      <c r="D279" s="48"/>
      <c r="E279" s="48"/>
      <c r="F279" s="50"/>
      <c r="G279" s="48"/>
      <c r="H279" s="48"/>
      <c r="I279" s="48"/>
      <c r="J279" s="48"/>
      <c r="K279" s="49"/>
      <c r="L279" s="50"/>
      <c r="M279" s="50"/>
      <c r="N279" s="50"/>
      <c r="O279" s="50"/>
      <c r="P279" s="50"/>
      <c r="Q279" s="50"/>
      <c r="R279" s="50"/>
      <c r="S279" s="50"/>
      <c r="T279" s="26" t="str">
        <f t="shared" si="8"/>
        <v>pass</v>
      </c>
      <c r="U279" s="50"/>
      <c r="V279" s="50"/>
      <c r="W279" s="50"/>
      <c r="X279" s="50"/>
      <c r="Y279" s="50"/>
      <c r="Z279" s="50"/>
      <c r="AA279" s="50"/>
    </row>
    <row r="280" spans="2:27" outlineLevel="2" x14ac:dyDescent="0.25">
      <c r="B280" s="27">
        <v>62</v>
      </c>
      <c r="C280" s="48"/>
      <c r="D280" s="48"/>
      <c r="E280" s="48"/>
      <c r="F280" s="50"/>
      <c r="G280" s="48"/>
      <c r="H280" s="48"/>
      <c r="I280" s="48"/>
      <c r="J280" s="48"/>
      <c r="K280" s="49"/>
      <c r="L280" s="50"/>
      <c r="M280" s="50"/>
      <c r="N280" s="50"/>
      <c r="O280" s="50"/>
      <c r="P280" s="50"/>
      <c r="Q280" s="50"/>
      <c r="R280" s="50"/>
      <c r="S280" s="50"/>
      <c r="T280" s="26" t="str">
        <f t="shared" si="8"/>
        <v>pass</v>
      </c>
      <c r="U280" s="50"/>
      <c r="V280" s="50"/>
      <c r="W280" s="50"/>
      <c r="X280" s="50"/>
      <c r="Y280" s="50"/>
      <c r="Z280" s="50"/>
      <c r="AA280" s="50"/>
    </row>
    <row r="281" spans="2:27" outlineLevel="2" x14ac:dyDescent="0.25">
      <c r="B281" s="27">
        <v>63</v>
      </c>
      <c r="C281" s="48"/>
      <c r="D281" s="48"/>
      <c r="E281" s="48"/>
      <c r="F281" s="50"/>
      <c r="G281" s="48"/>
      <c r="H281" s="48"/>
      <c r="I281" s="48"/>
      <c r="J281" s="48"/>
      <c r="K281" s="49"/>
      <c r="L281" s="50"/>
      <c r="M281" s="50"/>
      <c r="N281" s="50"/>
      <c r="O281" s="50"/>
      <c r="P281" s="50"/>
      <c r="Q281" s="50"/>
      <c r="R281" s="50"/>
      <c r="S281" s="50"/>
      <c r="T281" s="26" t="str">
        <f t="shared" si="8"/>
        <v>pass</v>
      </c>
      <c r="U281" s="50"/>
      <c r="V281" s="50"/>
      <c r="W281" s="50"/>
      <c r="X281" s="50"/>
      <c r="Y281" s="50"/>
      <c r="Z281" s="50"/>
      <c r="AA281" s="50"/>
    </row>
    <row r="282" spans="2:27" outlineLevel="2" x14ac:dyDescent="0.25">
      <c r="B282" s="27">
        <v>64</v>
      </c>
      <c r="C282" s="48"/>
      <c r="D282" s="48"/>
      <c r="E282" s="48"/>
      <c r="F282" s="50"/>
      <c r="G282" s="48"/>
      <c r="H282" s="48"/>
      <c r="I282" s="48"/>
      <c r="J282" s="48"/>
      <c r="K282" s="49"/>
      <c r="L282" s="50"/>
      <c r="M282" s="50"/>
      <c r="N282" s="50"/>
      <c r="O282" s="50"/>
      <c r="P282" s="50"/>
      <c r="Q282" s="50"/>
      <c r="R282" s="50"/>
      <c r="S282" s="50"/>
      <c r="T282" s="26" t="str">
        <f t="shared" si="8"/>
        <v>pass</v>
      </c>
      <c r="U282" s="50"/>
      <c r="V282" s="50"/>
      <c r="W282" s="50"/>
      <c r="X282" s="50"/>
      <c r="Y282" s="50"/>
      <c r="Z282" s="50"/>
      <c r="AA282" s="50"/>
    </row>
    <row r="283" spans="2:27" outlineLevel="2" x14ac:dyDescent="0.25">
      <c r="B283" s="27">
        <v>65</v>
      </c>
      <c r="C283" s="48"/>
      <c r="D283" s="48"/>
      <c r="E283" s="48"/>
      <c r="F283" s="50"/>
      <c r="G283" s="48"/>
      <c r="H283" s="48"/>
      <c r="I283" s="48"/>
      <c r="J283" s="48"/>
      <c r="K283" s="49"/>
      <c r="L283" s="50"/>
      <c r="M283" s="50"/>
      <c r="N283" s="50"/>
      <c r="O283" s="50"/>
      <c r="P283" s="50"/>
      <c r="Q283" s="50"/>
      <c r="R283" s="50"/>
      <c r="S283" s="50"/>
      <c r="T283" s="26" t="str">
        <f t="shared" ref="T283:T314" si="9">IF(AND(C283&lt;&gt;"",SUM(K283,M283,O283,Q283,S283)=1),"pass",IF(AND(C283="",SUM(K283,M283,O283,Q283,S283)=0),"pass","fail"))</f>
        <v>pass</v>
      </c>
      <c r="U283" s="50"/>
      <c r="V283" s="50"/>
      <c r="W283" s="50"/>
      <c r="X283" s="50"/>
      <c r="Y283" s="50"/>
      <c r="Z283" s="50"/>
      <c r="AA283" s="50"/>
    </row>
    <row r="284" spans="2:27" outlineLevel="2" x14ac:dyDescent="0.25">
      <c r="B284" s="27">
        <v>66</v>
      </c>
      <c r="C284" s="48"/>
      <c r="D284" s="48"/>
      <c r="E284" s="48"/>
      <c r="F284" s="50"/>
      <c r="G284" s="48"/>
      <c r="H284" s="48"/>
      <c r="I284" s="48"/>
      <c r="J284" s="48"/>
      <c r="K284" s="49"/>
      <c r="L284" s="50"/>
      <c r="M284" s="50"/>
      <c r="N284" s="50"/>
      <c r="O284" s="50"/>
      <c r="P284" s="50"/>
      <c r="Q284" s="50"/>
      <c r="R284" s="50"/>
      <c r="S284" s="50"/>
      <c r="T284" s="26" t="str">
        <f t="shared" si="9"/>
        <v>pass</v>
      </c>
      <c r="U284" s="50"/>
      <c r="V284" s="50"/>
      <c r="W284" s="50"/>
      <c r="X284" s="50"/>
      <c r="Y284" s="50"/>
      <c r="Z284" s="50"/>
      <c r="AA284" s="50"/>
    </row>
    <row r="285" spans="2:27" outlineLevel="2" x14ac:dyDescent="0.25">
      <c r="B285" s="27">
        <v>67</v>
      </c>
      <c r="C285" s="48"/>
      <c r="D285" s="48"/>
      <c r="E285" s="48"/>
      <c r="F285" s="50"/>
      <c r="G285" s="48"/>
      <c r="H285" s="48"/>
      <c r="I285" s="48"/>
      <c r="J285" s="48"/>
      <c r="K285" s="49"/>
      <c r="L285" s="50"/>
      <c r="M285" s="50"/>
      <c r="N285" s="50"/>
      <c r="O285" s="50"/>
      <c r="P285" s="50"/>
      <c r="Q285" s="50"/>
      <c r="R285" s="50"/>
      <c r="S285" s="50"/>
      <c r="T285" s="26" t="str">
        <f t="shared" si="9"/>
        <v>pass</v>
      </c>
      <c r="U285" s="50"/>
      <c r="V285" s="50"/>
      <c r="W285" s="50"/>
      <c r="X285" s="50"/>
      <c r="Y285" s="50"/>
      <c r="Z285" s="50"/>
      <c r="AA285" s="50"/>
    </row>
    <row r="286" spans="2:27" outlineLevel="2" x14ac:dyDescent="0.25">
      <c r="B286" s="27">
        <v>68</v>
      </c>
      <c r="C286" s="48"/>
      <c r="D286" s="48"/>
      <c r="E286" s="48"/>
      <c r="F286" s="50"/>
      <c r="G286" s="48"/>
      <c r="H286" s="48"/>
      <c r="I286" s="48"/>
      <c r="J286" s="48"/>
      <c r="K286" s="49"/>
      <c r="L286" s="50"/>
      <c r="M286" s="50"/>
      <c r="N286" s="50"/>
      <c r="O286" s="50"/>
      <c r="P286" s="50"/>
      <c r="Q286" s="50"/>
      <c r="R286" s="50"/>
      <c r="S286" s="50"/>
      <c r="T286" s="26" t="str">
        <f t="shared" si="9"/>
        <v>pass</v>
      </c>
      <c r="U286" s="50"/>
      <c r="V286" s="50"/>
      <c r="W286" s="50"/>
      <c r="X286" s="50"/>
      <c r="Y286" s="50"/>
      <c r="Z286" s="50"/>
      <c r="AA286" s="50"/>
    </row>
    <row r="287" spans="2:27" outlineLevel="2" x14ac:dyDescent="0.25">
      <c r="B287" s="27">
        <v>69</v>
      </c>
      <c r="C287" s="48"/>
      <c r="D287" s="48"/>
      <c r="E287" s="48"/>
      <c r="F287" s="50"/>
      <c r="G287" s="48"/>
      <c r="H287" s="48"/>
      <c r="I287" s="48"/>
      <c r="J287" s="48"/>
      <c r="K287" s="49"/>
      <c r="L287" s="50"/>
      <c r="M287" s="50"/>
      <c r="N287" s="50"/>
      <c r="O287" s="50"/>
      <c r="P287" s="50"/>
      <c r="Q287" s="50"/>
      <c r="R287" s="50"/>
      <c r="S287" s="50"/>
      <c r="T287" s="26" t="str">
        <f t="shared" si="9"/>
        <v>pass</v>
      </c>
      <c r="U287" s="50"/>
      <c r="V287" s="50"/>
      <c r="W287" s="50"/>
      <c r="X287" s="50"/>
      <c r="Y287" s="50"/>
      <c r="Z287" s="50"/>
      <c r="AA287" s="50"/>
    </row>
    <row r="288" spans="2:27" outlineLevel="2" x14ac:dyDescent="0.25">
      <c r="B288" s="27">
        <v>70</v>
      </c>
      <c r="C288" s="48"/>
      <c r="D288" s="48"/>
      <c r="E288" s="48"/>
      <c r="F288" s="50"/>
      <c r="G288" s="48"/>
      <c r="H288" s="48"/>
      <c r="I288" s="48"/>
      <c r="J288" s="48"/>
      <c r="K288" s="49"/>
      <c r="L288" s="50"/>
      <c r="M288" s="50"/>
      <c r="N288" s="50"/>
      <c r="O288" s="50"/>
      <c r="P288" s="50"/>
      <c r="Q288" s="50"/>
      <c r="R288" s="50"/>
      <c r="S288" s="50"/>
      <c r="T288" s="26" t="str">
        <f t="shared" si="9"/>
        <v>pass</v>
      </c>
      <c r="U288" s="50"/>
      <c r="V288" s="50"/>
      <c r="W288" s="50"/>
      <c r="X288" s="50"/>
      <c r="Y288" s="50"/>
      <c r="Z288" s="50"/>
      <c r="AA288" s="50"/>
    </row>
    <row r="289" spans="2:27" outlineLevel="2" x14ac:dyDescent="0.25">
      <c r="B289" s="27">
        <v>71</v>
      </c>
      <c r="C289" s="48"/>
      <c r="D289" s="48"/>
      <c r="E289" s="48"/>
      <c r="F289" s="50"/>
      <c r="G289" s="48"/>
      <c r="H289" s="48"/>
      <c r="I289" s="48"/>
      <c r="J289" s="48"/>
      <c r="K289" s="49"/>
      <c r="L289" s="50"/>
      <c r="M289" s="50"/>
      <c r="N289" s="50"/>
      <c r="O289" s="50"/>
      <c r="P289" s="50"/>
      <c r="Q289" s="50"/>
      <c r="R289" s="50"/>
      <c r="S289" s="50"/>
      <c r="T289" s="26" t="str">
        <f t="shared" si="9"/>
        <v>pass</v>
      </c>
      <c r="U289" s="50"/>
      <c r="V289" s="50"/>
      <c r="W289" s="50"/>
      <c r="X289" s="50"/>
      <c r="Y289" s="50"/>
      <c r="Z289" s="50"/>
      <c r="AA289" s="50"/>
    </row>
    <row r="290" spans="2:27" outlineLevel="2" x14ac:dyDescent="0.25">
      <c r="B290" s="27">
        <v>72</v>
      </c>
      <c r="C290" s="48"/>
      <c r="D290" s="48"/>
      <c r="E290" s="48"/>
      <c r="F290" s="50"/>
      <c r="G290" s="48"/>
      <c r="H290" s="48"/>
      <c r="I290" s="48"/>
      <c r="J290" s="48"/>
      <c r="K290" s="49"/>
      <c r="L290" s="50"/>
      <c r="M290" s="50"/>
      <c r="N290" s="50"/>
      <c r="O290" s="50"/>
      <c r="P290" s="50"/>
      <c r="Q290" s="50"/>
      <c r="R290" s="50"/>
      <c r="S290" s="50"/>
      <c r="T290" s="26" t="str">
        <f t="shared" si="9"/>
        <v>pass</v>
      </c>
      <c r="U290" s="50"/>
      <c r="V290" s="50"/>
      <c r="W290" s="50"/>
      <c r="X290" s="50"/>
      <c r="Y290" s="50"/>
      <c r="Z290" s="50"/>
      <c r="AA290" s="50"/>
    </row>
    <row r="291" spans="2:27" outlineLevel="2" x14ac:dyDescent="0.25">
      <c r="B291" s="27">
        <v>73</v>
      </c>
      <c r="C291" s="48"/>
      <c r="D291" s="48"/>
      <c r="E291" s="48"/>
      <c r="F291" s="50"/>
      <c r="G291" s="48"/>
      <c r="H291" s="48"/>
      <c r="I291" s="48"/>
      <c r="J291" s="48"/>
      <c r="K291" s="49"/>
      <c r="L291" s="50"/>
      <c r="M291" s="50"/>
      <c r="N291" s="50"/>
      <c r="O291" s="50"/>
      <c r="P291" s="50"/>
      <c r="Q291" s="50"/>
      <c r="R291" s="50"/>
      <c r="S291" s="50"/>
      <c r="T291" s="26" t="str">
        <f t="shared" si="9"/>
        <v>pass</v>
      </c>
      <c r="U291" s="50"/>
      <c r="V291" s="50"/>
      <c r="W291" s="50"/>
      <c r="X291" s="50"/>
      <c r="Y291" s="50"/>
      <c r="Z291" s="50"/>
      <c r="AA291" s="50"/>
    </row>
    <row r="292" spans="2:27" outlineLevel="2" x14ac:dyDescent="0.25">
      <c r="B292" s="27">
        <v>74</v>
      </c>
      <c r="C292" s="48"/>
      <c r="D292" s="48"/>
      <c r="E292" s="48"/>
      <c r="F292" s="50"/>
      <c r="G292" s="48"/>
      <c r="H292" s="48"/>
      <c r="I292" s="48"/>
      <c r="J292" s="48"/>
      <c r="K292" s="49"/>
      <c r="L292" s="50"/>
      <c r="M292" s="50"/>
      <c r="N292" s="50"/>
      <c r="O292" s="50"/>
      <c r="P292" s="50"/>
      <c r="Q292" s="50"/>
      <c r="R292" s="50"/>
      <c r="S292" s="50"/>
      <c r="T292" s="26" t="str">
        <f t="shared" si="9"/>
        <v>pass</v>
      </c>
      <c r="U292" s="50"/>
      <c r="V292" s="50"/>
      <c r="W292" s="50"/>
      <c r="X292" s="50"/>
      <c r="Y292" s="50"/>
      <c r="Z292" s="50"/>
      <c r="AA292" s="50"/>
    </row>
    <row r="293" spans="2:27" outlineLevel="2" x14ac:dyDescent="0.25">
      <c r="B293" s="27">
        <v>75</v>
      </c>
      <c r="C293" s="48"/>
      <c r="D293" s="48"/>
      <c r="E293" s="48"/>
      <c r="F293" s="50"/>
      <c r="G293" s="48"/>
      <c r="H293" s="48"/>
      <c r="I293" s="48"/>
      <c r="J293" s="48"/>
      <c r="K293" s="49"/>
      <c r="L293" s="50"/>
      <c r="M293" s="50"/>
      <c r="N293" s="50"/>
      <c r="O293" s="50"/>
      <c r="P293" s="50"/>
      <c r="Q293" s="50"/>
      <c r="R293" s="50"/>
      <c r="S293" s="50"/>
      <c r="T293" s="26" t="str">
        <f t="shared" si="9"/>
        <v>pass</v>
      </c>
      <c r="U293" s="50"/>
      <c r="V293" s="50"/>
      <c r="W293" s="50"/>
      <c r="X293" s="50"/>
      <c r="Y293" s="50"/>
      <c r="Z293" s="50"/>
      <c r="AA293" s="50"/>
    </row>
    <row r="294" spans="2:27" outlineLevel="2" x14ac:dyDescent="0.25">
      <c r="B294" s="27">
        <v>76</v>
      </c>
      <c r="C294" s="48"/>
      <c r="D294" s="48"/>
      <c r="E294" s="48"/>
      <c r="F294" s="50"/>
      <c r="G294" s="48"/>
      <c r="H294" s="48"/>
      <c r="I294" s="48"/>
      <c r="J294" s="48"/>
      <c r="K294" s="49"/>
      <c r="L294" s="50"/>
      <c r="M294" s="50"/>
      <c r="N294" s="50"/>
      <c r="O294" s="50"/>
      <c r="P294" s="50"/>
      <c r="Q294" s="50"/>
      <c r="R294" s="50"/>
      <c r="S294" s="50"/>
      <c r="T294" s="26" t="str">
        <f t="shared" si="9"/>
        <v>pass</v>
      </c>
      <c r="U294" s="50"/>
      <c r="V294" s="50"/>
      <c r="W294" s="50"/>
      <c r="X294" s="50"/>
      <c r="Y294" s="50"/>
      <c r="Z294" s="50"/>
      <c r="AA294" s="50"/>
    </row>
    <row r="295" spans="2:27" outlineLevel="2" x14ac:dyDescent="0.25">
      <c r="B295" s="27">
        <v>77</v>
      </c>
      <c r="C295" s="48"/>
      <c r="D295" s="48"/>
      <c r="E295" s="48"/>
      <c r="F295" s="50"/>
      <c r="G295" s="48"/>
      <c r="H295" s="48"/>
      <c r="I295" s="48"/>
      <c r="J295" s="48"/>
      <c r="K295" s="49"/>
      <c r="L295" s="50"/>
      <c r="M295" s="50"/>
      <c r="N295" s="50"/>
      <c r="O295" s="50"/>
      <c r="P295" s="50"/>
      <c r="Q295" s="50"/>
      <c r="R295" s="50"/>
      <c r="S295" s="50"/>
      <c r="T295" s="26" t="str">
        <f t="shared" si="9"/>
        <v>pass</v>
      </c>
      <c r="U295" s="50"/>
      <c r="V295" s="50"/>
      <c r="W295" s="50"/>
      <c r="X295" s="50"/>
      <c r="Y295" s="50"/>
      <c r="Z295" s="50"/>
      <c r="AA295" s="50"/>
    </row>
    <row r="296" spans="2:27" outlineLevel="2" x14ac:dyDescent="0.25">
      <c r="B296" s="27">
        <v>78</v>
      </c>
      <c r="C296" s="48"/>
      <c r="D296" s="48"/>
      <c r="E296" s="48"/>
      <c r="F296" s="50"/>
      <c r="G296" s="48"/>
      <c r="H296" s="48"/>
      <c r="I296" s="48"/>
      <c r="J296" s="48"/>
      <c r="K296" s="49"/>
      <c r="L296" s="50"/>
      <c r="M296" s="50"/>
      <c r="N296" s="50"/>
      <c r="O296" s="50"/>
      <c r="P296" s="50"/>
      <c r="Q296" s="50"/>
      <c r="R296" s="50"/>
      <c r="S296" s="50"/>
      <c r="T296" s="26" t="str">
        <f t="shared" si="9"/>
        <v>pass</v>
      </c>
      <c r="U296" s="50"/>
      <c r="V296" s="50"/>
      <c r="W296" s="50"/>
      <c r="X296" s="50"/>
      <c r="Y296" s="50"/>
      <c r="Z296" s="50"/>
      <c r="AA296" s="50"/>
    </row>
    <row r="297" spans="2:27" outlineLevel="2" x14ac:dyDescent="0.25">
      <c r="B297" s="27">
        <v>79</v>
      </c>
      <c r="C297" s="48"/>
      <c r="D297" s="48"/>
      <c r="E297" s="48"/>
      <c r="F297" s="50"/>
      <c r="G297" s="48"/>
      <c r="H297" s="48"/>
      <c r="I297" s="48"/>
      <c r="J297" s="48"/>
      <c r="K297" s="49"/>
      <c r="L297" s="50"/>
      <c r="M297" s="50"/>
      <c r="N297" s="50"/>
      <c r="O297" s="50"/>
      <c r="P297" s="50"/>
      <c r="Q297" s="50"/>
      <c r="R297" s="50"/>
      <c r="S297" s="50"/>
      <c r="T297" s="26" t="str">
        <f t="shared" si="9"/>
        <v>pass</v>
      </c>
      <c r="U297" s="50"/>
      <c r="V297" s="50"/>
      <c r="W297" s="50"/>
      <c r="X297" s="50"/>
      <c r="Y297" s="50"/>
      <c r="Z297" s="50"/>
      <c r="AA297" s="50"/>
    </row>
    <row r="298" spans="2:27" outlineLevel="2" x14ac:dyDescent="0.25">
      <c r="B298" s="27">
        <v>80</v>
      </c>
      <c r="C298" s="48"/>
      <c r="D298" s="48"/>
      <c r="E298" s="48"/>
      <c r="F298" s="50"/>
      <c r="G298" s="48"/>
      <c r="H298" s="48"/>
      <c r="I298" s="48"/>
      <c r="J298" s="48"/>
      <c r="K298" s="49"/>
      <c r="L298" s="50"/>
      <c r="M298" s="50"/>
      <c r="N298" s="50"/>
      <c r="O298" s="50"/>
      <c r="P298" s="50"/>
      <c r="Q298" s="50"/>
      <c r="R298" s="50"/>
      <c r="S298" s="50"/>
      <c r="T298" s="26" t="str">
        <f t="shared" si="9"/>
        <v>pass</v>
      </c>
      <c r="U298" s="50"/>
      <c r="V298" s="50"/>
      <c r="W298" s="50"/>
      <c r="X298" s="50"/>
      <c r="Y298" s="50"/>
      <c r="Z298" s="50"/>
      <c r="AA298" s="50"/>
    </row>
    <row r="299" spans="2:27" outlineLevel="2" x14ac:dyDescent="0.25">
      <c r="B299" s="27">
        <v>81</v>
      </c>
      <c r="C299" s="48"/>
      <c r="D299" s="48"/>
      <c r="E299" s="48"/>
      <c r="F299" s="50"/>
      <c r="G299" s="48"/>
      <c r="H299" s="48"/>
      <c r="I299" s="48"/>
      <c r="J299" s="48"/>
      <c r="K299" s="49"/>
      <c r="L299" s="50"/>
      <c r="M299" s="50"/>
      <c r="N299" s="50"/>
      <c r="O299" s="50"/>
      <c r="P299" s="50"/>
      <c r="Q299" s="50"/>
      <c r="R299" s="50"/>
      <c r="S299" s="50"/>
      <c r="T299" s="26" t="str">
        <f t="shared" si="9"/>
        <v>pass</v>
      </c>
      <c r="U299" s="50"/>
      <c r="V299" s="50"/>
      <c r="W299" s="50"/>
      <c r="X299" s="50"/>
      <c r="Y299" s="50"/>
      <c r="Z299" s="50"/>
      <c r="AA299" s="50"/>
    </row>
    <row r="300" spans="2:27" outlineLevel="2" x14ac:dyDescent="0.25">
      <c r="B300" s="27">
        <v>82</v>
      </c>
      <c r="C300" s="48"/>
      <c r="D300" s="48"/>
      <c r="E300" s="48"/>
      <c r="F300" s="50"/>
      <c r="G300" s="48"/>
      <c r="H300" s="48"/>
      <c r="I300" s="48"/>
      <c r="J300" s="48"/>
      <c r="K300" s="49"/>
      <c r="L300" s="50"/>
      <c r="M300" s="50"/>
      <c r="N300" s="50"/>
      <c r="O300" s="50"/>
      <c r="P300" s="50"/>
      <c r="Q300" s="50"/>
      <c r="R300" s="50"/>
      <c r="S300" s="50"/>
      <c r="T300" s="26" t="str">
        <f t="shared" si="9"/>
        <v>pass</v>
      </c>
      <c r="U300" s="50"/>
      <c r="V300" s="50"/>
      <c r="W300" s="50"/>
      <c r="X300" s="50"/>
      <c r="Y300" s="50"/>
      <c r="Z300" s="50"/>
      <c r="AA300" s="50"/>
    </row>
    <row r="301" spans="2:27" outlineLevel="2" x14ac:dyDescent="0.25">
      <c r="B301" s="27">
        <v>83</v>
      </c>
      <c r="C301" s="48"/>
      <c r="D301" s="48"/>
      <c r="E301" s="48"/>
      <c r="F301" s="50"/>
      <c r="G301" s="48"/>
      <c r="H301" s="48"/>
      <c r="I301" s="48"/>
      <c r="J301" s="48"/>
      <c r="K301" s="49"/>
      <c r="L301" s="50"/>
      <c r="M301" s="50"/>
      <c r="N301" s="50"/>
      <c r="O301" s="50"/>
      <c r="P301" s="50"/>
      <c r="Q301" s="50"/>
      <c r="R301" s="50"/>
      <c r="S301" s="50"/>
      <c r="T301" s="26" t="str">
        <f t="shared" si="9"/>
        <v>pass</v>
      </c>
      <c r="U301" s="50"/>
      <c r="V301" s="50"/>
      <c r="W301" s="50"/>
      <c r="X301" s="50"/>
      <c r="Y301" s="50"/>
      <c r="Z301" s="50"/>
      <c r="AA301" s="50"/>
    </row>
    <row r="302" spans="2:27" outlineLevel="2" x14ac:dyDescent="0.25">
      <c r="B302" s="27">
        <v>84</v>
      </c>
      <c r="C302" s="48"/>
      <c r="D302" s="48"/>
      <c r="E302" s="48"/>
      <c r="F302" s="50"/>
      <c r="G302" s="48"/>
      <c r="H302" s="48"/>
      <c r="I302" s="48"/>
      <c r="J302" s="48"/>
      <c r="K302" s="49"/>
      <c r="L302" s="50"/>
      <c r="M302" s="50"/>
      <c r="N302" s="50"/>
      <c r="O302" s="50"/>
      <c r="P302" s="50"/>
      <c r="Q302" s="50"/>
      <c r="R302" s="50"/>
      <c r="S302" s="50"/>
      <c r="T302" s="26" t="str">
        <f t="shared" si="9"/>
        <v>pass</v>
      </c>
      <c r="U302" s="50"/>
      <c r="V302" s="50"/>
      <c r="W302" s="50"/>
      <c r="X302" s="50"/>
      <c r="Y302" s="50"/>
      <c r="Z302" s="50"/>
      <c r="AA302" s="50"/>
    </row>
    <row r="303" spans="2:27" outlineLevel="2" x14ac:dyDescent="0.25">
      <c r="B303" s="27">
        <v>85</v>
      </c>
      <c r="C303" s="48"/>
      <c r="D303" s="48"/>
      <c r="E303" s="48"/>
      <c r="F303" s="50"/>
      <c r="G303" s="48"/>
      <c r="H303" s="48"/>
      <c r="I303" s="48"/>
      <c r="J303" s="48"/>
      <c r="K303" s="49"/>
      <c r="L303" s="50"/>
      <c r="M303" s="50"/>
      <c r="N303" s="50"/>
      <c r="O303" s="50"/>
      <c r="P303" s="50"/>
      <c r="Q303" s="50"/>
      <c r="R303" s="50"/>
      <c r="S303" s="50"/>
      <c r="T303" s="26" t="str">
        <f t="shared" si="9"/>
        <v>pass</v>
      </c>
      <c r="U303" s="50"/>
      <c r="V303" s="50"/>
      <c r="W303" s="50"/>
      <c r="X303" s="50"/>
      <c r="Y303" s="50"/>
      <c r="Z303" s="50"/>
      <c r="AA303" s="50"/>
    </row>
    <row r="304" spans="2:27" outlineLevel="2" x14ac:dyDescent="0.25">
      <c r="B304" s="27">
        <v>86</v>
      </c>
      <c r="C304" s="48"/>
      <c r="D304" s="48"/>
      <c r="E304" s="48"/>
      <c r="F304" s="50"/>
      <c r="G304" s="48"/>
      <c r="H304" s="48"/>
      <c r="I304" s="48"/>
      <c r="J304" s="48"/>
      <c r="K304" s="49"/>
      <c r="L304" s="50"/>
      <c r="M304" s="50"/>
      <c r="N304" s="50"/>
      <c r="O304" s="50"/>
      <c r="P304" s="50"/>
      <c r="Q304" s="50"/>
      <c r="R304" s="50"/>
      <c r="S304" s="50"/>
      <c r="T304" s="26" t="str">
        <f t="shared" si="9"/>
        <v>pass</v>
      </c>
      <c r="U304" s="50"/>
      <c r="V304" s="50"/>
      <c r="W304" s="50"/>
      <c r="X304" s="50"/>
      <c r="Y304" s="50"/>
      <c r="Z304" s="50"/>
      <c r="AA304" s="50"/>
    </row>
    <row r="305" spans="2:27" outlineLevel="2" x14ac:dyDescent="0.25">
      <c r="B305" s="27">
        <v>87</v>
      </c>
      <c r="C305" s="48"/>
      <c r="D305" s="48"/>
      <c r="E305" s="48"/>
      <c r="F305" s="50"/>
      <c r="G305" s="48"/>
      <c r="H305" s="48"/>
      <c r="I305" s="48"/>
      <c r="J305" s="48"/>
      <c r="K305" s="49"/>
      <c r="L305" s="50"/>
      <c r="M305" s="50"/>
      <c r="N305" s="50"/>
      <c r="O305" s="50"/>
      <c r="P305" s="50"/>
      <c r="Q305" s="50"/>
      <c r="R305" s="50"/>
      <c r="S305" s="50"/>
      <c r="T305" s="26" t="str">
        <f t="shared" si="9"/>
        <v>pass</v>
      </c>
      <c r="U305" s="50"/>
      <c r="V305" s="50"/>
      <c r="W305" s="50"/>
      <c r="X305" s="50"/>
      <c r="Y305" s="50"/>
      <c r="Z305" s="50"/>
      <c r="AA305" s="50"/>
    </row>
    <row r="306" spans="2:27" outlineLevel="2" x14ac:dyDescent="0.25">
      <c r="B306" s="27">
        <v>88</v>
      </c>
      <c r="C306" s="48"/>
      <c r="D306" s="48"/>
      <c r="E306" s="48"/>
      <c r="F306" s="50"/>
      <c r="G306" s="48"/>
      <c r="H306" s="48"/>
      <c r="I306" s="48"/>
      <c r="J306" s="48"/>
      <c r="K306" s="49"/>
      <c r="L306" s="50"/>
      <c r="M306" s="50"/>
      <c r="N306" s="50"/>
      <c r="O306" s="50"/>
      <c r="P306" s="50"/>
      <c r="Q306" s="50"/>
      <c r="R306" s="50"/>
      <c r="S306" s="50"/>
      <c r="T306" s="26" t="str">
        <f t="shared" si="9"/>
        <v>pass</v>
      </c>
      <c r="U306" s="50"/>
      <c r="V306" s="50"/>
      <c r="W306" s="50"/>
      <c r="X306" s="50"/>
      <c r="Y306" s="50"/>
      <c r="Z306" s="50"/>
      <c r="AA306" s="50"/>
    </row>
    <row r="307" spans="2:27" outlineLevel="2" x14ac:dyDescent="0.25">
      <c r="B307" s="27">
        <v>89</v>
      </c>
      <c r="C307" s="48"/>
      <c r="D307" s="48"/>
      <c r="E307" s="48"/>
      <c r="F307" s="50"/>
      <c r="G307" s="48"/>
      <c r="H307" s="48"/>
      <c r="I307" s="48"/>
      <c r="J307" s="48"/>
      <c r="K307" s="49"/>
      <c r="L307" s="50"/>
      <c r="M307" s="50"/>
      <c r="N307" s="50"/>
      <c r="O307" s="50"/>
      <c r="P307" s="50"/>
      <c r="Q307" s="50"/>
      <c r="R307" s="50"/>
      <c r="S307" s="50"/>
      <c r="T307" s="26" t="str">
        <f t="shared" si="9"/>
        <v>pass</v>
      </c>
      <c r="U307" s="50"/>
      <c r="V307" s="50"/>
      <c r="W307" s="50"/>
      <c r="X307" s="50"/>
      <c r="Y307" s="50"/>
      <c r="Z307" s="50"/>
      <c r="AA307" s="50"/>
    </row>
    <row r="308" spans="2:27" outlineLevel="2" x14ac:dyDescent="0.25">
      <c r="B308" s="27">
        <v>90</v>
      </c>
      <c r="C308" s="48"/>
      <c r="D308" s="48"/>
      <c r="E308" s="48"/>
      <c r="F308" s="50"/>
      <c r="G308" s="48"/>
      <c r="H308" s="48"/>
      <c r="I308" s="48"/>
      <c r="J308" s="48"/>
      <c r="K308" s="49"/>
      <c r="L308" s="50"/>
      <c r="M308" s="50"/>
      <c r="N308" s="50"/>
      <c r="O308" s="50"/>
      <c r="P308" s="50"/>
      <c r="Q308" s="50"/>
      <c r="R308" s="50"/>
      <c r="S308" s="50"/>
      <c r="T308" s="26" t="str">
        <f t="shared" si="9"/>
        <v>pass</v>
      </c>
      <c r="U308" s="50"/>
      <c r="V308" s="50"/>
      <c r="W308" s="50"/>
      <c r="X308" s="50"/>
      <c r="Y308" s="50"/>
      <c r="Z308" s="50"/>
      <c r="AA308" s="50"/>
    </row>
    <row r="309" spans="2:27" outlineLevel="2" x14ac:dyDescent="0.25">
      <c r="B309" s="27">
        <v>91</v>
      </c>
      <c r="C309" s="48"/>
      <c r="D309" s="48"/>
      <c r="E309" s="48"/>
      <c r="F309" s="50"/>
      <c r="G309" s="48"/>
      <c r="H309" s="48"/>
      <c r="I309" s="48"/>
      <c r="J309" s="48"/>
      <c r="K309" s="49"/>
      <c r="L309" s="50"/>
      <c r="M309" s="50"/>
      <c r="N309" s="50"/>
      <c r="O309" s="50"/>
      <c r="P309" s="50"/>
      <c r="Q309" s="50"/>
      <c r="R309" s="50"/>
      <c r="S309" s="50"/>
      <c r="T309" s="26" t="str">
        <f t="shared" si="9"/>
        <v>pass</v>
      </c>
      <c r="U309" s="50"/>
      <c r="V309" s="50"/>
      <c r="W309" s="50"/>
      <c r="X309" s="50"/>
      <c r="Y309" s="50"/>
      <c r="Z309" s="50"/>
      <c r="AA309" s="50"/>
    </row>
    <row r="310" spans="2:27" outlineLevel="2" x14ac:dyDescent="0.25">
      <c r="B310" s="27">
        <v>92</v>
      </c>
      <c r="C310" s="48"/>
      <c r="D310" s="48"/>
      <c r="E310" s="48"/>
      <c r="F310" s="50"/>
      <c r="G310" s="48"/>
      <c r="H310" s="48"/>
      <c r="I310" s="48"/>
      <c r="J310" s="48"/>
      <c r="K310" s="49"/>
      <c r="L310" s="50"/>
      <c r="M310" s="50"/>
      <c r="N310" s="50"/>
      <c r="O310" s="50"/>
      <c r="P310" s="50"/>
      <c r="Q310" s="50"/>
      <c r="R310" s="50"/>
      <c r="S310" s="50"/>
      <c r="T310" s="26" t="str">
        <f t="shared" si="9"/>
        <v>pass</v>
      </c>
      <c r="U310" s="50"/>
      <c r="V310" s="50"/>
      <c r="W310" s="50"/>
      <c r="X310" s="50"/>
      <c r="Y310" s="50"/>
      <c r="Z310" s="50"/>
      <c r="AA310" s="50"/>
    </row>
    <row r="311" spans="2:27" outlineLevel="2" x14ac:dyDescent="0.25">
      <c r="B311" s="27">
        <v>93</v>
      </c>
      <c r="C311" s="48"/>
      <c r="D311" s="48"/>
      <c r="E311" s="48"/>
      <c r="F311" s="50"/>
      <c r="G311" s="48"/>
      <c r="H311" s="48"/>
      <c r="I311" s="48"/>
      <c r="J311" s="48"/>
      <c r="K311" s="49"/>
      <c r="L311" s="50"/>
      <c r="M311" s="50"/>
      <c r="N311" s="50"/>
      <c r="O311" s="50"/>
      <c r="P311" s="50"/>
      <c r="Q311" s="50"/>
      <c r="R311" s="50"/>
      <c r="S311" s="50"/>
      <c r="T311" s="26" t="str">
        <f t="shared" si="9"/>
        <v>pass</v>
      </c>
      <c r="U311" s="50"/>
      <c r="V311" s="50"/>
      <c r="W311" s="50"/>
      <c r="X311" s="50"/>
      <c r="Y311" s="50"/>
      <c r="Z311" s="50"/>
      <c r="AA311" s="50"/>
    </row>
    <row r="312" spans="2:27" outlineLevel="2" x14ac:dyDescent="0.25">
      <c r="B312" s="27">
        <v>94</v>
      </c>
      <c r="C312" s="48"/>
      <c r="D312" s="48"/>
      <c r="E312" s="48"/>
      <c r="F312" s="50"/>
      <c r="G312" s="48"/>
      <c r="H312" s="48"/>
      <c r="I312" s="48"/>
      <c r="J312" s="48"/>
      <c r="K312" s="49"/>
      <c r="L312" s="50"/>
      <c r="M312" s="50"/>
      <c r="N312" s="50"/>
      <c r="O312" s="50"/>
      <c r="P312" s="50"/>
      <c r="Q312" s="50"/>
      <c r="R312" s="50"/>
      <c r="S312" s="50"/>
      <c r="T312" s="26" t="str">
        <f t="shared" si="9"/>
        <v>pass</v>
      </c>
      <c r="U312" s="50"/>
      <c r="V312" s="50"/>
      <c r="W312" s="50"/>
      <c r="X312" s="50"/>
      <c r="Y312" s="50"/>
      <c r="Z312" s="50"/>
      <c r="AA312" s="50"/>
    </row>
    <row r="313" spans="2:27" outlineLevel="2" x14ac:dyDescent="0.25">
      <c r="B313" s="27">
        <v>95</v>
      </c>
      <c r="C313" s="48"/>
      <c r="D313" s="48"/>
      <c r="E313" s="48"/>
      <c r="F313" s="50"/>
      <c r="G313" s="48"/>
      <c r="H313" s="48"/>
      <c r="I313" s="48"/>
      <c r="J313" s="48"/>
      <c r="K313" s="49"/>
      <c r="L313" s="50"/>
      <c r="M313" s="50"/>
      <c r="N313" s="50"/>
      <c r="O313" s="50"/>
      <c r="P313" s="50"/>
      <c r="Q313" s="50"/>
      <c r="R313" s="50"/>
      <c r="S313" s="50"/>
      <c r="T313" s="26" t="str">
        <f t="shared" si="9"/>
        <v>pass</v>
      </c>
      <c r="U313" s="50"/>
      <c r="V313" s="50"/>
      <c r="W313" s="50"/>
      <c r="X313" s="50"/>
      <c r="Y313" s="50"/>
      <c r="Z313" s="50"/>
      <c r="AA313" s="50"/>
    </row>
    <row r="314" spans="2:27" outlineLevel="2" x14ac:dyDescent="0.25">
      <c r="B314" s="27">
        <v>96</v>
      </c>
      <c r="C314" s="48"/>
      <c r="D314" s="48"/>
      <c r="E314" s="48"/>
      <c r="F314" s="50"/>
      <c r="G314" s="48"/>
      <c r="H314" s="48"/>
      <c r="I314" s="48"/>
      <c r="J314" s="48"/>
      <c r="K314" s="49"/>
      <c r="L314" s="50"/>
      <c r="M314" s="50"/>
      <c r="N314" s="50"/>
      <c r="O314" s="50"/>
      <c r="P314" s="50"/>
      <c r="Q314" s="50"/>
      <c r="R314" s="50"/>
      <c r="S314" s="50"/>
      <c r="T314" s="26" t="str">
        <f t="shared" si="9"/>
        <v>pass</v>
      </c>
      <c r="U314" s="50"/>
      <c r="V314" s="50"/>
      <c r="W314" s="50"/>
      <c r="X314" s="50"/>
      <c r="Y314" s="50"/>
      <c r="Z314" s="50"/>
      <c r="AA314" s="50"/>
    </row>
    <row r="315" spans="2:27" outlineLevel="2" x14ac:dyDescent="0.25">
      <c r="B315" s="27">
        <v>97</v>
      </c>
      <c r="C315" s="48"/>
      <c r="D315" s="48"/>
      <c r="E315" s="48"/>
      <c r="F315" s="50"/>
      <c r="G315" s="48"/>
      <c r="H315" s="48"/>
      <c r="I315" s="48"/>
      <c r="J315" s="48"/>
      <c r="K315" s="49"/>
      <c r="L315" s="50"/>
      <c r="M315" s="50"/>
      <c r="N315" s="50"/>
      <c r="O315" s="50"/>
      <c r="P315" s="50"/>
      <c r="Q315" s="50"/>
      <c r="R315" s="50"/>
      <c r="S315" s="50"/>
      <c r="T315" s="26" t="str">
        <f t="shared" ref="T315:T346" si="10">IF(AND(C315&lt;&gt;"",SUM(K315,M315,O315,Q315,S315)=1),"pass",IF(AND(C315="",SUM(K315,M315,O315,Q315,S315)=0),"pass","fail"))</f>
        <v>pass</v>
      </c>
      <c r="U315" s="50"/>
      <c r="V315" s="50"/>
      <c r="W315" s="50"/>
      <c r="X315" s="50"/>
      <c r="Y315" s="50"/>
      <c r="Z315" s="50"/>
      <c r="AA315" s="50"/>
    </row>
    <row r="316" spans="2:27" outlineLevel="2" x14ac:dyDescent="0.25">
      <c r="B316" s="27">
        <v>98</v>
      </c>
      <c r="C316" s="48"/>
      <c r="D316" s="48"/>
      <c r="E316" s="48"/>
      <c r="F316" s="50"/>
      <c r="G316" s="48"/>
      <c r="H316" s="48"/>
      <c r="I316" s="48"/>
      <c r="J316" s="48"/>
      <c r="K316" s="49"/>
      <c r="L316" s="50"/>
      <c r="M316" s="50"/>
      <c r="N316" s="50"/>
      <c r="O316" s="50"/>
      <c r="P316" s="50"/>
      <c r="Q316" s="50"/>
      <c r="R316" s="50"/>
      <c r="S316" s="50"/>
      <c r="T316" s="26" t="str">
        <f t="shared" si="10"/>
        <v>pass</v>
      </c>
      <c r="U316" s="50"/>
      <c r="V316" s="50"/>
      <c r="W316" s="50"/>
      <c r="X316" s="50"/>
      <c r="Y316" s="50"/>
      <c r="Z316" s="50"/>
      <c r="AA316" s="50"/>
    </row>
    <row r="317" spans="2:27" outlineLevel="2" x14ac:dyDescent="0.25">
      <c r="B317" s="27">
        <v>99</v>
      </c>
      <c r="C317" s="48"/>
      <c r="D317" s="48"/>
      <c r="E317" s="48"/>
      <c r="F317" s="50"/>
      <c r="G317" s="48"/>
      <c r="H317" s="48"/>
      <c r="I317" s="48"/>
      <c r="J317" s="48"/>
      <c r="K317" s="49"/>
      <c r="L317" s="50"/>
      <c r="M317" s="50"/>
      <c r="N317" s="50"/>
      <c r="O317" s="50"/>
      <c r="P317" s="50"/>
      <c r="Q317" s="50"/>
      <c r="R317" s="50"/>
      <c r="S317" s="50"/>
      <c r="T317" s="26" t="str">
        <f t="shared" si="10"/>
        <v>pass</v>
      </c>
      <c r="U317" s="50"/>
      <c r="V317" s="50"/>
      <c r="W317" s="50"/>
      <c r="X317" s="50"/>
      <c r="Y317" s="50"/>
      <c r="Z317" s="50"/>
      <c r="AA317" s="50"/>
    </row>
    <row r="318" spans="2:27" outlineLevel="2" x14ac:dyDescent="0.25">
      <c r="B318" s="27">
        <v>100</v>
      </c>
      <c r="C318" s="48"/>
      <c r="D318" s="48"/>
      <c r="E318" s="48"/>
      <c r="F318" s="50"/>
      <c r="G318" s="48"/>
      <c r="H318" s="48"/>
      <c r="I318" s="48"/>
      <c r="J318" s="48"/>
      <c r="K318" s="49"/>
      <c r="L318" s="50"/>
      <c r="M318" s="50"/>
      <c r="N318" s="50"/>
      <c r="O318" s="50"/>
      <c r="P318" s="50"/>
      <c r="Q318" s="50"/>
      <c r="R318" s="50"/>
      <c r="S318" s="50"/>
      <c r="T318" s="26" t="str">
        <f t="shared" si="10"/>
        <v>pass</v>
      </c>
      <c r="U318" s="50"/>
      <c r="V318" s="50"/>
      <c r="W318" s="50"/>
      <c r="X318" s="50"/>
      <c r="Y318" s="50"/>
      <c r="Z318" s="50"/>
      <c r="AA318" s="50"/>
    </row>
    <row r="319" spans="2:27" outlineLevel="2" x14ac:dyDescent="0.25">
      <c r="B319" s="27">
        <v>101</v>
      </c>
      <c r="C319" s="48"/>
      <c r="D319" s="48"/>
      <c r="E319" s="48"/>
      <c r="F319" s="50"/>
      <c r="G319" s="48"/>
      <c r="H319" s="48"/>
      <c r="I319" s="48"/>
      <c r="J319" s="48"/>
      <c r="K319" s="49"/>
      <c r="L319" s="50"/>
      <c r="M319" s="50"/>
      <c r="N319" s="50"/>
      <c r="O319" s="50"/>
      <c r="P319" s="50"/>
      <c r="Q319" s="50"/>
      <c r="R319" s="50"/>
      <c r="S319" s="50"/>
      <c r="T319" s="26" t="str">
        <f t="shared" si="10"/>
        <v>pass</v>
      </c>
      <c r="U319" s="50"/>
      <c r="V319" s="50"/>
      <c r="W319" s="50"/>
      <c r="X319" s="50"/>
      <c r="Y319" s="50"/>
      <c r="Z319" s="50"/>
      <c r="AA319" s="50"/>
    </row>
    <row r="320" spans="2:27" outlineLevel="2" x14ac:dyDescent="0.25">
      <c r="B320" s="27">
        <v>102</v>
      </c>
      <c r="C320" s="48"/>
      <c r="D320" s="48"/>
      <c r="E320" s="48"/>
      <c r="F320" s="50"/>
      <c r="G320" s="48"/>
      <c r="H320" s="48"/>
      <c r="I320" s="48"/>
      <c r="J320" s="48"/>
      <c r="K320" s="49"/>
      <c r="L320" s="50"/>
      <c r="M320" s="50"/>
      <c r="N320" s="50"/>
      <c r="O320" s="50"/>
      <c r="P320" s="50"/>
      <c r="Q320" s="50"/>
      <c r="R320" s="50"/>
      <c r="S320" s="50"/>
      <c r="T320" s="26" t="str">
        <f t="shared" si="10"/>
        <v>pass</v>
      </c>
      <c r="U320" s="50"/>
      <c r="V320" s="50"/>
      <c r="W320" s="50"/>
      <c r="X320" s="50"/>
      <c r="Y320" s="50"/>
      <c r="Z320" s="50"/>
      <c r="AA320" s="50"/>
    </row>
    <row r="321" spans="2:27" outlineLevel="2" x14ac:dyDescent="0.25">
      <c r="B321" s="27">
        <v>103</v>
      </c>
      <c r="C321" s="48"/>
      <c r="D321" s="48"/>
      <c r="E321" s="48"/>
      <c r="F321" s="50"/>
      <c r="G321" s="48"/>
      <c r="H321" s="48"/>
      <c r="I321" s="48"/>
      <c r="J321" s="48"/>
      <c r="K321" s="49"/>
      <c r="L321" s="50"/>
      <c r="M321" s="50"/>
      <c r="N321" s="50"/>
      <c r="O321" s="50"/>
      <c r="P321" s="50"/>
      <c r="Q321" s="50"/>
      <c r="R321" s="50"/>
      <c r="S321" s="50"/>
      <c r="T321" s="26" t="str">
        <f t="shared" si="10"/>
        <v>pass</v>
      </c>
      <c r="U321" s="50"/>
      <c r="V321" s="50"/>
      <c r="W321" s="50"/>
      <c r="X321" s="50"/>
      <c r="Y321" s="50"/>
      <c r="Z321" s="50"/>
      <c r="AA321" s="50"/>
    </row>
    <row r="322" spans="2:27" outlineLevel="2" x14ac:dyDescent="0.25">
      <c r="B322" s="27">
        <v>104</v>
      </c>
      <c r="C322" s="48"/>
      <c r="D322" s="48"/>
      <c r="E322" s="48"/>
      <c r="F322" s="50"/>
      <c r="G322" s="48"/>
      <c r="H322" s="48"/>
      <c r="I322" s="48"/>
      <c r="J322" s="48"/>
      <c r="K322" s="49"/>
      <c r="L322" s="50"/>
      <c r="M322" s="50"/>
      <c r="N322" s="50"/>
      <c r="O322" s="50"/>
      <c r="P322" s="50"/>
      <c r="Q322" s="50"/>
      <c r="R322" s="50"/>
      <c r="S322" s="50"/>
      <c r="T322" s="26" t="str">
        <f t="shared" si="10"/>
        <v>pass</v>
      </c>
      <c r="U322" s="50"/>
      <c r="V322" s="50"/>
      <c r="W322" s="50"/>
      <c r="X322" s="50"/>
      <c r="Y322" s="50"/>
      <c r="Z322" s="50"/>
      <c r="AA322" s="50"/>
    </row>
    <row r="323" spans="2:27" outlineLevel="2" x14ac:dyDescent="0.25">
      <c r="B323" s="27">
        <v>105</v>
      </c>
      <c r="C323" s="48"/>
      <c r="D323" s="48"/>
      <c r="E323" s="48"/>
      <c r="F323" s="50"/>
      <c r="G323" s="48"/>
      <c r="H323" s="48"/>
      <c r="I323" s="48"/>
      <c r="J323" s="48"/>
      <c r="K323" s="49"/>
      <c r="L323" s="50"/>
      <c r="M323" s="50"/>
      <c r="N323" s="50"/>
      <c r="O323" s="50"/>
      <c r="P323" s="50"/>
      <c r="Q323" s="50"/>
      <c r="R323" s="50"/>
      <c r="S323" s="50"/>
      <c r="T323" s="26" t="str">
        <f t="shared" si="10"/>
        <v>pass</v>
      </c>
      <c r="U323" s="50"/>
      <c r="V323" s="50"/>
      <c r="W323" s="50"/>
      <c r="X323" s="50"/>
      <c r="Y323" s="50"/>
      <c r="Z323" s="50"/>
      <c r="AA323" s="50"/>
    </row>
    <row r="324" spans="2:27" outlineLevel="2" x14ac:dyDescent="0.25">
      <c r="B324" s="27">
        <v>106</v>
      </c>
      <c r="C324" s="48"/>
      <c r="D324" s="48"/>
      <c r="E324" s="48"/>
      <c r="F324" s="50"/>
      <c r="G324" s="48"/>
      <c r="H324" s="48"/>
      <c r="I324" s="48"/>
      <c r="J324" s="48"/>
      <c r="K324" s="49"/>
      <c r="L324" s="50"/>
      <c r="M324" s="50"/>
      <c r="N324" s="50"/>
      <c r="O324" s="50"/>
      <c r="P324" s="50"/>
      <c r="Q324" s="50"/>
      <c r="R324" s="50"/>
      <c r="S324" s="50"/>
      <c r="T324" s="26" t="str">
        <f t="shared" si="10"/>
        <v>pass</v>
      </c>
      <c r="U324" s="50"/>
      <c r="V324" s="50"/>
      <c r="W324" s="50"/>
      <c r="X324" s="50"/>
      <c r="Y324" s="50"/>
      <c r="Z324" s="50"/>
      <c r="AA324" s="50"/>
    </row>
    <row r="325" spans="2:27" outlineLevel="2" x14ac:dyDescent="0.25">
      <c r="B325" s="27">
        <v>107</v>
      </c>
      <c r="C325" s="48"/>
      <c r="D325" s="48"/>
      <c r="E325" s="48"/>
      <c r="F325" s="50"/>
      <c r="G325" s="48"/>
      <c r="H325" s="48"/>
      <c r="I325" s="48"/>
      <c r="J325" s="48"/>
      <c r="K325" s="49"/>
      <c r="L325" s="50"/>
      <c r="M325" s="50"/>
      <c r="N325" s="50"/>
      <c r="O325" s="50"/>
      <c r="P325" s="50"/>
      <c r="Q325" s="50"/>
      <c r="R325" s="50"/>
      <c r="S325" s="50"/>
      <c r="T325" s="26" t="str">
        <f t="shared" si="10"/>
        <v>pass</v>
      </c>
      <c r="U325" s="50"/>
      <c r="V325" s="50"/>
      <c r="W325" s="50"/>
      <c r="X325" s="50"/>
      <c r="Y325" s="50"/>
      <c r="Z325" s="50"/>
      <c r="AA325" s="50"/>
    </row>
    <row r="326" spans="2:27" outlineLevel="2" x14ac:dyDescent="0.25">
      <c r="B326" s="27">
        <v>108</v>
      </c>
      <c r="C326" s="48"/>
      <c r="D326" s="48"/>
      <c r="E326" s="48"/>
      <c r="F326" s="50"/>
      <c r="G326" s="48"/>
      <c r="H326" s="48"/>
      <c r="I326" s="48"/>
      <c r="J326" s="48"/>
      <c r="K326" s="49"/>
      <c r="L326" s="50"/>
      <c r="M326" s="50"/>
      <c r="N326" s="50"/>
      <c r="O326" s="50"/>
      <c r="P326" s="50"/>
      <c r="Q326" s="50"/>
      <c r="R326" s="50"/>
      <c r="S326" s="50"/>
      <c r="T326" s="26" t="str">
        <f t="shared" si="10"/>
        <v>pass</v>
      </c>
      <c r="U326" s="50"/>
      <c r="V326" s="50"/>
      <c r="W326" s="50"/>
      <c r="X326" s="50"/>
      <c r="Y326" s="50"/>
      <c r="Z326" s="50"/>
      <c r="AA326" s="50"/>
    </row>
    <row r="327" spans="2:27" outlineLevel="2" x14ac:dyDescent="0.25">
      <c r="B327" s="27">
        <v>109</v>
      </c>
      <c r="C327" s="48"/>
      <c r="D327" s="48"/>
      <c r="E327" s="48"/>
      <c r="F327" s="50"/>
      <c r="G327" s="48"/>
      <c r="H327" s="48"/>
      <c r="I327" s="48"/>
      <c r="J327" s="48"/>
      <c r="K327" s="49"/>
      <c r="L327" s="50"/>
      <c r="M327" s="50"/>
      <c r="N327" s="50"/>
      <c r="O327" s="50"/>
      <c r="P327" s="50"/>
      <c r="Q327" s="50"/>
      <c r="R327" s="50"/>
      <c r="S327" s="50"/>
      <c r="T327" s="26" t="str">
        <f t="shared" si="10"/>
        <v>pass</v>
      </c>
      <c r="U327" s="50"/>
      <c r="V327" s="50"/>
      <c r="W327" s="50"/>
      <c r="X327" s="50"/>
      <c r="Y327" s="50"/>
      <c r="Z327" s="50"/>
      <c r="AA327" s="50"/>
    </row>
    <row r="328" spans="2:27" outlineLevel="2" x14ac:dyDescent="0.25">
      <c r="B328" s="27">
        <v>110</v>
      </c>
      <c r="C328" s="48"/>
      <c r="D328" s="48"/>
      <c r="E328" s="48"/>
      <c r="F328" s="50"/>
      <c r="G328" s="48"/>
      <c r="H328" s="48"/>
      <c r="I328" s="48"/>
      <c r="J328" s="48"/>
      <c r="K328" s="49"/>
      <c r="L328" s="50"/>
      <c r="M328" s="50"/>
      <c r="N328" s="50"/>
      <c r="O328" s="50"/>
      <c r="P328" s="50"/>
      <c r="Q328" s="50"/>
      <c r="R328" s="50"/>
      <c r="S328" s="50"/>
      <c r="T328" s="26" t="str">
        <f t="shared" si="10"/>
        <v>pass</v>
      </c>
      <c r="U328" s="50"/>
      <c r="V328" s="50"/>
      <c r="W328" s="50"/>
      <c r="X328" s="50"/>
      <c r="Y328" s="50"/>
      <c r="Z328" s="50"/>
      <c r="AA328" s="50"/>
    </row>
    <row r="329" spans="2:27" outlineLevel="2" x14ac:dyDescent="0.25">
      <c r="B329" s="27">
        <v>111</v>
      </c>
      <c r="C329" s="48"/>
      <c r="D329" s="48"/>
      <c r="E329" s="48"/>
      <c r="F329" s="50"/>
      <c r="G329" s="48"/>
      <c r="H329" s="48"/>
      <c r="I329" s="48"/>
      <c r="J329" s="48"/>
      <c r="K329" s="49"/>
      <c r="L329" s="50"/>
      <c r="M329" s="50"/>
      <c r="N329" s="50"/>
      <c r="O329" s="50"/>
      <c r="P329" s="50"/>
      <c r="Q329" s="50"/>
      <c r="R329" s="50"/>
      <c r="S329" s="50"/>
      <c r="T329" s="26" t="str">
        <f t="shared" si="10"/>
        <v>pass</v>
      </c>
      <c r="U329" s="50"/>
      <c r="V329" s="50"/>
      <c r="W329" s="50"/>
      <c r="X329" s="50"/>
      <c r="Y329" s="50"/>
      <c r="Z329" s="50"/>
      <c r="AA329" s="50"/>
    </row>
    <row r="330" spans="2:27" outlineLevel="2" x14ac:dyDescent="0.25">
      <c r="B330" s="27">
        <v>112</v>
      </c>
      <c r="C330" s="48"/>
      <c r="D330" s="48"/>
      <c r="E330" s="48"/>
      <c r="F330" s="50"/>
      <c r="G330" s="48"/>
      <c r="H330" s="48"/>
      <c r="I330" s="48"/>
      <c r="J330" s="48"/>
      <c r="K330" s="49"/>
      <c r="L330" s="50"/>
      <c r="M330" s="50"/>
      <c r="N330" s="50"/>
      <c r="O330" s="50"/>
      <c r="P330" s="50"/>
      <c r="Q330" s="50"/>
      <c r="R330" s="50"/>
      <c r="S330" s="50"/>
      <c r="T330" s="26" t="str">
        <f t="shared" si="10"/>
        <v>pass</v>
      </c>
      <c r="U330" s="50"/>
      <c r="V330" s="50"/>
      <c r="W330" s="50"/>
      <c r="X330" s="50"/>
      <c r="Y330" s="50"/>
      <c r="Z330" s="50"/>
      <c r="AA330" s="50"/>
    </row>
    <row r="331" spans="2:27" outlineLevel="2" x14ac:dyDescent="0.25">
      <c r="B331" s="27">
        <v>113</v>
      </c>
      <c r="C331" s="48"/>
      <c r="D331" s="48"/>
      <c r="E331" s="48"/>
      <c r="F331" s="50"/>
      <c r="G331" s="48"/>
      <c r="H331" s="48"/>
      <c r="I331" s="48"/>
      <c r="J331" s="48"/>
      <c r="K331" s="49"/>
      <c r="L331" s="50"/>
      <c r="M331" s="50"/>
      <c r="N331" s="50"/>
      <c r="O331" s="50"/>
      <c r="P331" s="50"/>
      <c r="Q331" s="50"/>
      <c r="R331" s="50"/>
      <c r="S331" s="50"/>
      <c r="T331" s="26" t="str">
        <f t="shared" si="10"/>
        <v>pass</v>
      </c>
      <c r="U331" s="50"/>
      <c r="V331" s="50"/>
      <c r="W331" s="50"/>
      <c r="X331" s="50"/>
      <c r="Y331" s="50"/>
      <c r="Z331" s="50"/>
      <c r="AA331" s="50"/>
    </row>
    <row r="332" spans="2:27" outlineLevel="2" x14ac:dyDescent="0.25">
      <c r="B332" s="27">
        <v>114</v>
      </c>
      <c r="C332" s="48"/>
      <c r="D332" s="48"/>
      <c r="E332" s="48"/>
      <c r="F332" s="50"/>
      <c r="G332" s="48"/>
      <c r="H332" s="48"/>
      <c r="I332" s="48"/>
      <c r="J332" s="48"/>
      <c r="K332" s="49"/>
      <c r="L332" s="50"/>
      <c r="M332" s="50"/>
      <c r="N332" s="50"/>
      <c r="O332" s="50"/>
      <c r="P332" s="50"/>
      <c r="Q332" s="50"/>
      <c r="R332" s="50"/>
      <c r="S332" s="50"/>
      <c r="T332" s="26" t="str">
        <f t="shared" si="10"/>
        <v>pass</v>
      </c>
      <c r="U332" s="50"/>
      <c r="V332" s="50"/>
      <c r="W332" s="50"/>
      <c r="X332" s="50"/>
      <c r="Y332" s="50"/>
      <c r="Z332" s="50"/>
      <c r="AA332" s="50"/>
    </row>
    <row r="333" spans="2:27" outlineLevel="2" x14ac:dyDescent="0.25">
      <c r="B333" s="27">
        <v>115</v>
      </c>
      <c r="C333" s="48"/>
      <c r="D333" s="48"/>
      <c r="E333" s="48"/>
      <c r="F333" s="50"/>
      <c r="G333" s="48"/>
      <c r="H333" s="48"/>
      <c r="I333" s="48"/>
      <c r="J333" s="48"/>
      <c r="K333" s="49"/>
      <c r="L333" s="50"/>
      <c r="M333" s="50"/>
      <c r="N333" s="50"/>
      <c r="O333" s="50"/>
      <c r="P333" s="50"/>
      <c r="Q333" s="50"/>
      <c r="R333" s="50"/>
      <c r="S333" s="50"/>
      <c r="T333" s="26" t="str">
        <f t="shared" si="10"/>
        <v>pass</v>
      </c>
      <c r="U333" s="50"/>
      <c r="V333" s="50"/>
      <c r="W333" s="50"/>
      <c r="X333" s="50"/>
      <c r="Y333" s="50"/>
      <c r="Z333" s="50"/>
      <c r="AA333" s="50"/>
    </row>
    <row r="334" spans="2:27" outlineLevel="2" x14ac:dyDescent="0.25">
      <c r="B334" s="27">
        <v>116</v>
      </c>
      <c r="C334" s="48"/>
      <c r="D334" s="48"/>
      <c r="E334" s="48"/>
      <c r="F334" s="50"/>
      <c r="G334" s="48"/>
      <c r="H334" s="48"/>
      <c r="I334" s="48"/>
      <c r="J334" s="48"/>
      <c r="K334" s="49"/>
      <c r="L334" s="50"/>
      <c r="M334" s="50"/>
      <c r="N334" s="50"/>
      <c r="O334" s="50"/>
      <c r="P334" s="50"/>
      <c r="Q334" s="50"/>
      <c r="R334" s="50"/>
      <c r="S334" s="50"/>
      <c r="T334" s="26" t="str">
        <f t="shared" si="10"/>
        <v>pass</v>
      </c>
      <c r="U334" s="50"/>
      <c r="V334" s="50"/>
      <c r="W334" s="50"/>
      <c r="X334" s="50"/>
      <c r="Y334" s="50"/>
      <c r="Z334" s="50"/>
      <c r="AA334" s="50"/>
    </row>
    <row r="335" spans="2:27" outlineLevel="2" x14ac:dyDescent="0.25">
      <c r="B335" s="27">
        <v>117</v>
      </c>
      <c r="C335" s="48"/>
      <c r="D335" s="48"/>
      <c r="E335" s="48"/>
      <c r="F335" s="50"/>
      <c r="G335" s="48"/>
      <c r="H335" s="48"/>
      <c r="I335" s="48"/>
      <c r="J335" s="48"/>
      <c r="K335" s="49"/>
      <c r="L335" s="50"/>
      <c r="M335" s="50"/>
      <c r="N335" s="50"/>
      <c r="O335" s="50"/>
      <c r="P335" s="50"/>
      <c r="Q335" s="50"/>
      <c r="R335" s="50"/>
      <c r="S335" s="50"/>
      <c r="T335" s="26" t="str">
        <f t="shared" si="10"/>
        <v>pass</v>
      </c>
      <c r="U335" s="50"/>
      <c r="V335" s="50"/>
      <c r="W335" s="50"/>
      <c r="X335" s="50"/>
      <c r="Y335" s="50"/>
      <c r="Z335" s="50"/>
      <c r="AA335" s="50"/>
    </row>
    <row r="336" spans="2:27" outlineLevel="2" x14ac:dyDescent="0.25">
      <c r="B336" s="27">
        <v>118</v>
      </c>
      <c r="C336" s="48"/>
      <c r="D336" s="48"/>
      <c r="E336" s="48"/>
      <c r="F336" s="50"/>
      <c r="G336" s="48"/>
      <c r="H336" s="48"/>
      <c r="I336" s="48"/>
      <c r="J336" s="48"/>
      <c r="K336" s="49"/>
      <c r="L336" s="50"/>
      <c r="M336" s="50"/>
      <c r="N336" s="50"/>
      <c r="O336" s="50"/>
      <c r="P336" s="50"/>
      <c r="Q336" s="50"/>
      <c r="R336" s="50"/>
      <c r="S336" s="50"/>
      <c r="T336" s="26" t="str">
        <f t="shared" si="10"/>
        <v>pass</v>
      </c>
      <c r="U336" s="50"/>
      <c r="V336" s="50"/>
      <c r="W336" s="50"/>
      <c r="X336" s="50"/>
      <c r="Y336" s="50"/>
      <c r="Z336" s="50"/>
      <c r="AA336" s="50"/>
    </row>
    <row r="337" spans="2:27" outlineLevel="2" x14ac:dyDescent="0.25">
      <c r="B337" s="27">
        <v>119</v>
      </c>
      <c r="C337" s="48"/>
      <c r="D337" s="48"/>
      <c r="E337" s="48"/>
      <c r="F337" s="50"/>
      <c r="G337" s="48"/>
      <c r="H337" s="48"/>
      <c r="I337" s="48"/>
      <c r="J337" s="48"/>
      <c r="K337" s="49"/>
      <c r="L337" s="50"/>
      <c r="M337" s="50"/>
      <c r="N337" s="50"/>
      <c r="O337" s="50"/>
      <c r="P337" s="50"/>
      <c r="Q337" s="50"/>
      <c r="R337" s="50"/>
      <c r="S337" s="50"/>
      <c r="T337" s="26" t="str">
        <f t="shared" si="10"/>
        <v>pass</v>
      </c>
      <c r="U337" s="50"/>
      <c r="V337" s="50"/>
      <c r="W337" s="50"/>
      <c r="X337" s="50"/>
      <c r="Y337" s="50"/>
      <c r="Z337" s="50"/>
      <c r="AA337" s="50"/>
    </row>
    <row r="338" spans="2:27" outlineLevel="2" x14ac:dyDescent="0.25">
      <c r="B338" s="27">
        <v>120</v>
      </c>
      <c r="C338" s="48"/>
      <c r="D338" s="48"/>
      <c r="E338" s="48"/>
      <c r="F338" s="50"/>
      <c r="G338" s="48"/>
      <c r="H338" s="48"/>
      <c r="I338" s="48"/>
      <c r="J338" s="48"/>
      <c r="K338" s="49"/>
      <c r="L338" s="50"/>
      <c r="M338" s="50"/>
      <c r="N338" s="50"/>
      <c r="O338" s="50"/>
      <c r="P338" s="50"/>
      <c r="Q338" s="50"/>
      <c r="R338" s="50"/>
      <c r="S338" s="50"/>
      <c r="T338" s="26" t="str">
        <f t="shared" si="10"/>
        <v>pass</v>
      </c>
      <c r="U338" s="50"/>
      <c r="V338" s="50"/>
      <c r="W338" s="50"/>
      <c r="X338" s="50"/>
      <c r="Y338" s="50"/>
      <c r="Z338" s="50"/>
      <c r="AA338" s="50"/>
    </row>
    <row r="339" spans="2:27" outlineLevel="2" x14ac:dyDescent="0.25">
      <c r="B339" s="27">
        <v>121</v>
      </c>
      <c r="C339" s="48"/>
      <c r="D339" s="48"/>
      <c r="E339" s="48"/>
      <c r="F339" s="50"/>
      <c r="G339" s="48"/>
      <c r="H339" s="48"/>
      <c r="I339" s="48"/>
      <c r="J339" s="48"/>
      <c r="K339" s="49"/>
      <c r="L339" s="50"/>
      <c r="M339" s="50"/>
      <c r="N339" s="50"/>
      <c r="O339" s="50"/>
      <c r="P339" s="50"/>
      <c r="Q339" s="50"/>
      <c r="R339" s="50"/>
      <c r="S339" s="50"/>
      <c r="T339" s="26" t="str">
        <f t="shared" si="10"/>
        <v>pass</v>
      </c>
      <c r="U339" s="50"/>
      <c r="V339" s="50"/>
      <c r="W339" s="50"/>
      <c r="X339" s="50"/>
      <c r="Y339" s="50"/>
      <c r="Z339" s="50"/>
      <c r="AA339" s="50"/>
    </row>
    <row r="340" spans="2:27" outlineLevel="2" x14ac:dyDescent="0.25">
      <c r="B340" s="27">
        <v>122</v>
      </c>
      <c r="C340" s="48"/>
      <c r="D340" s="48"/>
      <c r="E340" s="48"/>
      <c r="F340" s="50"/>
      <c r="G340" s="48"/>
      <c r="H340" s="48"/>
      <c r="I340" s="48"/>
      <c r="J340" s="48"/>
      <c r="K340" s="49"/>
      <c r="L340" s="50"/>
      <c r="M340" s="50"/>
      <c r="N340" s="50"/>
      <c r="O340" s="50"/>
      <c r="P340" s="50"/>
      <c r="Q340" s="50"/>
      <c r="R340" s="50"/>
      <c r="S340" s="50"/>
      <c r="T340" s="26" t="str">
        <f t="shared" si="10"/>
        <v>pass</v>
      </c>
      <c r="U340" s="50"/>
      <c r="V340" s="50"/>
      <c r="W340" s="50"/>
      <c r="X340" s="50"/>
      <c r="Y340" s="50"/>
      <c r="Z340" s="50"/>
      <c r="AA340" s="50"/>
    </row>
    <row r="341" spans="2:27" outlineLevel="2" x14ac:dyDescent="0.25">
      <c r="B341" s="27">
        <v>123</v>
      </c>
      <c r="C341" s="48"/>
      <c r="D341" s="48"/>
      <c r="E341" s="48"/>
      <c r="F341" s="50"/>
      <c r="G341" s="48"/>
      <c r="H341" s="48"/>
      <c r="I341" s="48"/>
      <c r="J341" s="48"/>
      <c r="K341" s="49"/>
      <c r="L341" s="50"/>
      <c r="M341" s="50"/>
      <c r="N341" s="50"/>
      <c r="O341" s="50"/>
      <c r="P341" s="50"/>
      <c r="Q341" s="50"/>
      <c r="R341" s="50"/>
      <c r="S341" s="50"/>
      <c r="T341" s="26" t="str">
        <f t="shared" si="10"/>
        <v>pass</v>
      </c>
      <c r="U341" s="50"/>
      <c r="V341" s="50"/>
      <c r="W341" s="50"/>
      <c r="X341" s="50"/>
      <c r="Y341" s="50"/>
      <c r="Z341" s="50"/>
      <c r="AA341" s="50"/>
    </row>
    <row r="342" spans="2:27" outlineLevel="2" x14ac:dyDescent="0.25">
      <c r="B342" s="27">
        <v>124</v>
      </c>
      <c r="C342" s="48"/>
      <c r="D342" s="48"/>
      <c r="E342" s="48"/>
      <c r="F342" s="50"/>
      <c r="G342" s="48"/>
      <c r="H342" s="48"/>
      <c r="I342" s="48"/>
      <c r="J342" s="48"/>
      <c r="K342" s="49"/>
      <c r="L342" s="50"/>
      <c r="M342" s="50"/>
      <c r="N342" s="50"/>
      <c r="O342" s="50"/>
      <c r="P342" s="50"/>
      <c r="Q342" s="50"/>
      <c r="R342" s="50"/>
      <c r="S342" s="50"/>
      <c r="T342" s="26" t="str">
        <f t="shared" si="10"/>
        <v>pass</v>
      </c>
      <c r="U342" s="50"/>
      <c r="V342" s="50"/>
      <c r="W342" s="50"/>
      <c r="X342" s="50"/>
      <c r="Y342" s="50"/>
      <c r="Z342" s="50"/>
      <c r="AA342" s="50"/>
    </row>
    <row r="343" spans="2:27" outlineLevel="2" x14ac:dyDescent="0.25">
      <c r="B343" s="27">
        <v>125</v>
      </c>
      <c r="C343" s="48"/>
      <c r="D343" s="48"/>
      <c r="E343" s="48"/>
      <c r="F343" s="50"/>
      <c r="G343" s="48"/>
      <c r="H343" s="48"/>
      <c r="I343" s="48"/>
      <c r="J343" s="48"/>
      <c r="K343" s="49"/>
      <c r="L343" s="50"/>
      <c r="M343" s="50"/>
      <c r="N343" s="50"/>
      <c r="O343" s="50"/>
      <c r="P343" s="50"/>
      <c r="Q343" s="50"/>
      <c r="R343" s="50"/>
      <c r="S343" s="50"/>
      <c r="T343" s="26" t="str">
        <f t="shared" si="10"/>
        <v>pass</v>
      </c>
      <c r="U343" s="50"/>
      <c r="V343" s="50"/>
      <c r="W343" s="50"/>
      <c r="X343" s="50"/>
      <c r="Y343" s="50"/>
      <c r="Z343" s="50"/>
      <c r="AA343" s="50"/>
    </row>
    <row r="344" spans="2:27" outlineLevel="2" x14ac:dyDescent="0.25">
      <c r="B344" s="27">
        <v>126</v>
      </c>
      <c r="C344" s="48"/>
      <c r="D344" s="48"/>
      <c r="E344" s="48"/>
      <c r="F344" s="50"/>
      <c r="G344" s="48"/>
      <c r="H344" s="48"/>
      <c r="I344" s="48"/>
      <c r="J344" s="48"/>
      <c r="K344" s="49"/>
      <c r="L344" s="50"/>
      <c r="M344" s="50"/>
      <c r="N344" s="50"/>
      <c r="O344" s="50"/>
      <c r="P344" s="50"/>
      <c r="Q344" s="50"/>
      <c r="R344" s="50"/>
      <c r="S344" s="50"/>
      <c r="T344" s="26" t="str">
        <f t="shared" si="10"/>
        <v>pass</v>
      </c>
      <c r="U344" s="50"/>
      <c r="V344" s="50"/>
      <c r="W344" s="50"/>
      <c r="X344" s="50"/>
      <c r="Y344" s="50"/>
      <c r="Z344" s="50"/>
      <c r="AA344" s="50"/>
    </row>
    <row r="345" spans="2:27" outlineLevel="2" x14ac:dyDescent="0.25">
      <c r="B345" s="27">
        <v>127</v>
      </c>
      <c r="C345" s="48"/>
      <c r="D345" s="48"/>
      <c r="E345" s="48"/>
      <c r="F345" s="50"/>
      <c r="G345" s="48"/>
      <c r="H345" s="48"/>
      <c r="I345" s="48"/>
      <c r="J345" s="48"/>
      <c r="K345" s="49"/>
      <c r="L345" s="50"/>
      <c r="M345" s="50"/>
      <c r="N345" s="50"/>
      <c r="O345" s="50"/>
      <c r="P345" s="50"/>
      <c r="Q345" s="50"/>
      <c r="R345" s="50"/>
      <c r="S345" s="50"/>
      <c r="T345" s="26" t="str">
        <f t="shared" si="10"/>
        <v>pass</v>
      </c>
      <c r="U345" s="50"/>
      <c r="V345" s="50"/>
      <c r="W345" s="50"/>
      <c r="X345" s="50"/>
      <c r="Y345" s="50"/>
      <c r="Z345" s="50"/>
      <c r="AA345" s="50"/>
    </row>
    <row r="346" spans="2:27" outlineLevel="2" x14ac:dyDescent="0.25">
      <c r="B346" s="27">
        <v>128</v>
      </c>
      <c r="C346" s="48"/>
      <c r="D346" s="48"/>
      <c r="E346" s="48"/>
      <c r="F346" s="50"/>
      <c r="G346" s="48"/>
      <c r="H346" s="48"/>
      <c r="I346" s="48"/>
      <c r="J346" s="48"/>
      <c r="K346" s="49"/>
      <c r="L346" s="50"/>
      <c r="M346" s="50"/>
      <c r="N346" s="50"/>
      <c r="O346" s="50"/>
      <c r="P346" s="50"/>
      <c r="Q346" s="50"/>
      <c r="R346" s="50"/>
      <c r="S346" s="50"/>
      <c r="T346" s="26" t="str">
        <f t="shared" si="10"/>
        <v>pass</v>
      </c>
      <c r="U346" s="50"/>
      <c r="V346" s="50"/>
      <c r="W346" s="50"/>
      <c r="X346" s="50"/>
      <c r="Y346" s="50"/>
      <c r="Z346" s="50"/>
      <c r="AA346" s="50"/>
    </row>
    <row r="347" spans="2:27" outlineLevel="2" x14ac:dyDescent="0.25">
      <c r="B347" s="27">
        <v>129</v>
      </c>
      <c r="C347" s="48"/>
      <c r="D347" s="48"/>
      <c r="E347" s="48"/>
      <c r="F347" s="50"/>
      <c r="G347" s="48"/>
      <c r="H347" s="48"/>
      <c r="I347" s="48"/>
      <c r="J347" s="48"/>
      <c r="K347" s="49"/>
      <c r="L347" s="50"/>
      <c r="M347" s="50"/>
      <c r="N347" s="50"/>
      <c r="O347" s="50"/>
      <c r="P347" s="50"/>
      <c r="Q347" s="50"/>
      <c r="R347" s="50"/>
      <c r="S347" s="50"/>
      <c r="T347" s="26" t="str">
        <f t="shared" ref="T347:T378" si="11">IF(AND(C347&lt;&gt;"",SUM(K347,M347,O347,Q347,S347)=1),"pass",IF(AND(C347="",SUM(K347,M347,O347,Q347,S347)=0),"pass","fail"))</f>
        <v>pass</v>
      </c>
      <c r="U347" s="50"/>
      <c r="V347" s="50"/>
      <c r="W347" s="50"/>
      <c r="X347" s="50"/>
      <c r="Y347" s="50"/>
      <c r="Z347" s="50"/>
      <c r="AA347" s="50"/>
    </row>
    <row r="348" spans="2:27" outlineLevel="2" x14ac:dyDescent="0.25">
      <c r="B348" s="27">
        <v>130</v>
      </c>
      <c r="C348" s="48"/>
      <c r="D348" s="48"/>
      <c r="E348" s="48"/>
      <c r="F348" s="50"/>
      <c r="G348" s="48"/>
      <c r="H348" s="48"/>
      <c r="I348" s="48"/>
      <c r="J348" s="48"/>
      <c r="K348" s="49"/>
      <c r="L348" s="50"/>
      <c r="M348" s="50"/>
      <c r="N348" s="50"/>
      <c r="O348" s="50"/>
      <c r="P348" s="50"/>
      <c r="Q348" s="50"/>
      <c r="R348" s="50"/>
      <c r="S348" s="50"/>
      <c r="T348" s="26" t="str">
        <f t="shared" si="11"/>
        <v>pass</v>
      </c>
      <c r="U348" s="50"/>
      <c r="V348" s="50"/>
      <c r="W348" s="50"/>
      <c r="X348" s="50"/>
      <c r="Y348" s="50"/>
      <c r="Z348" s="50"/>
      <c r="AA348" s="50"/>
    </row>
    <row r="349" spans="2:27" outlineLevel="2" x14ac:dyDescent="0.25">
      <c r="B349" s="27">
        <v>131</v>
      </c>
      <c r="C349" s="48"/>
      <c r="D349" s="48"/>
      <c r="E349" s="48"/>
      <c r="F349" s="50"/>
      <c r="G349" s="48"/>
      <c r="H349" s="48"/>
      <c r="I349" s="48"/>
      <c r="J349" s="48"/>
      <c r="K349" s="49"/>
      <c r="L349" s="50"/>
      <c r="M349" s="50"/>
      <c r="N349" s="50"/>
      <c r="O349" s="50"/>
      <c r="P349" s="50"/>
      <c r="Q349" s="50"/>
      <c r="R349" s="50"/>
      <c r="S349" s="50"/>
      <c r="T349" s="26" t="str">
        <f t="shared" si="11"/>
        <v>pass</v>
      </c>
      <c r="U349" s="50"/>
      <c r="V349" s="50"/>
      <c r="W349" s="50"/>
      <c r="X349" s="50"/>
      <c r="Y349" s="50"/>
      <c r="Z349" s="50"/>
      <c r="AA349" s="50"/>
    </row>
    <row r="350" spans="2:27" outlineLevel="2" x14ac:dyDescent="0.25">
      <c r="B350" s="27">
        <v>132</v>
      </c>
      <c r="C350" s="48"/>
      <c r="D350" s="48"/>
      <c r="E350" s="48"/>
      <c r="F350" s="50"/>
      <c r="G350" s="48"/>
      <c r="H350" s="48"/>
      <c r="I350" s="48"/>
      <c r="J350" s="48"/>
      <c r="K350" s="49"/>
      <c r="L350" s="50"/>
      <c r="M350" s="50"/>
      <c r="N350" s="50"/>
      <c r="O350" s="50"/>
      <c r="P350" s="50"/>
      <c r="Q350" s="50"/>
      <c r="R350" s="50"/>
      <c r="S350" s="50"/>
      <c r="T350" s="26" t="str">
        <f t="shared" si="11"/>
        <v>pass</v>
      </c>
      <c r="U350" s="50"/>
      <c r="V350" s="50"/>
      <c r="W350" s="50"/>
      <c r="X350" s="50"/>
      <c r="Y350" s="50"/>
      <c r="Z350" s="50"/>
      <c r="AA350" s="50"/>
    </row>
    <row r="351" spans="2:27" outlineLevel="2" x14ac:dyDescent="0.25">
      <c r="B351" s="27">
        <v>133</v>
      </c>
      <c r="C351" s="48"/>
      <c r="D351" s="48"/>
      <c r="E351" s="48"/>
      <c r="F351" s="50"/>
      <c r="G351" s="48"/>
      <c r="H351" s="48"/>
      <c r="I351" s="48"/>
      <c r="J351" s="48"/>
      <c r="K351" s="49"/>
      <c r="L351" s="50"/>
      <c r="M351" s="50"/>
      <c r="N351" s="50"/>
      <c r="O351" s="50"/>
      <c r="P351" s="50"/>
      <c r="Q351" s="50"/>
      <c r="R351" s="50"/>
      <c r="S351" s="50"/>
      <c r="T351" s="26" t="str">
        <f t="shared" si="11"/>
        <v>pass</v>
      </c>
      <c r="U351" s="50"/>
      <c r="V351" s="50"/>
      <c r="W351" s="50"/>
      <c r="X351" s="50"/>
      <c r="Y351" s="50"/>
      <c r="Z351" s="50"/>
      <c r="AA351" s="50"/>
    </row>
    <row r="352" spans="2:27" outlineLevel="2" x14ac:dyDescent="0.25">
      <c r="B352" s="27">
        <v>134</v>
      </c>
      <c r="C352" s="48"/>
      <c r="D352" s="48"/>
      <c r="E352" s="48"/>
      <c r="F352" s="50"/>
      <c r="G352" s="48"/>
      <c r="H352" s="48"/>
      <c r="I352" s="48"/>
      <c r="J352" s="48"/>
      <c r="K352" s="49"/>
      <c r="L352" s="50"/>
      <c r="M352" s="50"/>
      <c r="N352" s="50"/>
      <c r="O352" s="50"/>
      <c r="P352" s="50"/>
      <c r="Q352" s="50"/>
      <c r="R352" s="50"/>
      <c r="S352" s="50"/>
      <c r="T352" s="26" t="str">
        <f t="shared" si="11"/>
        <v>pass</v>
      </c>
      <c r="U352" s="50"/>
      <c r="V352" s="50"/>
      <c r="W352" s="50"/>
      <c r="X352" s="50"/>
      <c r="Y352" s="50"/>
      <c r="Z352" s="50"/>
      <c r="AA352" s="50"/>
    </row>
    <row r="353" spans="2:27" outlineLevel="2" x14ac:dyDescent="0.25">
      <c r="B353" s="27">
        <v>135</v>
      </c>
      <c r="C353" s="48"/>
      <c r="D353" s="48"/>
      <c r="E353" s="48"/>
      <c r="F353" s="50"/>
      <c r="G353" s="48"/>
      <c r="H353" s="48"/>
      <c r="I353" s="48"/>
      <c r="J353" s="48"/>
      <c r="K353" s="49"/>
      <c r="L353" s="50"/>
      <c r="M353" s="50"/>
      <c r="N353" s="50"/>
      <c r="O353" s="50"/>
      <c r="P353" s="50"/>
      <c r="Q353" s="50"/>
      <c r="R353" s="50"/>
      <c r="S353" s="50"/>
      <c r="T353" s="26" t="str">
        <f t="shared" si="11"/>
        <v>pass</v>
      </c>
      <c r="U353" s="50"/>
      <c r="V353" s="50"/>
      <c r="W353" s="50"/>
      <c r="X353" s="50"/>
      <c r="Y353" s="50"/>
      <c r="Z353" s="50"/>
      <c r="AA353" s="50"/>
    </row>
    <row r="354" spans="2:27" outlineLevel="2" x14ac:dyDescent="0.25">
      <c r="B354" s="27">
        <v>136</v>
      </c>
      <c r="C354" s="48"/>
      <c r="D354" s="48"/>
      <c r="E354" s="48"/>
      <c r="F354" s="50"/>
      <c r="G354" s="48"/>
      <c r="H354" s="48"/>
      <c r="I354" s="48"/>
      <c r="J354" s="48"/>
      <c r="K354" s="49"/>
      <c r="L354" s="50"/>
      <c r="M354" s="50"/>
      <c r="N354" s="50"/>
      <c r="O354" s="50"/>
      <c r="P354" s="50"/>
      <c r="Q354" s="50"/>
      <c r="R354" s="50"/>
      <c r="S354" s="50"/>
      <c r="T354" s="26" t="str">
        <f t="shared" si="11"/>
        <v>pass</v>
      </c>
      <c r="U354" s="50"/>
      <c r="V354" s="50"/>
      <c r="W354" s="50"/>
      <c r="X354" s="50"/>
      <c r="Y354" s="50"/>
      <c r="Z354" s="50"/>
      <c r="AA354" s="50"/>
    </row>
    <row r="355" spans="2:27" outlineLevel="2" x14ac:dyDescent="0.25">
      <c r="B355" s="27">
        <v>137</v>
      </c>
      <c r="C355" s="48"/>
      <c r="D355" s="48"/>
      <c r="E355" s="48"/>
      <c r="F355" s="50"/>
      <c r="G355" s="48"/>
      <c r="H355" s="48"/>
      <c r="I355" s="48"/>
      <c r="J355" s="48"/>
      <c r="K355" s="49"/>
      <c r="L355" s="50"/>
      <c r="M355" s="50"/>
      <c r="N355" s="50"/>
      <c r="O355" s="50"/>
      <c r="P355" s="50"/>
      <c r="Q355" s="50"/>
      <c r="R355" s="50"/>
      <c r="S355" s="50"/>
      <c r="T355" s="26" t="str">
        <f t="shared" si="11"/>
        <v>pass</v>
      </c>
      <c r="U355" s="50"/>
      <c r="V355" s="50"/>
      <c r="W355" s="50"/>
      <c r="X355" s="50"/>
      <c r="Y355" s="50"/>
      <c r="Z355" s="50"/>
      <c r="AA355" s="50"/>
    </row>
    <row r="356" spans="2:27" outlineLevel="2" x14ac:dyDescent="0.25">
      <c r="B356" s="27">
        <v>138</v>
      </c>
      <c r="C356" s="48"/>
      <c r="D356" s="48"/>
      <c r="E356" s="48"/>
      <c r="F356" s="50"/>
      <c r="G356" s="48"/>
      <c r="H356" s="48"/>
      <c r="I356" s="48"/>
      <c r="J356" s="48"/>
      <c r="K356" s="49"/>
      <c r="L356" s="50"/>
      <c r="M356" s="50"/>
      <c r="N356" s="50"/>
      <c r="O356" s="50"/>
      <c r="P356" s="50"/>
      <c r="Q356" s="50"/>
      <c r="R356" s="50"/>
      <c r="S356" s="50"/>
      <c r="T356" s="26" t="str">
        <f t="shared" si="11"/>
        <v>pass</v>
      </c>
      <c r="U356" s="50"/>
      <c r="V356" s="50"/>
      <c r="W356" s="50"/>
      <c r="X356" s="50"/>
      <c r="Y356" s="50"/>
      <c r="Z356" s="50"/>
      <c r="AA356" s="50"/>
    </row>
    <row r="357" spans="2:27" outlineLevel="2" x14ac:dyDescent="0.25">
      <c r="B357" s="27">
        <v>139</v>
      </c>
      <c r="C357" s="48"/>
      <c r="D357" s="48"/>
      <c r="E357" s="48"/>
      <c r="F357" s="50"/>
      <c r="G357" s="48"/>
      <c r="H357" s="48"/>
      <c r="I357" s="48"/>
      <c r="J357" s="48"/>
      <c r="K357" s="49"/>
      <c r="L357" s="50"/>
      <c r="M357" s="50"/>
      <c r="N357" s="50"/>
      <c r="O357" s="50"/>
      <c r="P357" s="50"/>
      <c r="Q357" s="50"/>
      <c r="R357" s="50"/>
      <c r="S357" s="50"/>
      <c r="T357" s="26" t="str">
        <f t="shared" si="11"/>
        <v>pass</v>
      </c>
      <c r="U357" s="50"/>
      <c r="V357" s="50"/>
      <c r="W357" s="50"/>
      <c r="X357" s="50"/>
      <c r="Y357" s="50"/>
      <c r="Z357" s="50"/>
      <c r="AA357" s="50"/>
    </row>
    <row r="358" spans="2:27" outlineLevel="2" x14ac:dyDescent="0.25">
      <c r="B358" s="27">
        <v>140</v>
      </c>
      <c r="C358" s="48"/>
      <c r="D358" s="48"/>
      <c r="E358" s="48"/>
      <c r="F358" s="50"/>
      <c r="G358" s="48"/>
      <c r="H358" s="48"/>
      <c r="I358" s="48"/>
      <c r="J358" s="48"/>
      <c r="K358" s="49"/>
      <c r="L358" s="50"/>
      <c r="M358" s="50"/>
      <c r="N358" s="50"/>
      <c r="O358" s="50"/>
      <c r="P358" s="50"/>
      <c r="Q358" s="50"/>
      <c r="R358" s="50"/>
      <c r="S358" s="50"/>
      <c r="T358" s="26" t="str">
        <f t="shared" si="11"/>
        <v>pass</v>
      </c>
      <c r="U358" s="50"/>
      <c r="V358" s="50"/>
      <c r="W358" s="50"/>
      <c r="X358" s="50"/>
      <c r="Y358" s="50"/>
      <c r="Z358" s="50"/>
      <c r="AA358" s="50"/>
    </row>
    <row r="359" spans="2:27" outlineLevel="2" x14ac:dyDescent="0.25">
      <c r="B359" s="27">
        <v>141</v>
      </c>
      <c r="C359" s="48"/>
      <c r="D359" s="48"/>
      <c r="E359" s="48"/>
      <c r="F359" s="50"/>
      <c r="G359" s="48"/>
      <c r="H359" s="48"/>
      <c r="I359" s="48"/>
      <c r="J359" s="48"/>
      <c r="K359" s="49"/>
      <c r="L359" s="50"/>
      <c r="M359" s="50"/>
      <c r="N359" s="50"/>
      <c r="O359" s="50"/>
      <c r="P359" s="50"/>
      <c r="Q359" s="50"/>
      <c r="R359" s="50"/>
      <c r="S359" s="50"/>
      <c r="T359" s="26" t="str">
        <f t="shared" si="11"/>
        <v>pass</v>
      </c>
      <c r="U359" s="50"/>
      <c r="V359" s="50"/>
      <c r="W359" s="50"/>
      <c r="X359" s="50"/>
      <c r="Y359" s="50"/>
      <c r="Z359" s="50"/>
      <c r="AA359" s="50"/>
    </row>
    <row r="360" spans="2:27" outlineLevel="2" x14ac:dyDescent="0.25">
      <c r="B360" s="27">
        <v>142</v>
      </c>
      <c r="C360" s="48"/>
      <c r="D360" s="48"/>
      <c r="E360" s="48"/>
      <c r="F360" s="50"/>
      <c r="G360" s="48"/>
      <c r="H360" s="48"/>
      <c r="I360" s="48"/>
      <c r="J360" s="48"/>
      <c r="K360" s="49"/>
      <c r="L360" s="50"/>
      <c r="M360" s="50"/>
      <c r="N360" s="50"/>
      <c r="O360" s="50"/>
      <c r="P360" s="50"/>
      <c r="Q360" s="50"/>
      <c r="R360" s="50"/>
      <c r="S360" s="50"/>
      <c r="T360" s="26" t="str">
        <f t="shared" si="11"/>
        <v>pass</v>
      </c>
      <c r="U360" s="50"/>
      <c r="V360" s="50"/>
      <c r="W360" s="50"/>
      <c r="X360" s="50"/>
      <c r="Y360" s="50"/>
      <c r="Z360" s="50"/>
      <c r="AA360" s="50"/>
    </row>
    <row r="361" spans="2:27" outlineLevel="2" x14ac:dyDescent="0.25">
      <c r="B361" s="27">
        <v>143</v>
      </c>
      <c r="C361" s="48"/>
      <c r="D361" s="48"/>
      <c r="E361" s="48"/>
      <c r="F361" s="50"/>
      <c r="G361" s="48"/>
      <c r="H361" s="48"/>
      <c r="I361" s="48"/>
      <c r="J361" s="48"/>
      <c r="K361" s="49"/>
      <c r="L361" s="50"/>
      <c r="M361" s="50"/>
      <c r="N361" s="50"/>
      <c r="O361" s="50"/>
      <c r="P361" s="50"/>
      <c r="Q361" s="50"/>
      <c r="R361" s="50"/>
      <c r="S361" s="50"/>
      <c r="T361" s="26" t="str">
        <f t="shared" si="11"/>
        <v>pass</v>
      </c>
      <c r="U361" s="50"/>
      <c r="V361" s="50"/>
      <c r="W361" s="50"/>
      <c r="X361" s="50"/>
      <c r="Y361" s="50"/>
      <c r="Z361" s="50"/>
      <c r="AA361" s="50"/>
    </row>
    <row r="362" spans="2:27" outlineLevel="2" x14ac:dyDescent="0.25">
      <c r="B362" s="27">
        <v>144</v>
      </c>
      <c r="C362" s="48"/>
      <c r="D362" s="48"/>
      <c r="E362" s="48"/>
      <c r="F362" s="50"/>
      <c r="G362" s="48"/>
      <c r="H362" s="48"/>
      <c r="I362" s="48"/>
      <c r="J362" s="48"/>
      <c r="K362" s="49"/>
      <c r="L362" s="50"/>
      <c r="M362" s="50"/>
      <c r="N362" s="50"/>
      <c r="O362" s="50"/>
      <c r="P362" s="50"/>
      <c r="Q362" s="50"/>
      <c r="R362" s="50"/>
      <c r="S362" s="50"/>
      <c r="T362" s="26" t="str">
        <f t="shared" si="11"/>
        <v>pass</v>
      </c>
      <c r="U362" s="50"/>
      <c r="V362" s="50"/>
      <c r="W362" s="50"/>
      <c r="X362" s="50"/>
      <c r="Y362" s="50"/>
      <c r="Z362" s="50"/>
      <c r="AA362" s="50"/>
    </row>
    <row r="363" spans="2:27" outlineLevel="2" x14ac:dyDescent="0.25">
      <c r="B363" s="27">
        <v>145</v>
      </c>
      <c r="C363" s="48"/>
      <c r="D363" s="48"/>
      <c r="E363" s="48"/>
      <c r="F363" s="50"/>
      <c r="G363" s="48"/>
      <c r="H363" s="48"/>
      <c r="I363" s="48"/>
      <c r="J363" s="48"/>
      <c r="K363" s="49"/>
      <c r="L363" s="50"/>
      <c r="M363" s="50"/>
      <c r="N363" s="50"/>
      <c r="O363" s="50"/>
      <c r="P363" s="50"/>
      <c r="Q363" s="50"/>
      <c r="R363" s="50"/>
      <c r="S363" s="50"/>
      <c r="T363" s="26" t="str">
        <f t="shared" si="11"/>
        <v>pass</v>
      </c>
      <c r="U363" s="50"/>
      <c r="V363" s="50"/>
      <c r="W363" s="50"/>
      <c r="X363" s="50"/>
      <c r="Y363" s="50"/>
      <c r="Z363" s="50"/>
      <c r="AA363" s="50"/>
    </row>
    <row r="364" spans="2:27" outlineLevel="2" x14ac:dyDescent="0.25">
      <c r="B364" s="27">
        <v>146</v>
      </c>
      <c r="C364" s="48"/>
      <c r="D364" s="48"/>
      <c r="E364" s="48"/>
      <c r="F364" s="50"/>
      <c r="G364" s="48"/>
      <c r="H364" s="48"/>
      <c r="I364" s="48"/>
      <c r="J364" s="48"/>
      <c r="K364" s="49"/>
      <c r="L364" s="50"/>
      <c r="M364" s="50"/>
      <c r="N364" s="50"/>
      <c r="O364" s="50"/>
      <c r="P364" s="50"/>
      <c r="Q364" s="50"/>
      <c r="R364" s="50"/>
      <c r="S364" s="50"/>
      <c r="T364" s="26" t="str">
        <f t="shared" si="11"/>
        <v>pass</v>
      </c>
      <c r="U364" s="50"/>
      <c r="V364" s="50"/>
      <c r="W364" s="50"/>
      <c r="X364" s="50"/>
      <c r="Y364" s="50"/>
      <c r="Z364" s="50"/>
      <c r="AA364" s="50"/>
    </row>
    <row r="365" spans="2:27" outlineLevel="2" x14ac:dyDescent="0.25">
      <c r="B365" s="27">
        <v>147</v>
      </c>
      <c r="C365" s="48"/>
      <c r="D365" s="48"/>
      <c r="E365" s="48"/>
      <c r="F365" s="50"/>
      <c r="G365" s="48"/>
      <c r="H365" s="48"/>
      <c r="I365" s="48"/>
      <c r="J365" s="48"/>
      <c r="K365" s="49"/>
      <c r="L365" s="50"/>
      <c r="M365" s="50"/>
      <c r="N365" s="50"/>
      <c r="O365" s="50"/>
      <c r="P365" s="50"/>
      <c r="Q365" s="50"/>
      <c r="R365" s="50"/>
      <c r="S365" s="50"/>
      <c r="T365" s="26" t="str">
        <f t="shared" si="11"/>
        <v>pass</v>
      </c>
      <c r="U365" s="50"/>
      <c r="V365" s="50"/>
      <c r="W365" s="50"/>
      <c r="X365" s="50"/>
      <c r="Y365" s="50"/>
      <c r="Z365" s="50"/>
      <c r="AA365" s="50"/>
    </row>
    <row r="366" spans="2:27" outlineLevel="2" x14ac:dyDescent="0.25">
      <c r="B366" s="27">
        <v>148</v>
      </c>
      <c r="C366" s="48"/>
      <c r="D366" s="48"/>
      <c r="E366" s="48"/>
      <c r="F366" s="50"/>
      <c r="G366" s="48"/>
      <c r="H366" s="48"/>
      <c r="I366" s="48"/>
      <c r="J366" s="48"/>
      <c r="K366" s="49"/>
      <c r="L366" s="50"/>
      <c r="M366" s="50"/>
      <c r="N366" s="50"/>
      <c r="O366" s="50"/>
      <c r="P366" s="50"/>
      <c r="Q366" s="50"/>
      <c r="R366" s="50"/>
      <c r="S366" s="50"/>
      <c r="T366" s="26" t="str">
        <f t="shared" si="11"/>
        <v>pass</v>
      </c>
      <c r="U366" s="50"/>
      <c r="V366" s="50"/>
      <c r="W366" s="50"/>
      <c r="X366" s="50"/>
      <c r="Y366" s="50"/>
      <c r="Z366" s="50"/>
      <c r="AA366" s="50"/>
    </row>
    <row r="367" spans="2:27" outlineLevel="2" x14ac:dyDescent="0.25">
      <c r="B367" s="27">
        <v>149</v>
      </c>
      <c r="C367" s="48"/>
      <c r="D367" s="48"/>
      <c r="E367" s="48"/>
      <c r="F367" s="50"/>
      <c r="G367" s="48"/>
      <c r="H367" s="48"/>
      <c r="I367" s="48"/>
      <c r="J367" s="48"/>
      <c r="K367" s="49"/>
      <c r="L367" s="50"/>
      <c r="M367" s="50"/>
      <c r="N367" s="50"/>
      <c r="O367" s="50"/>
      <c r="P367" s="50"/>
      <c r="Q367" s="50"/>
      <c r="R367" s="50"/>
      <c r="S367" s="50"/>
      <c r="T367" s="26" t="str">
        <f t="shared" si="11"/>
        <v>pass</v>
      </c>
      <c r="U367" s="50"/>
      <c r="V367" s="50"/>
      <c r="W367" s="50"/>
      <c r="X367" s="50"/>
      <c r="Y367" s="50"/>
      <c r="Z367" s="50"/>
      <c r="AA367" s="50"/>
    </row>
    <row r="368" spans="2:27" outlineLevel="2" x14ac:dyDescent="0.25">
      <c r="B368" s="27">
        <v>150</v>
      </c>
      <c r="C368" s="48"/>
      <c r="D368" s="48"/>
      <c r="E368" s="48"/>
      <c r="F368" s="50"/>
      <c r="G368" s="48"/>
      <c r="H368" s="48"/>
      <c r="I368" s="48"/>
      <c r="J368" s="48"/>
      <c r="K368" s="49"/>
      <c r="L368" s="50"/>
      <c r="M368" s="50"/>
      <c r="N368" s="50"/>
      <c r="O368" s="50"/>
      <c r="P368" s="50"/>
      <c r="Q368" s="50"/>
      <c r="R368" s="50"/>
      <c r="S368" s="50"/>
      <c r="T368" s="26" t="str">
        <f t="shared" si="11"/>
        <v>pass</v>
      </c>
      <c r="U368" s="50"/>
      <c r="V368" s="50"/>
      <c r="W368" s="50"/>
      <c r="X368" s="50"/>
      <c r="Y368" s="50"/>
      <c r="Z368" s="50"/>
      <c r="AA368" s="50"/>
    </row>
    <row r="369" spans="2:27" outlineLevel="2" x14ac:dyDescent="0.25">
      <c r="B369" s="27">
        <v>151</v>
      </c>
      <c r="C369" s="48"/>
      <c r="D369" s="48"/>
      <c r="E369" s="48"/>
      <c r="F369" s="50"/>
      <c r="G369" s="48"/>
      <c r="H369" s="48"/>
      <c r="I369" s="48"/>
      <c r="J369" s="48"/>
      <c r="K369" s="49"/>
      <c r="L369" s="50"/>
      <c r="M369" s="50"/>
      <c r="N369" s="50"/>
      <c r="O369" s="50"/>
      <c r="P369" s="50"/>
      <c r="Q369" s="50"/>
      <c r="R369" s="50"/>
      <c r="S369" s="50"/>
      <c r="T369" s="26" t="str">
        <f t="shared" si="11"/>
        <v>pass</v>
      </c>
      <c r="U369" s="50"/>
      <c r="V369" s="50"/>
      <c r="W369" s="50"/>
      <c r="X369" s="50"/>
      <c r="Y369" s="50"/>
      <c r="Z369" s="50"/>
      <c r="AA369" s="50"/>
    </row>
    <row r="370" spans="2:27" outlineLevel="2" x14ac:dyDescent="0.25">
      <c r="B370" s="27">
        <v>152</v>
      </c>
      <c r="C370" s="48"/>
      <c r="D370" s="48"/>
      <c r="E370" s="48"/>
      <c r="F370" s="50"/>
      <c r="G370" s="48"/>
      <c r="H370" s="48"/>
      <c r="I370" s="48"/>
      <c r="J370" s="48"/>
      <c r="K370" s="49"/>
      <c r="L370" s="50"/>
      <c r="M370" s="50"/>
      <c r="N370" s="50"/>
      <c r="O370" s="50"/>
      <c r="P370" s="50"/>
      <c r="Q370" s="50"/>
      <c r="R370" s="50"/>
      <c r="S370" s="50"/>
      <c r="T370" s="26" t="str">
        <f t="shared" si="11"/>
        <v>pass</v>
      </c>
      <c r="U370" s="50"/>
      <c r="V370" s="50"/>
      <c r="W370" s="50"/>
      <c r="X370" s="50"/>
      <c r="Y370" s="50"/>
      <c r="Z370" s="50"/>
      <c r="AA370" s="50"/>
    </row>
    <row r="371" spans="2:27" outlineLevel="2" x14ac:dyDescent="0.25">
      <c r="B371" s="27">
        <v>153</v>
      </c>
      <c r="C371" s="48"/>
      <c r="D371" s="48"/>
      <c r="E371" s="48"/>
      <c r="F371" s="50"/>
      <c r="G371" s="48"/>
      <c r="H371" s="48"/>
      <c r="I371" s="48"/>
      <c r="J371" s="48"/>
      <c r="K371" s="49"/>
      <c r="L371" s="50"/>
      <c r="M371" s="50"/>
      <c r="N371" s="50"/>
      <c r="O371" s="50"/>
      <c r="P371" s="50"/>
      <c r="Q371" s="50"/>
      <c r="R371" s="50"/>
      <c r="S371" s="50"/>
      <c r="T371" s="26" t="str">
        <f t="shared" si="11"/>
        <v>pass</v>
      </c>
      <c r="U371" s="50"/>
      <c r="V371" s="50"/>
      <c r="W371" s="50"/>
      <c r="X371" s="50"/>
      <c r="Y371" s="50"/>
      <c r="Z371" s="50"/>
      <c r="AA371" s="50"/>
    </row>
    <row r="372" spans="2:27" outlineLevel="2" x14ac:dyDescent="0.25">
      <c r="B372" s="27">
        <v>154</v>
      </c>
      <c r="C372" s="48"/>
      <c r="D372" s="48"/>
      <c r="E372" s="48"/>
      <c r="F372" s="50"/>
      <c r="G372" s="48"/>
      <c r="H372" s="48"/>
      <c r="I372" s="48"/>
      <c r="J372" s="48"/>
      <c r="K372" s="49"/>
      <c r="L372" s="50"/>
      <c r="M372" s="50"/>
      <c r="N372" s="50"/>
      <c r="O372" s="50"/>
      <c r="P372" s="50"/>
      <c r="Q372" s="50"/>
      <c r="R372" s="50"/>
      <c r="S372" s="50"/>
      <c r="T372" s="26" t="str">
        <f t="shared" si="11"/>
        <v>pass</v>
      </c>
      <c r="U372" s="50"/>
      <c r="V372" s="50"/>
      <c r="W372" s="50"/>
      <c r="X372" s="50"/>
      <c r="Y372" s="50"/>
      <c r="Z372" s="50"/>
      <c r="AA372" s="50"/>
    </row>
    <row r="373" spans="2:27" outlineLevel="2" x14ac:dyDescent="0.25">
      <c r="B373" s="27">
        <v>155</v>
      </c>
      <c r="C373" s="48"/>
      <c r="D373" s="48"/>
      <c r="E373" s="48"/>
      <c r="F373" s="50"/>
      <c r="G373" s="48"/>
      <c r="H373" s="48"/>
      <c r="I373" s="48"/>
      <c r="J373" s="48"/>
      <c r="K373" s="49"/>
      <c r="L373" s="50"/>
      <c r="M373" s="50"/>
      <c r="N373" s="50"/>
      <c r="O373" s="50"/>
      <c r="P373" s="50"/>
      <c r="Q373" s="50"/>
      <c r="R373" s="50"/>
      <c r="S373" s="50"/>
      <c r="T373" s="26" t="str">
        <f t="shared" si="11"/>
        <v>pass</v>
      </c>
      <c r="U373" s="50"/>
      <c r="V373" s="50"/>
      <c r="W373" s="50"/>
      <c r="X373" s="50"/>
      <c r="Y373" s="50"/>
      <c r="Z373" s="50"/>
      <c r="AA373" s="50"/>
    </row>
    <row r="374" spans="2:27" outlineLevel="2" x14ac:dyDescent="0.25">
      <c r="B374" s="27">
        <v>156</v>
      </c>
      <c r="C374" s="48"/>
      <c r="D374" s="48"/>
      <c r="E374" s="48"/>
      <c r="F374" s="50"/>
      <c r="G374" s="48"/>
      <c r="H374" s="48"/>
      <c r="I374" s="48"/>
      <c r="J374" s="48"/>
      <c r="K374" s="49"/>
      <c r="L374" s="50"/>
      <c r="M374" s="50"/>
      <c r="N374" s="50"/>
      <c r="O374" s="50"/>
      <c r="P374" s="50"/>
      <c r="Q374" s="50"/>
      <c r="R374" s="50"/>
      <c r="S374" s="50"/>
      <c r="T374" s="26" t="str">
        <f t="shared" si="11"/>
        <v>pass</v>
      </c>
      <c r="U374" s="50"/>
      <c r="V374" s="50"/>
      <c r="W374" s="50"/>
      <c r="X374" s="50"/>
      <c r="Y374" s="50"/>
      <c r="Z374" s="50"/>
      <c r="AA374" s="50"/>
    </row>
    <row r="375" spans="2:27" outlineLevel="2" x14ac:dyDescent="0.25">
      <c r="B375" s="27">
        <v>157</v>
      </c>
      <c r="C375" s="48"/>
      <c r="D375" s="48"/>
      <c r="E375" s="48"/>
      <c r="F375" s="50"/>
      <c r="G375" s="48"/>
      <c r="H375" s="48"/>
      <c r="I375" s="48"/>
      <c r="J375" s="48"/>
      <c r="K375" s="49"/>
      <c r="L375" s="50"/>
      <c r="M375" s="50"/>
      <c r="N375" s="50"/>
      <c r="O375" s="50"/>
      <c r="P375" s="50"/>
      <c r="Q375" s="50"/>
      <c r="R375" s="50"/>
      <c r="S375" s="50"/>
      <c r="T375" s="26" t="str">
        <f t="shared" si="11"/>
        <v>pass</v>
      </c>
      <c r="U375" s="50"/>
      <c r="V375" s="50"/>
      <c r="W375" s="50"/>
      <c r="X375" s="50"/>
      <c r="Y375" s="50"/>
      <c r="Z375" s="50"/>
      <c r="AA375" s="50"/>
    </row>
    <row r="376" spans="2:27" outlineLevel="2" x14ac:dyDescent="0.25">
      <c r="B376" s="27">
        <v>158</v>
      </c>
      <c r="C376" s="48"/>
      <c r="D376" s="48"/>
      <c r="E376" s="48"/>
      <c r="F376" s="50"/>
      <c r="G376" s="48"/>
      <c r="H376" s="48"/>
      <c r="I376" s="48"/>
      <c r="J376" s="48"/>
      <c r="K376" s="49"/>
      <c r="L376" s="50"/>
      <c r="M376" s="50"/>
      <c r="N376" s="50"/>
      <c r="O376" s="50"/>
      <c r="P376" s="50"/>
      <c r="Q376" s="50"/>
      <c r="R376" s="50"/>
      <c r="S376" s="50"/>
      <c r="T376" s="26" t="str">
        <f t="shared" si="11"/>
        <v>pass</v>
      </c>
      <c r="U376" s="50"/>
      <c r="V376" s="50"/>
      <c r="W376" s="50"/>
      <c r="X376" s="50"/>
      <c r="Y376" s="50"/>
      <c r="Z376" s="50"/>
      <c r="AA376" s="50"/>
    </row>
    <row r="377" spans="2:27" outlineLevel="2" x14ac:dyDescent="0.25">
      <c r="B377" s="27">
        <v>159</v>
      </c>
      <c r="C377" s="48"/>
      <c r="D377" s="48"/>
      <c r="E377" s="48"/>
      <c r="F377" s="50"/>
      <c r="G377" s="48"/>
      <c r="H377" s="48"/>
      <c r="I377" s="48"/>
      <c r="J377" s="48"/>
      <c r="K377" s="49"/>
      <c r="L377" s="50"/>
      <c r="M377" s="50"/>
      <c r="N377" s="50"/>
      <c r="O377" s="50"/>
      <c r="P377" s="50"/>
      <c r="Q377" s="50"/>
      <c r="R377" s="50"/>
      <c r="S377" s="50"/>
      <c r="T377" s="26" t="str">
        <f t="shared" si="11"/>
        <v>pass</v>
      </c>
      <c r="U377" s="50"/>
      <c r="V377" s="50"/>
      <c r="W377" s="50"/>
      <c r="X377" s="50"/>
      <c r="Y377" s="50"/>
      <c r="Z377" s="50"/>
      <c r="AA377" s="50"/>
    </row>
    <row r="378" spans="2:27" outlineLevel="2" x14ac:dyDescent="0.25">
      <c r="B378" s="27">
        <v>160</v>
      </c>
      <c r="C378" s="48"/>
      <c r="D378" s="48"/>
      <c r="E378" s="48"/>
      <c r="F378" s="50"/>
      <c r="G378" s="48"/>
      <c r="H378" s="48"/>
      <c r="I378" s="48"/>
      <c r="J378" s="48"/>
      <c r="K378" s="49"/>
      <c r="L378" s="50"/>
      <c r="M378" s="50"/>
      <c r="N378" s="50"/>
      <c r="O378" s="50"/>
      <c r="P378" s="50"/>
      <c r="Q378" s="50"/>
      <c r="R378" s="50"/>
      <c r="S378" s="50"/>
      <c r="T378" s="26" t="str">
        <f t="shared" si="11"/>
        <v>pass</v>
      </c>
      <c r="U378" s="50"/>
      <c r="V378" s="50"/>
      <c r="W378" s="50"/>
      <c r="X378" s="50"/>
      <c r="Y378" s="50"/>
      <c r="Z378" s="50"/>
      <c r="AA378" s="50"/>
    </row>
    <row r="379" spans="2:27" outlineLevel="2" x14ac:dyDescent="0.25">
      <c r="B379" s="27">
        <v>161</v>
      </c>
      <c r="C379" s="48"/>
      <c r="D379" s="48"/>
      <c r="E379" s="48"/>
      <c r="F379" s="50"/>
      <c r="G379" s="48"/>
      <c r="H379" s="48"/>
      <c r="I379" s="48"/>
      <c r="J379" s="48"/>
      <c r="K379" s="49"/>
      <c r="L379" s="50"/>
      <c r="M379" s="50"/>
      <c r="N379" s="50"/>
      <c r="O379" s="50"/>
      <c r="P379" s="50"/>
      <c r="Q379" s="50"/>
      <c r="R379" s="50"/>
      <c r="S379" s="50"/>
      <c r="T379" s="26" t="str">
        <f t="shared" ref="T379:T410" si="12">IF(AND(C379&lt;&gt;"",SUM(K379,M379,O379,Q379,S379)=1),"pass",IF(AND(C379="",SUM(K379,M379,O379,Q379,S379)=0),"pass","fail"))</f>
        <v>pass</v>
      </c>
      <c r="U379" s="50"/>
      <c r="V379" s="50"/>
      <c r="W379" s="50"/>
      <c r="X379" s="50"/>
      <c r="Y379" s="50"/>
      <c r="Z379" s="50"/>
      <c r="AA379" s="50"/>
    </row>
    <row r="380" spans="2:27" outlineLevel="2" x14ac:dyDescent="0.25">
      <c r="B380" s="27">
        <v>162</v>
      </c>
      <c r="C380" s="48"/>
      <c r="D380" s="48"/>
      <c r="E380" s="48"/>
      <c r="F380" s="50"/>
      <c r="G380" s="48"/>
      <c r="H380" s="48"/>
      <c r="I380" s="48"/>
      <c r="J380" s="48"/>
      <c r="K380" s="49"/>
      <c r="L380" s="50"/>
      <c r="M380" s="50"/>
      <c r="N380" s="50"/>
      <c r="O380" s="50"/>
      <c r="P380" s="50"/>
      <c r="Q380" s="50"/>
      <c r="R380" s="50"/>
      <c r="S380" s="50"/>
      <c r="T380" s="26" t="str">
        <f t="shared" si="12"/>
        <v>pass</v>
      </c>
      <c r="U380" s="50"/>
      <c r="V380" s="50"/>
      <c r="W380" s="50"/>
      <c r="X380" s="50"/>
      <c r="Y380" s="50"/>
      <c r="Z380" s="50"/>
      <c r="AA380" s="50"/>
    </row>
    <row r="381" spans="2:27" outlineLevel="2" x14ac:dyDescent="0.25">
      <c r="B381" s="27">
        <v>163</v>
      </c>
      <c r="C381" s="48"/>
      <c r="D381" s="48"/>
      <c r="E381" s="48"/>
      <c r="F381" s="50"/>
      <c r="G381" s="48"/>
      <c r="H381" s="48"/>
      <c r="I381" s="48"/>
      <c r="J381" s="48"/>
      <c r="K381" s="49"/>
      <c r="L381" s="50"/>
      <c r="M381" s="50"/>
      <c r="N381" s="50"/>
      <c r="O381" s="50"/>
      <c r="P381" s="50"/>
      <c r="Q381" s="50"/>
      <c r="R381" s="50"/>
      <c r="S381" s="50"/>
      <c r="T381" s="26" t="str">
        <f t="shared" si="12"/>
        <v>pass</v>
      </c>
      <c r="U381" s="50"/>
      <c r="V381" s="50"/>
      <c r="W381" s="50"/>
      <c r="X381" s="50"/>
      <c r="Y381" s="50"/>
      <c r="Z381" s="50"/>
      <c r="AA381" s="50"/>
    </row>
    <row r="382" spans="2:27" outlineLevel="2" x14ac:dyDescent="0.25">
      <c r="B382" s="27">
        <v>164</v>
      </c>
      <c r="C382" s="48"/>
      <c r="D382" s="48"/>
      <c r="E382" s="48"/>
      <c r="F382" s="50"/>
      <c r="G382" s="48"/>
      <c r="H382" s="48"/>
      <c r="I382" s="48"/>
      <c r="J382" s="48"/>
      <c r="K382" s="49"/>
      <c r="L382" s="50"/>
      <c r="M382" s="50"/>
      <c r="N382" s="50"/>
      <c r="O382" s="50"/>
      <c r="P382" s="50"/>
      <c r="Q382" s="50"/>
      <c r="R382" s="50"/>
      <c r="S382" s="50"/>
      <c r="T382" s="26" t="str">
        <f t="shared" si="12"/>
        <v>pass</v>
      </c>
      <c r="U382" s="50"/>
      <c r="V382" s="50"/>
      <c r="W382" s="50"/>
      <c r="X382" s="50"/>
      <c r="Y382" s="50"/>
      <c r="Z382" s="50"/>
      <c r="AA382" s="50"/>
    </row>
    <row r="383" spans="2:27" outlineLevel="2" x14ac:dyDescent="0.25">
      <c r="B383" s="27">
        <v>165</v>
      </c>
      <c r="C383" s="48"/>
      <c r="D383" s="48"/>
      <c r="E383" s="48"/>
      <c r="F383" s="50"/>
      <c r="G383" s="48"/>
      <c r="H383" s="48"/>
      <c r="I383" s="48"/>
      <c r="J383" s="48"/>
      <c r="K383" s="49"/>
      <c r="L383" s="50"/>
      <c r="M383" s="50"/>
      <c r="N383" s="50"/>
      <c r="O383" s="50"/>
      <c r="P383" s="50"/>
      <c r="Q383" s="50"/>
      <c r="R383" s="50"/>
      <c r="S383" s="50"/>
      <c r="T383" s="26" t="str">
        <f t="shared" si="12"/>
        <v>pass</v>
      </c>
      <c r="U383" s="50"/>
      <c r="V383" s="50"/>
      <c r="W383" s="50"/>
      <c r="X383" s="50"/>
      <c r="Y383" s="50"/>
      <c r="Z383" s="50"/>
      <c r="AA383" s="50"/>
    </row>
    <row r="384" spans="2:27" outlineLevel="2" x14ac:dyDescent="0.25">
      <c r="B384" s="27">
        <v>166</v>
      </c>
      <c r="C384" s="48"/>
      <c r="D384" s="48"/>
      <c r="E384" s="48"/>
      <c r="F384" s="50"/>
      <c r="G384" s="48"/>
      <c r="H384" s="48"/>
      <c r="I384" s="48"/>
      <c r="J384" s="48"/>
      <c r="K384" s="49"/>
      <c r="L384" s="50"/>
      <c r="M384" s="50"/>
      <c r="N384" s="50"/>
      <c r="O384" s="50"/>
      <c r="P384" s="50"/>
      <c r="Q384" s="50"/>
      <c r="R384" s="50"/>
      <c r="S384" s="50"/>
      <c r="T384" s="26" t="str">
        <f t="shared" si="12"/>
        <v>pass</v>
      </c>
      <c r="U384" s="50"/>
      <c r="V384" s="50"/>
      <c r="W384" s="50"/>
      <c r="X384" s="50"/>
      <c r="Y384" s="50"/>
      <c r="Z384" s="50"/>
      <c r="AA384" s="50"/>
    </row>
    <row r="385" spans="2:27" outlineLevel="2" x14ac:dyDescent="0.25">
      <c r="B385" s="27">
        <v>167</v>
      </c>
      <c r="C385" s="48"/>
      <c r="D385" s="48"/>
      <c r="E385" s="48"/>
      <c r="F385" s="50"/>
      <c r="G385" s="48"/>
      <c r="H385" s="48"/>
      <c r="I385" s="48"/>
      <c r="J385" s="48"/>
      <c r="K385" s="49"/>
      <c r="L385" s="50"/>
      <c r="M385" s="50"/>
      <c r="N385" s="50"/>
      <c r="O385" s="50"/>
      <c r="P385" s="50"/>
      <c r="Q385" s="50"/>
      <c r="R385" s="50"/>
      <c r="S385" s="50"/>
      <c r="T385" s="26" t="str">
        <f t="shared" si="12"/>
        <v>pass</v>
      </c>
      <c r="U385" s="50"/>
      <c r="V385" s="50"/>
      <c r="W385" s="50"/>
      <c r="X385" s="50"/>
      <c r="Y385" s="50"/>
      <c r="Z385" s="50"/>
      <c r="AA385" s="50"/>
    </row>
    <row r="386" spans="2:27" outlineLevel="2" x14ac:dyDescent="0.25">
      <c r="B386" s="27">
        <v>168</v>
      </c>
      <c r="C386" s="48"/>
      <c r="D386" s="48"/>
      <c r="E386" s="48"/>
      <c r="F386" s="50"/>
      <c r="G386" s="48"/>
      <c r="H386" s="48"/>
      <c r="I386" s="48"/>
      <c r="J386" s="48"/>
      <c r="K386" s="49"/>
      <c r="L386" s="50"/>
      <c r="M386" s="50"/>
      <c r="N386" s="50"/>
      <c r="O386" s="50"/>
      <c r="P386" s="50"/>
      <c r="Q386" s="50"/>
      <c r="R386" s="50"/>
      <c r="S386" s="50"/>
      <c r="T386" s="26" t="str">
        <f t="shared" si="12"/>
        <v>pass</v>
      </c>
      <c r="U386" s="50"/>
      <c r="V386" s="50"/>
      <c r="W386" s="50"/>
      <c r="X386" s="50"/>
      <c r="Y386" s="50"/>
      <c r="Z386" s="50"/>
      <c r="AA386" s="50"/>
    </row>
    <row r="387" spans="2:27" outlineLevel="2" x14ac:dyDescent="0.25">
      <c r="B387" s="27">
        <v>169</v>
      </c>
      <c r="C387" s="48"/>
      <c r="D387" s="48"/>
      <c r="E387" s="48"/>
      <c r="F387" s="50"/>
      <c r="G387" s="48"/>
      <c r="H387" s="48"/>
      <c r="I387" s="48"/>
      <c r="J387" s="48"/>
      <c r="K387" s="49"/>
      <c r="L387" s="50"/>
      <c r="M387" s="50"/>
      <c r="N387" s="50"/>
      <c r="O387" s="50"/>
      <c r="P387" s="50"/>
      <c r="Q387" s="50"/>
      <c r="R387" s="50"/>
      <c r="S387" s="50"/>
      <c r="T387" s="26" t="str">
        <f t="shared" si="12"/>
        <v>pass</v>
      </c>
      <c r="U387" s="50"/>
      <c r="V387" s="50"/>
      <c r="W387" s="50"/>
      <c r="X387" s="50"/>
      <c r="Y387" s="50"/>
      <c r="Z387" s="50"/>
      <c r="AA387" s="50"/>
    </row>
    <row r="388" spans="2:27" outlineLevel="2" x14ac:dyDescent="0.25">
      <c r="B388" s="27">
        <v>170</v>
      </c>
      <c r="C388" s="48"/>
      <c r="D388" s="48"/>
      <c r="E388" s="48"/>
      <c r="F388" s="50"/>
      <c r="G388" s="48"/>
      <c r="H388" s="48"/>
      <c r="I388" s="48"/>
      <c r="J388" s="48"/>
      <c r="K388" s="49"/>
      <c r="L388" s="50"/>
      <c r="M388" s="50"/>
      <c r="N388" s="50"/>
      <c r="O388" s="50"/>
      <c r="P388" s="50"/>
      <c r="Q388" s="50"/>
      <c r="R388" s="50"/>
      <c r="S388" s="50"/>
      <c r="T388" s="26" t="str">
        <f t="shared" si="12"/>
        <v>pass</v>
      </c>
      <c r="U388" s="50"/>
      <c r="V388" s="50"/>
      <c r="W388" s="50"/>
      <c r="X388" s="50"/>
      <c r="Y388" s="50"/>
      <c r="Z388" s="50"/>
      <c r="AA388" s="50"/>
    </row>
    <row r="389" spans="2:27" outlineLevel="2" x14ac:dyDescent="0.25">
      <c r="B389" s="27">
        <v>171</v>
      </c>
      <c r="C389" s="48"/>
      <c r="D389" s="48"/>
      <c r="E389" s="48"/>
      <c r="F389" s="50"/>
      <c r="G389" s="48"/>
      <c r="H389" s="48"/>
      <c r="I389" s="48"/>
      <c r="J389" s="48"/>
      <c r="K389" s="49"/>
      <c r="L389" s="50"/>
      <c r="M389" s="50"/>
      <c r="N389" s="50"/>
      <c r="O389" s="50"/>
      <c r="P389" s="50"/>
      <c r="Q389" s="50"/>
      <c r="R389" s="50"/>
      <c r="S389" s="50"/>
      <c r="T389" s="26" t="str">
        <f t="shared" si="12"/>
        <v>pass</v>
      </c>
      <c r="U389" s="50"/>
      <c r="V389" s="50"/>
      <c r="W389" s="50"/>
      <c r="X389" s="50"/>
      <c r="Y389" s="50"/>
      <c r="Z389" s="50"/>
      <c r="AA389" s="50"/>
    </row>
    <row r="390" spans="2:27" outlineLevel="2" x14ac:dyDescent="0.25">
      <c r="B390" s="27">
        <v>172</v>
      </c>
      <c r="C390" s="48"/>
      <c r="D390" s="48"/>
      <c r="E390" s="48"/>
      <c r="F390" s="50"/>
      <c r="G390" s="48"/>
      <c r="H390" s="48"/>
      <c r="I390" s="48"/>
      <c r="J390" s="48"/>
      <c r="K390" s="49"/>
      <c r="L390" s="50"/>
      <c r="M390" s="50"/>
      <c r="N390" s="50"/>
      <c r="O390" s="50"/>
      <c r="P390" s="50"/>
      <c r="Q390" s="50"/>
      <c r="R390" s="50"/>
      <c r="S390" s="50"/>
      <c r="T390" s="26" t="str">
        <f t="shared" si="12"/>
        <v>pass</v>
      </c>
      <c r="U390" s="50"/>
      <c r="V390" s="50"/>
      <c r="W390" s="50"/>
      <c r="X390" s="50"/>
      <c r="Y390" s="50"/>
      <c r="Z390" s="50"/>
      <c r="AA390" s="50"/>
    </row>
    <row r="391" spans="2:27" outlineLevel="2" x14ac:dyDescent="0.25">
      <c r="B391" s="27">
        <v>173</v>
      </c>
      <c r="C391" s="48"/>
      <c r="D391" s="48"/>
      <c r="E391" s="48"/>
      <c r="F391" s="50"/>
      <c r="G391" s="48"/>
      <c r="H391" s="48"/>
      <c r="I391" s="48"/>
      <c r="J391" s="48"/>
      <c r="K391" s="49"/>
      <c r="L391" s="50"/>
      <c r="M391" s="50"/>
      <c r="N391" s="50"/>
      <c r="O391" s="50"/>
      <c r="P391" s="50"/>
      <c r="Q391" s="50"/>
      <c r="R391" s="50"/>
      <c r="S391" s="50"/>
      <c r="T391" s="26" t="str">
        <f t="shared" si="12"/>
        <v>pass</v>
      </c>
      <c r="U391" s="50"/>
      <c r="V391" s="50"/>
      <c r="W391" s="50"/>
      <c r="X391" s="50"/>
      <c r="Y391" s="50"/>
      <c r="Z391" s="50"/>
      <c r="AA391" s="50"/>
    </row>
    <row r="392" spans="2:27" outlineLevel="2" x14ac:dyDescent="0.25">
      <c r="B392" s="27">
        <v>174</v>
      </c>
      <c r="C392" s="48"/>
      <c r="D392" s="48"/>
      <c r="E392" s="48"/>
      <c r="F392" s="50"/>
      <c r="G392" s="48"/>
      <c r="H392" s="48"/>
      <c r="I392" s="48"/>
      <c r="J392" s="48"/>
      <c r="K392" s="49"/>
      <c r="L392" s="50"/>
      <c r="M392" s="50"/>
      <c r="N392" s="50"/>
      <c r="O392" s="50"/>
      <c r="P392" s="50"/>
      <c r="Q392" s="50"/>
      <c r="R392" s="50"/>
      <c r="S392" s="50"/>
      <c r="T392" s="26" t="str">
        <f t="shared" si="12"/>
        <v>pass</v>
      </c>
      <c r="U392" s="50"/>
      <c r="V392" s="50"/>
      <c r="W392" s="50"/>
      <c r="X392" s="50"/>
      <c r="Y392" s="50"/>
      <c r="Z392" s="50"/>
      <c r="AA392" s="50"/>
    </row>
    <row r="393" spans="2:27" outlineLevel="2" x14ac:dyDescent="0.25">
      <c r="B393" s="27">
        <v>175</v>
      </c>
      <c r="C393" s="48"/>
      <c r="D393" s="48"/>
      <c r="E393" s="48"/>
      <c r="F393" s="50"/>
      <c r="G393" s="48"/>
      <c r="H393" s="48"/>
      <c r="I393" s="48"/>
      <c r="J393" s="48"/>
      <c r="K393" s="49"/>
      <c r="L393" s="50"/>
      <c r="M393" s="50"/>
      <c r="N393" s="50"/>
      <c r="O393" s="50"/>
      <c r="P393" s="50"/>
      <c r="Q393" s="50"/>
      <c r="R393" s="50"/>
      <c r="S393" s="50"/>
      <c r="T393" s="26" t="str">
        <f t="shared" si="12"/>
        <v>pass</v>
      </c>
      <c r="U393" s="50"/>
      <c r="V393" s="50"/>
      <c r="W393" s="50"/>
      <c r="X393" s="50"/>
      <c r="Y393" s="50"/>
      <c r="Z393" s="50"/>
      <c r="AA393" s="50"/>
    </row>
    <row r="394" spans="2:27" outlineLevel="2" x14ac:dyDescent="0.25">
      <c r="B394" s="27">
        <v>176</v>
      </c>
      <c r="C394" s="48"/>
      <c r="D394" s="48"/>
      <c r="E394" s="48"/>
      <c r="F394" s="50"/>
      <c r="G394" s="48"/>
      <c r="H394" s="48"/>
      <c r="I394" s="48"/>
      <c r="J394" s="48"/>
      <c r="K394" s="49"/>
      <c r="L394" s="50"/>
      <c r="M394" s="50"/>
      <c r="N394" s="50"/>
      <c r="O394" s="50"/>
      <c r="P394" s="50"/>
      <c r="Q394" s="50"/>
      <c r="R394" s="50"/>
      <c r="S394" s="50"/>
      <c r="T394" s="26" t="str">
        <f t="shared" si="12"/>
        <v>pass</v>
      </c>
      <c r="U394" s="50"/>
      <c r="V394" s="50"/>
      <c r="W394" s="50"/>
      <c r="X394" s="50"/>
      <c r="Y394" s="50"/>
      <c r="Z394" s="50"/>
      <c r="AA394" s="50"/>
    </row>
    <row r="395" spans="2:27" outlineLevel="2" x14ac:dyDescent="0.25">
      <c r="B395" s="27">
        <v>177</v>
      </c>
      <c r="C395" s="48"/>
      <c r="D395" s="48"/>
      <c r="E395" s="48"/>
      <c r="F395" s="50"/>
      <c r="G395" s="48"/>
      <c r="H395" s="48"/>
      <c r="I395" s="48"/>
      <c r="J395" s="48"/>
      <c r="K395" s="49"/>
      <c r="L395" s="50"/>
      <c r="M395" s="50"/>
      <c r="N395" s="50"/>
      <c r="O395" s="50"/>
      <c r="P395" s="50"/>
      <c r="Q395" s="50"/>
      <c r="R395" s="50"/>
      <c r="S395" s="50"/>
      <c r="T395" s="26" t="str">
        <f t="shared" si="12"/>
        <v>pass</v>
      </c>
      <c r="U395" s="50"/>
      <c r="V395" s="50"/>
      <c r="W395" s="50"/>
      <c r="X395" s="50"/>
      <c r="Y395" s="50"/>
      <c r="Z395" s="50"/>
      <c r="AA395" s="50"/>
    </row>
    <row r="396" spans="2:27" outlineLevel="2" x14ac:dyDescent="0.25">
      <c r="B396" s="27">
        <v>178</v>
      </c>
      <c r="C396" s="48"/>
      <c r="D396" s="48"/>
      <c r="E396" s="48"/>
      <c r="F396" s="50"/>
      <c r="G396" s="48"/>
      <c r="H396" s="48"/>
      <c r="I396" s="48"/>
      <c r="J396" s="48"/>
      <c r="K396" s="49"/>
      <c r="L396" s="50"/>
      <c r="M396" s="50"/>
      <c r="N396" s="50"/>
      <c r="O396" s="50"/>
      <c r="P396" s="50"/>
      <c r="Q396" s="50"/>
      <c r="R396" s="50"/>
      <c r="S396" s="50"/>
      <c r="T396" s="26" t="str">
        <f t="shared" si="12"/>
        <v>pass</v>
      </c>
      <c r="U396" s="50"/>
      <c r="V396" s="50"/>
      <c r="W396" s="50"/>
      <c r="X396" s="50"/>
      <c r="Y396" s="50"/>
      <c r="Z396" s="50"/>
      <c r="AA396" s="50"/>
    </row>
    <row r="397" spans="2:27" outlineLevel="2" x14ac:dyDescent="0.25">
      <c r="B397" s="27">
        <v>179</v>
      </c>
      <c r="C397" s="48"/>
      <c r="D397" s="48"/>
      <c r="E397" s="48"/>
      <c r="F397" s="50"/>
      <c r="G397" s="48"/>
      <c r="H397" s="48"/>
      <c r="I397" s="48"/>
      <c r="J397" s="48"/>
      <c r="K397" s="49"/>
      <c r="L397" s="50"/>
      <c r="M397" s="50"/>
      <c r="N397" s="50"/>
      <c r="O397" s="50"/>
      <c r="P397" s="50"/>
      <c r="Q397" s="50"/>
      <c r="R397" s="50"/>
      <c r="S397" s="50"/>
      <c r="T397" s="26" t="str">
        <f t="shared" si="12"/>
        <v>pass</v>
      </c>
      <c r="U397" s="50"/>
      <c r="V397" s="50"/>
      <c r="W397" s="50"/>
      <c r="X397" s="50"/>
      <c r="Y397" s="50"/>
      <c r="Z397" s="50"/>
      <c r="AA397" s="50"/>
    </row>
    <row r="398" spans="2:27" outlineLevel="2" x14ac:dyDescent="0.25">
      <c r="B398" s="27">
        <v>180</v>
      </c>
      <c r="C398" s="48"/>
      <c r="D398" s="48"/>
      <c r="E398" s="48"/>
      <c r="F398" s="50"/>
      <c r="G398" s="48"/>
      <c r="H398" s="48"/>
      <c r="I398" s="48"/>
      <c r="J398" s="48"/>
      <c r="K398" s="49"/>
      <c r="L398" s="50"/>
      <c r="M398" s="50"/>
      <c r="N398" s="50"/>
      <c r="O398" s="50"/>
      <c r="P398" s="50"/>
      <c r="Q398" s="50"/>
      <c r="R398" s="50"/>
      <c r="S398" s="50"/>
      <c r="T398" s="26" t="str">
        <f t="shared" si="12"/>
        <v>pass</v>
      </c>
      <c r="U398" s="50"/>
      <c r="V398" s="50"/>
      <c r="W398" s="50"/>
      <c r="X398" s="50"/>
      <c r="Y398" s="50"/>
      <c r="Z398" s="50"/>
      <c r="AA398" s="50"/>
    </row>
    <row r="399" spans="2:27" outlineLevel="2" x14ac:dyDescent="0.25">
      <c r="B399" s="27">
        <v>181</v>
      </c>
      <c r="C399" s="48"/>
      <c r="D399" s="48"/>
      <c r="E399" s="48"/>
      <c r="F399" s="50"/>
      <c r="G399" s="48"/>
      <c r="H399" s="48"/>
      <c r="I399" s="48"/>
      <c r="J399" s="48"/>
      <c r="K399" s="49"/>
      <c r="L399" s="50"/>
      <c r="M399" s="50"/>
      <c r="N399" s="50"/>
      <c r="O399" s="50"/>
      <c r="P399" s="50"/>
      <c r="Q399" s="50"/>
      <c r="R399" s="50"/>
      <c r="S399" s="50"/>
      <c r="T399" s="26" t="str">
        <f t="shared" si="12"/>
        <v>pass</v>
      </c>
      <c r="U399" s="50"/>
      <c r="V399" s="50"/>
      <c r="W399" s="50"/>
      <c r="X399" s="50"/>
      <c r="Y399" s="50"/>
      <c r="Z399" s="50"/>
      <c r="AA399" s="50"/>
    </row>
    <row r="400" spans="2:27" outlineLevel="2" x14ac:dyDescent="0.25">
      <c r="B400" s="27">
        <v>182</v>
      </c>
      <c r="C400" s="48"/>
      <c r="D400" s="48"/>
      <c r="E400" s="48"/>
      <c r="F400" s="50"/>
      <c r="G400" s="48"/>
      <c r="H400" s="48"/>
      <c r="I400" s="48"/>
      <c r="J400" s="48"/>
      <c r="K400" s="49"/>
      <c r="L400" s="50"/>
      <c r="M400" s="50"/>
      <c r="N400" s="50"/>
      <c r="O400" s="50"/>
      <c r="P400" s="50"/>
      <c r="Q400" s="50"/>
      <c r="R400" s="50"/>
      <c r="S400" s="50"/>
      <c r="T400" s="26" t="str">
        <f t="shared" si="12"/>
        <v>pass</v>
      </c>
      <c r="U400" s="50"/>
      <c r="V400" s="50"/>
      <c r="W400" s="50"/>
      <c r="X400" s="50"/>
      <c r="Y400" s="50"/>
      <c r="Z400" s="50"/>
      <c r="AA400" s="50"/>
    </row>
    <row r="401" spans="2:27" outlineLevel="2" x14ac:dyDescent="0.25">
      <c r="B401" s="27">
        <v>183</v>
      </c>
      <c r="C401" s="48"/>
      <c r="D401" s="48"/>
      <c r="E401" s="48"/>
      <c r="F401" s="50"/>
      <c r="G401" s="48"/>
      <c r="H401" s="48"/>
      <c r="I401" s="48"/>
      <c r="J401" s="48"/>
      <c r="K401" s="49"/>
      <c r="L401" s="50"/>
      <c r="M401" s="50"/>
      <c r="N401" s="50"/>
      <c r="O401" s="50"/>
      <c r="P401" s="50"/>
      <c r="Q401" s="50"/>
      <c r="R401" s="50"/>
      <c r="S401" s="50"/>
      <c r="T401" s="26" t="str">
        <f t="shared" si="12"/>
        <v>pass</v>
      </c>
      <c r="U401" s="50"/>
      <c r="V401" s="50"/>
      <c r="W401" s="50"/>
      <c r="X401" s="50"/>
      <c r="Y401" s="50"/>
      <c r="Z401" s="50"/>
      <c r="AA401" s="50"/>
    </row>
    <row r="402" spans="2:27" outlineLevel="2" x14ac:dyDescent="0.25">
      <c r="B402" s="27">
        <v>184</v>
      </c>
      <c r="C402" s="48"/>
      <c r="D402" s="48"/>
      <c r="E402" s="48"/>
      <c r="F402" s="50"/>
      <c r="G402" s="48"/>
      <c r="H402" s="48"/>
      <c r="I402" s="48"/>
      <c r="J402" s="48"/>
      <c r="K402" s="49"/>
      <c r="L402" s="50"/>
      <c r="M402" s="50"/>
      <c r="N402" s="50"/>
      <c r="O402" s="50"/>
      <c r="P402" s="50"/>
      <c r="Q402" s="50"/>
      <c r="R402" s="50"/>
      <c r="S402" s="50"/>
      <c r="T402" s="26" t="str">
        <f t="shared" si="12"/>
        <v>pass</v>
      </c>
      <c r="U402" s="50"/>
      <c r="V402" s="50"/>
      <c r="W402" s="50"/>
      <c r="X402" s="50"/>
      <c r="Y402" s="50"/>
      <c r="Z402" s="50"/>
      <c r="AA402" s="50"/>
    </row>
    <row r="403" spans="2:27" outlineLevel="2" x14ac:dyDescent="0.25">
      <c r="B403" s="27">
        <v>185</v>
      </c>
      <c r="C403" s="48"/>
      <c r="D403" s="48"/>
      <c r="E403" s="48"/>
      <c r="F403" s="50"/>
      <c r="G403" s="48"/>
      <c r="H403" s="48"/>
      <c r="I403" s="48"/>
      <c r="J403" s="48"/>
      <c r="K403" s="49"/>
      <c r="L403" s="50"/>
      <c r="M403" s="50"/>
      <c r="N403" s="50"/>
      <c r="O403" s="50"/>
      <c r="P403" s="50"/>
      <c r="Q403" s="50"/>
      <c r="R403" s="50"/>
      <c r="S403" s="50"/>
      <c r="T403" s="26" t="str">
        <f t="shared" si="12"/>
        <v>pass</v>
      </c>
      <c r="U403" s="50"/>
      <c r="V403" s="50"/>
      <c r="W403" s="50"/>
      <c r="X403" s="50"/>
      <c r="Y403" s="50"/>
      <c r="Z403" s="50"/>
      <c r="AA403" s="50"/>
    </row>
    <row r="404" spans="2:27" outlineLevel="2" x14ac:dyDescent="0.25">
      <c r="B404" s="27">
        <v>186</v>
      </c>
      <c r="C404" s="48"/>
      <c r="D404" s="48"/>
      <c r="E404" s="48"/>
      <c r="F404" s="50"/>
      <c r="G404" s="48"/>
      <c r="H404" s="48"/>
      <c r="I404" s="48"/>
      <c r="J404" s="48"/>
      <c r="K404" s="49"/>
      <c r="L404" s="50"/>
      <c r="M404" s="50"/>
      <c r="N404" s="50"/>
      <c r="O404" s="50"/>
      <c r="P404" s="50"/>
      <c r="Q404" s="50"/>
      <c r="R404" s="50"/>
      <c r="S404" s="50"/>
      <c r="T404" s="26" t="str">
        <f t="shared" si="12"/>
        <v>pass</v>
      </c>
      <c r="U404" s="50"/>
      <c r="V404" s="50"/>
      <c r="W404" s="50"/>
      <c r="X404" s="50"/>
      <c r="Y404" s="50"/>
      <c r="Z404" s="50"/>
      <c r="AA404" s="50"/>
    </row>
    <row r="405" spans="2:27" outlineLevel="2" x14ac:dyDescent="0.25">
      <c r="B405" s="27">
        <v>187</v>
      </c>
      <c r="C405" s="48"/>
      <c r="D405" s="48"/>
      <c r="E405" s="48"/>
      <c r="F405" s="50"/>
      <c r="G405" s="48"/>
      <c r="H405" s="48"/>
      <c r="I405" s="48"/>
      <c r="J405" s="48"/>
      <c r="K405" s="49"/>
      <c r="L405" s="50"/>
      <c r="M405" s="50"/>
      <c r="N405" s="50"/>
      <c r="O405" s="50"/>
      <c r="P405" s="50"/>
      <c r="Q405" s="50"/>
      <c r="R405" s="50"/>
      <c r="S405" s="50"/>
      <c r="T405" s="26" t="str">
        <f t="shared" si="12"/>
        <v>pass</v>
      </c>
      <c r="U405" s="50"/>
      <c r="V405" s="50"/>
      <c r="W405" s="50"/>
      <c r="X405" s="50"/>
      <c r="Y405" s="50"/>
      <c r="Z405" s="50"/>
      <c r="AA405" s="50"/>
    </row>
    <row r="406" spans="2:27" outlineLevel="2" x14ac:dyDescent="0.25">
      <c r="B406" s="27">
        <v>188</v>
      </c>
      <c r="C406" s="48"/>
      <c r="D406" s="48"/>
      <c r="E406" s="48"/>
      <c r="F406" s="50"/>
      <c r="G406" s="48"/>
      <c r="H406" s="48"/>
      <c r="I406" s="48"/>
      <c r="J406" s="48"/>
      <c r="K406" s="49"/>
      <c r="L406" s="50"/>
      <c r="M406" s="50"/>
      <c r="N406" s="50"/>
      <c r="O406" s="50"/>
      <c r="P406" s="50"/>
      <c r="Q406" s="50"/>
      <c r="R406" s="50"/>
      <c r="S406" s="50"/>
      <c r="T406" s="26" t="str">
        <f t="shared" si="12"/>
        <v>pass</v>
      </c>
      <c r="U406" s="50"/>
      <c r="V406" s="50"/>
      <c r="W406" s="50"/>
      <c r="X406" s="50"/>
      <c r="Y406" s="50"/>
      <c r="Z406" s="50"/>
      <c r="AA406" s="50"/>
    </row>
    <row r="407" spans="2:27" outlineLevel="2" x14ac:dyDescent="0.25">
      <c r="B407" s="27">
        <v>189</v>
      </c>
      <c r="C407" s="48"/>
      <c r="D407" s="48"/>
      <c r="E407" s="48"/>
      <c r="F407" s="50"/>
      <c r="G407" s="48"/>
      <c r="H407" s="48"/>
      <c r="I407" s="48"/>
      <c r="J407" s="48"/>
      <c r="K407" s="49"/>
      <c r="L407" s="50"/>
      <c r="M407" s="50"/>
      <c r="N407" s="50"/>
      <c r="O407" s="50"/>
      <c r="P407" s="50"/>
      <c r="Q407" s="50"/>
      <c r="R407" s="50"/>
      <c r="S407" s="50"/>
      <c r="T407" s="26" t="str">
        <f t="shared" si="12"/>
        <v>pass</v>
      </c>
      <c r="U407" s="50"/>
      <c r="V407" s="50"/>
      <c r="W407" s="50"/>
      <c r="X407" s="50"/>
      <c r="Y407" s="50"/>
      <c r="Z407" s="50"/>
      <c r="AA407" s="50"/>
    </row>
    <row r="408" spans="2:27" outlineLevel="2" x14ac:dyDescent="0.25">
      <c r="B408" s="27">
        <v>190</v>
      </c>
      <c r="C408" s="48"/>
      <c r="D408" s="48"/>
      <c r="E408" s="48"/>
      <c r="F408" s="50"/>
      <c r="G408" s="48"/>
      <c r="H408" s="48"/>
      <c r="I408" s="48"/>
      <c r="J408" s="48"/>
      <c r="K408" s="49"/>
      <c r="L408" s="50"/>
      <c r="M408" s="50"/>
      <c r="N408" s="50"/>
      <c r="O408" s="50"/>
      <c r="P408" s="50"/>
      <c r="Q408" s="50"/>
      <c r="R408" s="50"/>
      <c r="S408" s="50"/>
      <c r="T408" s="26" t="str">
        <f t="shared" si="12"/>
        <v>pass</v>
      </c>
      <c r="U408" s="50"/>
      <c r="V408" s="50"/>
      <c r="W408" s="50"/>
      <c r="X408" s="50"/>
      <c r="Y408" s="50"/>
      <c r="Z408" s="50"/>
      <c r="AA408" s="50"/>
    </row>
    <row r="409" spans="2:27" outlineLevel="2" x14ac:dyDescent="0.25">
      <c r="B409" s="27">
        <v>191</v>
      </c>
      <c r="C409" s="48"/>
      <c r="D409" s="48"/>
      <c r="E409" s="48"/>
      <c r="F409" s="50"/>
      <c r="G409" s="48"/>
      <c r="H409" s="48"/>
      <c r="I409" s="48"/>
      <c r="J409" s="48"/>
      <c r="K409" s="49"/>
      <c r="L409" s="50"/>
      <c r="M409" s="50"/>
      <c r="N409" s="50"/>
      <c r="O409" s="50"/>
      <c r="P409" s="50"/>
      <c r="Q409" s="50"/>
      <c r="R409" s="50"/>
      <c r="S409" s="50"/>
      <c r="T409" s="26" t="str">
        <f t="shared" si="12"/>
        <v>pass</v>
      </c>
      <c r="U409" s="50"/>
      <c r="V409" s="50"/>
      <c r="W409" s="50"/>
      <c r="X409" s="50"/>
      <c r="Y409" s="50"/>
      <c r="Z409" s="50"/>
      <c r="AA409" s="50"/>
    </row>
    <row r="410" spans="2:27" outlineLevel="2" x14ac:dyDescent="0.25">
      <c r="B410" s="27">
        <v>192</v>
      </c>
      <c r="C410" s="48"/>
      <c r="D410" s="48"/>
      <c r="E410" s="48"/>
      <c r="F410" s="50"/>
      <c r="G410" s="48"/>
      <c r="H410" s="48"/>
      <c r="I410" s="48"/>
      <c r="J410" s="48"/>
      <c r="K410" s="49"/>
      <c r="L410" s="50"/>
      <c r="M410" s="50"/>
      <c r="N410" s="50"/>
      <c r="O410" s="50"/>
      <c r="P410" s="50"/>
      <c r="Q410" s="50"/>
      <c r="R410" s="50"/>
      <c r="S410" s="50"/>
      <c r="T410" s="26" t="str">
        <f t="shared" si="12"/>
        <v>pass</v>
      </c>
      <c r="U410" s="50"/>
      <c r="V410" s="50"/>
      <c r="W410" s="50"/>
      <c r="X410" s="50"/>
      <c r="Y410" s="50"/>
      <c r="Z410" s="50"/>
      <c r="AA410" s="50"/>
    </row>
    <row r="411" spans="2:27" outlineLevel="2" x14ac:dyDescent="0.25">
      <c r="B411" s="27">
        <v>193</v>
      </c>
      <c r="C411" s="48"/>
      <c r="D411" s="48"/>
      <c r="E411" s="48"/>
      <c r="F411" s="50"/>
      <c r="G411" s="48"/>
      <c r="H411" s="48"/>
      <c r="I411" s="48"/>
      <c r="J411" s="48"/>
      <c r="K411" s="49"/>
      <c r="L411" s="50"/>
      <c r="M411" s="50"/>
      <c r="N411" s="50"/>
      <c r="O411" s="50"/>
      <c r="P411" s="50"/>
      <c r="Q411" s="50"/>
      <c r="R411" s="50"/>
      <c r="S411" s="50"/>
      <c r="T411" s="26" t="str">
        <f t="shared" ref="T411:T418" si="13">IF(AND(C411&lt;&gt;"",SUM(K411,M411,O411,Q411,S411)=1),"pass",IF(AND(C411="",SUM(K411,M411,O411,Q411,S411)=0),"pass","fail"))</f>
        <v>pass</v>
      </c>
      <c r="U411" s="50"/>
      <c r="V411" s="50"/>
      <c r="W411" s="50"/>
      <c r="X411" s="50"/>
      <c r="Y411" s="50"/>
      <c r="Z411" s="50"/>
      <c r="AA411" s="50"/>
    </row>
    <row r="412" spans="2:27" outlineLevel="2" x14ac:dyDescent="0.25">
      <c r="B412" s="27">
        <v>194</v>
      </c>
      <c r="C412" s="48"/>
      <c r="D412" s="48"/>
      <c r="E412" s="48"/>
      <c r="F412" s="50"/>
      <c r="G412" s="48"/>
      <c r="H412" s="48"/>
      <c r="I412" s="48"/>
      <c r="J412" s="48"/>
      <c r="K412" s="49"/>
      <c r="L412" s="50"/>
      <c r="M412" s="50"/>
      <c r="N412" s="50"/>
      <c r="O412" s="50"/>
      <c r="P412" s="50"/>
      <c r="Q412" s="50"/>
      <c r="R412" s="50"/>
      <c r="S412" s="50"/>
      <c r="T412" s="26" t="str">
        <f t="shared" si="13"/>
        <v>pass</v>
      </c>
      <c r="U412" s="50"/>
      <c r="V412" s="50"/>
      <c r="W412" s="50"/>
      <c r="X412" s="50"/>
      <c r="Y412" s="50"/>
      <c r="Z412" s="50"/>
      <c r="AA412" s="50"/>
    </row>
    <row r="413" spans="2:27" outlineLevel="2" x14ac:dyDescent="0.25">
      <c r="B413" s="27">
        <v>195</v>
      </c>
      <c r="C413" s="48"/>
      <c r="D413" s="48"/>
      <c r="E413" s="48"/>
      <c r="F413" s="50"/>
      <c r="G413" s="48"/>
      <c r="H413" s="48"/>
      <c r="I413" s="48"/>
      <c r="J413" s="48"/>
      <c r="K413" s="49"/>
      <c r="L413" s="50"/>
      <c r="M413" s="50"/>
      <c r="N413" s="50"/>
      <c r="O413" s="50"/>
      <c r="P413" s="50"/>
      <c r="Q413" s="50"/>
      <c r="R413" s="50"/>
      <c r="S413" s="50"/>
      <c r="T413" s="26" t="str">
        <f t="shared" si="13"/>
        <v>pass</v>
      </c>
      <c r="U413" s="50"/>
      <c r="V413" s="50"/>
      <c r="W413" s="50"/>
      <c r="X413" s="50"/>
      <c r="Y413" s="50"/>
      <c r="Z413" s="50"/>
      <c r="AA413" s="50"/>
    </row>
    <row r="414" spans="2:27" outlineLevel="2" x14ac:dyDescent="0.25">
      <c r="B414" s="27">
        <v>196</v>
      </c>
      <c r="C414" s="48"/>
      <c r="D414" s="48"/>
      <c r="E414" s="48"/>
      <c r="F414" s="50"/>
      <c r="G414" s="48"/>
      <c r="H414" s="48"/>
      <c r="I414" s="48"/>
      <c r="J414" s="48"/>
      <c r="K414" s="49"/>
      <c r="L414" s="50"/>
      <c r="M414" s="50"/>
      <c r="N414" s="50"/>
      <c r="O414" s="50"/>
      <c r="P414" s="50"/>
      <c r="Q414" s="50"/>
      <c r="R414" s="50"/>
      <c r="S414" s="50"/>
      <c r="T414" s="26" t="str">
        <f t="shared" si="13"/>
        <v>pass</v>
      </c>
      <c r="U414" s="50"/>
      <c r="V414" s="50"/>
      <c r="W414" s="50"/>
      <c r="X414" s="50"/>
      <c r="Y414" s="50"/>
      <c r="Z414" s="50"/>
      <c r="AA414" s="50"/>
    </row>
    <row r="415" spans="2:27" outlineLevel="2" x14ac:dyDescent="0.25">
      <c r="B415" s="27">
        <v>197</v>
      </c>
      <c r="C415" s="48"/>
      <c r="D415" s="48"/>
      <c r="E415" s="48"/>
      <c r="F415" s="50"/>
      <c r="G415" s="48"/>
      <c r="H415" s="48"/>
      <c r="I415" s="48"/>
      <c r="J415" s="48"/>
      <c r="K415" s="49"/>
      <c r="L415" s="50"/>
      <c r="M415" s="50"/>
      <c r="N415" s="50"/>
      <c r="O415" s="50"/>
      <c r="P415" s="50"/>
      <c r="Q415" s="50"/>
      <c r="R415" s="50"/>
      <c r="S415" s="50"/>
      <c r="T415" s="26" t="str">
        <f t="shared" si="13"/>
        <v>pass</v>
      </c>
      <c r="U415" s="50"/>
      <c r="V415" s="50"/>
      <c r="W415" s="50"/>
      <c r="X415" s="50"/>
      <c r="Y415" s="50"/>
      <c r="Z415" s="50"/>
      <c r="AA415" s="50"/>
    </row>
    <row r="416" spans="2:27" outlineLevel="2" x14ac:dyDescent="0.25">
      <c r="B416" s="27">
        <v>198</v>
      </c>
      <c r="C416" s="48"/>
      <c r="D416" s="48"/>
      <c r="E416" s="48"/>
      <c r="F416" s="50"/>
      <c r="G416" s="48"/>
      <c r="H416" s="48"/>
      <c r="I416" s="48"/>
      <c r="J416" s="48"/>
      <c r="K416" s="49"/>
      <c r="L416" s="50"/>
      <c r="M416" s="50"/>
      <c r="N416" s="50"/>
      <c r="O416" s="50"/>
      <c r="P416" s="50"/>
      <c r="Q416" s="50"/>
      <c r="R416" s="50"/>
      <c r="S416" s="50"/>
      <c r="T416" s="26" t="str">
        <f t="shared" si="13"/>
        <v>pass</v>
      </c>
      <c r="U416" s="50"/>
      <c r="V416" s="50"/>
      <c r="W416" s="50"/>
      <c r="X416" s="50"/>
      <c r="Y416" s="50"/>
      <c r="Z416" s="50"/>
      <c r="AA416" s="50"/>
    </row>
    <row r="417" spans="2:27" outlineLevel="2" x14ac:dyDescent="0.25">
      <c r="B417" s="27">
        <v>199</v>
      </c>
      <c r="C417" s="48"/>
      <c r="D417" s="48"/>
      <c r="E417" s="48"/>
      <c r="F417" s="50"/>
      <c r="G417" s="48"/>
      <c r="H417" s="48"/>
      <c r="I417" s="48"/>
      <c r="J417" s="48"/>
      <c r="K417" s="49"/>
      <c r="L417" s="50"/>
      <c r="M417" s="50"/>
      <c r="N417" s="50"/>
      <c r="O417" s="50"/>
      <c r="P417" s="50"/>
      <c r="Q417" s="50"/>
      <c r="R417" s="50"/>
      <c r="S417" s="50"/>
      <c r="T417" s="26" t="str">
        <f t="shared" si="13"/>
        <v>pass</v>
      </c>
      <c r="U417" s="50"/>
      <c r="V417" s="50"/>
      <c r="W417" s="50"/>
      <c r="X417" s="50"/>
      <c r="Y417" s="50"/>
      <c r="Z417" s="50"/>
      <c r="AA417" s="50"/>
    </row>
    <row r="418" spans="2:27" outlineLevel="2" x14ac:dyDescent="0.25">
      <c r="B418" s="27">
        <v>200</v>
      </c>
      <c r="C418" s="48"/>
      <c r="D418" s="48"/>
      <c r="E418" s="48"/>
      <c r="F418" s="50"/>
      <c r="G418" s="48"/>
      <c r="H418" s="48"/>
      <c r="I418" s="48"/>
      <c r="J418" s="48"/>
      <c r="K418" s="49"/>
      <c r="L418" s="50"/>
      <c r="M418" s="50"/>
      <c r="N418" s="50"/>
      <c r="O418" s="50"/>
      <c r="P418" s="50"/>
      <c r="Q418" s="50"/>
      <c r="R418" s="50"/>
      <c r="S418" s="50"/>
      <c r="T418" s="26" t="str">
        <f t="shared" si="13"/>
        <v>pass</v>
      </c>
      <c r="U418" s="50"/>
      <c r="V418" s="50"/>
      <c r="W418" s="50"/>
      <c r="X418" s="50"/>
      <c r="Y418" s="50"/>
      <c r="Z418" s="50"/>
      <c r="AA418" s="50"/>
    </row>
  </sheetData>
  <mergeCells count="2">
    <mergeCell ref="S217:W217"/>
    <mergeCell ref="Q12:U12"/>
  </mergeCells>
  <conditionalFormatting sqref="F4">
    <cfRule type="containsText" dxfId="21" priority="1" operator="containsText" text="TRUE">
      <formula>NOT(ISERROR(SEARCH("TRUE",F4)))</formula>
    </cfRule>
    <cfRule type="containsText" dxfId="20" priority="2" operator="containsText" text="FALSE">
      <formula>NOT(ISERROR(SEARCH("FALSE",F4)))</formula>
    </cfRule>
  </conditionalFormatting>
  <conditionalFormatting sqref="F8">
    <cfRule type="containsText" dxfId="19" priority="3" operator="containsText" text="Can't find">
      <formula>NOT(ISERROR(SEARCH("Can't find",F8)))</formula>
    </cfRule>
  </conditionalFormatting>
  <conditionalFormatting sqref="T14:T213 T219:T418">
    <cfRule type="cellIs" dxfId="18" priority="4" operator="equal">
      <formula>"pass"</formula>
    </cfRule>
    <cfRule type="cellIs" dxfId="17" priority="5" operator="equal">
      <formula>"fail"</formula>
    </cfRule>
  </conditionalFormatting>
  <dataValidations count="10">
    <dataValidation type="list" allowBlank="1" showInputMessage="1" showErrorMessage="1" sqref="AB14:AE35 AB36:AD213" xr:uid="{00000000-0002-0000-0000-000000000000}">
      <formula1>"Derived from cedant data, Benchmark data, Cedant provided, Broker provided"</formula1>
    </dataValidation>
    <dataValidation type="list" allowBlank="1" showInputMessage="1" showErrorMessage="1" sqref="E219:F418" xr:uid="{00000000-0002-0000-0000-000001000000}">
      <formula1>Development_classes</formula1>
    </dataValidation>
    <dataValidation type="decimal" operator="greaterThanOrEqual" allowBlank="1" showInputMessage="1" showErrorMessage="1" sqref="V14:V213 V219:V418" xr:uid="{00000000-0002-0000-0000-000002000000}">
      <formula1>0</formula1>
    </dataValidation>
    <dataValidation type="list" allowBlank="1" showInputMessage="1" showErrorMessage="1" sqref="U14:U213 U219:U418" xr:uid="{00000000-0002-0000-0000-000003000000}">
      <formula1>Currency_list</formula1>
    </dataValidation>
    <dataValidation type="decimal" allowBlank="1" showInputMessage="1" showErrorMessage="1" sqref="K14:K213 K219:K418 M14:M213 M219:M418 O14:O213 O219:O418 Q14:Q213 Q219:Q418 S14:S213 S219:S418" xr:uid="{00000000-0002-0000-0000-000004000000}">
      <formula1>0</formula1>
      <formula2>1</formula2>
    </dataValidation>
    <dataValidation type="list" allowBlank="1" showInputMessage="1" showErrorMessage="1" sqref="G14:G213 G219:H223 G224:G418 H224" xr:uid="{00000000-0002-0000-0000-000005000000}">
      <formula1>Region_list</formula1>
    </dataValidation>
    <dataValidation type="list" allowBlank="1" showInputMessage="1" showErrorMessage="1" sqref="I14:I213 I219:I418" xr:uid="{00000000-0002-0000-0000-000006000000}">
      <formula1>re_insurance_list</formula1>
    </dataValidation>
    <dataValidation type="list" allowBlank="1" showInputMessage="1" showErrorMessage="1" sqref="H14:H213 H225:H418" xr:uid="{00000000-0002-0000-0000-000007000000}">
      <formula1>Country_list</formula1>
    </dataValidation>
    <dataValidation type="list" allowBlank="1" showInputMessage="1" showErrorMessage="1" sqref="D14:D213 D219:D418" xr:uid="{00000000-0002-0000-0000-000008000000}">
      <formula1>P_NP_types</formula1>
    </dataValidation>
    <dataValidation type="list" allowBlank="1" showInputMessage="1" showErrorMessage="1" sqref="J14:J213 J219:J418 L14:L213 L219:L418 N14:N213 N219:N418 P14:P213 P219:P418 R14:R213 R219:R418" xr:uid="{00000000-0002-0000-0000-000009000000}">
      <formula1>LOBs_names</formula1>
    </dataValidation>
  </dataValidations>
  <pageMargins left="0.7" right="0.7" top="0.75" bottom="0.75" header="0.3" footer="0.3"/>
  <pageSetup orientation="portrait"/>
  <headerFooter>
    <oddFooter>&amp;C&amp;"Calibri"&amp;8 &amp;K000000_x000D_#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W827"/>
  <sheetViews>
    <sheetView zoomScale="70" zoomScaleNormal="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0" defaultRowHeight="15" x14ac:dyDescent="0.25"/>
  <cols>
    <col min="1" max="1" width="23.140625" customWidth="1"/>
    <col min="2" max="3" width="23.140625" style="8" customWidth="1"/>
    <col min="4" max="5" width="23.140625" style="9" customWidth="1"/>
    <col min="6" max="6" width="23.28515625" style="68" customWidth="1"/>
    <col min="7" max="7" width="15.7109375" style="3" customWidth="1"/>
    <col min="8" max="10" width="15.7109375" style="14" customWidth="1"/>
    <col min="11" max="157" width="15.7109375" style="3" customWidth="1"/>
    <col min="158" max="179" width="0" hidden="1" customWidth="1"/>
    <col min="180" max="180" width="9.140625" hidden="1" customWidth="1"/>
    <col min="181" max="16384" width="9.140625" hidden="1"/>
  </cols>
  <sheetData>
    <row r="1" spans="1:157" s="1" customFormat="1" ht="25.5" customHeight="1" x14ac:dyDescent="0.25">
      <c r="B1" s="4"/>
      <c r="C1" s="4"/>
      <c r="D1" s="5"/>
      <c r="E1" s="5"/>
      <c r="F1" s="56"/>
      <c r="G1" s="74" t="s">
        <v>69</v>
      </c>
      <c r="H1" s="75"/>
      <c r="I1" s="75"/>
      <c r="J1" s="7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30" customHeight="1" x14ac:dyDescent="0.25">
      <c r="A2" s="6" t="s">
        <v>70</v>
      </c>
      <c r="B2" s="6" t="s">
        <v>71</v>
      </c>
      <c r="C2" s="6" t="s">
        <v>72</v>
      </c>
      <c r="D2" s="7" t="s">
        <v>73</v>
      </c>
      <c r="E2" s="7" t="s">
        <v>74</v>
      </c>
      <c r="F2" s="11" t="s">
        <v>75</v>
      </c>
      <c r="G2" s="13">
        <f>month_first_development</f>
        <v>6</v>
      </c>
      <c r="H2" s="13">
        <f t="shared" ref="H2:AM2" si="0">G2+triangle_increments_months</f>
        <v>18</v>
      </c>
      <c r="I2" s="13">
        <f t="shared" si="0"/>
        <v>30</v>
      </c>
      <c r="J2" s="13">
        <f t="shared" si="0"/>
        <v>42</v>
      </c>
      <c r="K2" s="13">
        <f t="shared" si="0"/>
        <v>54</v>
      </c>
      <c r="L2" s="13">
        <f t="shared" si="0"/>
        <v>66</v>
      </c>
      <c r="M2" s="13">
        <f t="shared" si="0"/>
        <v>78</v>
      </c>
      <c r="N2" s="13">
        <f t="shared" si="0"/>
        <v>90</v>
      </c>
      <c r="O2" s="13">
        <f t="shared" si="0"/>
        <v>102</v>
      </c>
      <c r="P2" s="13">
        <f t="shared" si="0"/>
        <v>114</v>
      </c>
      <c r="Q2" s="13">
        <f t="shared" si="0"/>
        <v>126</v>
      </c>
      <c r="R2" s="13">
        <f t="shared" si="0"/>
        <v>138</v>
      </c>
      <c r="S2" s="13">
        <f t="shared" si="0"/>
        <v>150</v>
      </c>
      <c r="T2" s="13">
        <f t="shared" si="0"/>
        <v>162</v>
      </c>
      <c r="U2" s="13">
        <f t="shared" si="0"/>
        <v>174</v>
      </c>
      <c r="V2" s="13">
        <f t="shared" si="0"/>
        <v>186</v>
      </c>
      <c r="W2" s="13">
        <f t="shared" si="0"/>
        <v>198</v>
      </c>
      <c r="X2" s="13">
        <f t="shared" si="0"/>
        <v>210</v>
      </c>
      <c r="Y2" s="13">
        <f t="shared" si="0"/>
        <v>222</v>
      </c>
      <c r="Z2" s="13">
        <f t="shared" si="0"/>
        <v>234</v>
      </c>
      <c r="AA2" s="13">
        <f t="shared" si="0"/>
        <v>246</v>
      </c>
      <c r="AB2" s="13">
        <f t="shared" si="0"/>
        <v>258</v>
      </c>
      <c r="AC2" s="13">
        <f t="shared" si="0"/>
        <v>270</v>
      </c>
      <c r="AD2" s="13">
        <f t="shared" si="0"/>
        <v>282</v>
      </c>
      <c r="AE2" s="13">
        <f t="shared" si="0"/>
        <v>294</v>
      </c>
      <c r="AF2" s="13">
        <f t="shared" si="0"/>
        <v>306</v>
      </c>
      <c r="AG2" s="13">
        <f t="shared" si="0"/>
        <v>318</v>
      </c>
      <c r="AH2" s="13">
        <f t="shared" si="0"/>
        <v>330</v>
      </c>
      <c r="AI2" s="13">
        <f t="shared" si="0"/>
        <v>342</v>
      </c>
      <c r="AJ2" s="13">
        <f t="shared" si="0"/>
        <v>354</v>
      </c>
      <c r="AK2" s="13">
        <f t="shared" si="0"/>
        <v>366</v>
      </c>
      <c r="AL2" s="13">
        <f t="shared" si="0"/>
        <v>378</v>
      </c>
      <c r="AM2" s="13">
        <f t="shared" si="0"/>
        <v>390</v>
      </c>
      <c r="AN2" s="13">
        <f t="shared" ref="AN2:BS2" si="1">AM2+triangle_increments_months</f>
        <v>402</v>
      </c>
      <c r="AO2" s="13">
        <f t="shared" si="1"/>
        <v>414</v>
      </c>
      <c r="AP2" s="13">
        <f t="shared" si="1"/>
        <v>426</v>
      </c>
      <c r="AQ2" s="13">
        <f t="shared" si="1"/>
        <v>438</v>
      </c>
      <c r="AR2" s="13">
        <f t="shared" si="1"/>
        <v>450</v>
      </c>
      <c r="AS2" s="13">
        <f t="shared" si="1"/>
        <v>462</v>
      </c>
      <c r="AT2" s="13">
        <f t="shared" si="1"/>
        <v>474</v>
      </c>
      <c r="AU2" s="13">
        <f t="shared" si="1"/>
        <v>486</v>
      </c>
      <c r="AV2" s="13">
        <f t="shared" si="1"/>
        <v>498</v>
      </c>
      <c r="AW2" s="13">
        <f t="shared" si="1"/>
        <v>510</v>
      </c>
      <c r="AX2" s="13">
        <f t="shared" si="1"/>
        <v>522</v>
      </c>
      <c r="AY2" s="13">
        <f t="shared" si="1"/>
        <v>534</v>
      </c>
      <c r="AZ2" s="13">
        <f t="shared" si="1"/>
        <v>546</v>
      </c>
      <c r="BA2" s="13">
        <f t="shared" si="1"/>
        <v>558</v>
      </c>
      <c r="BB2" s="13">
        <f t="shared" si="1"/>
        <v>570</v>
      </c>
      <c r="BC2" s="13">
        <f t="shared" si="1"/>
        <v>582</v>
      </c>
      <c r="BD2" s="13">
        <f t="shared" si="1"/>
        <v>594</v>
      </c>
      <c r="BE2" s="13">
        <f t="shared" si="1"/>
        <v>606</v>
      </c>
      <c r="BF2" s="13">
        <f t="shared" si="1"/>
        <v>618</v>
      </c>
      <c r="BG2" s="13">
        <f t="shared" si="1"/>
        <v>630</v>
      </c>
      <c r="BH2" s="13">
        <f t="shared" si="1"/>
        <v>642</v>
      </c>
      <c r="BI2" s="13">
        <f t="shared" si="1"/>
        <v>654</v>
      </c>
      <c r="BJ2" s="13">
        <f t="shared" si="1"/>
        <v>666</v>
      </c>
      <c r="BK2" s="13">
        <f t="shared" si="1"/>
        <v>678</v>
      </c>
      <c r="BL2" s="13">
        <f t="shared" si="1"/>
        <v>690</v>
      </c>
      <c r="BM2" s="13">
        <f t="shared" si="1"/>
        <v>702</v>
      </c>
      <c r="BN2" s="13">
        <f t="shared" si="1"/>
        <v>714</v>
      </c>
      <c r="BO2" s="13">
        <f t="shared" si="1"/>
        <v>726</v>
      </c>
      <c r="BP2" s="13">
        <f t="shared" si="1"/>
        <v>738</v>
      </c>
      <c r="BQ2" s="13">
        <f t="shared" si="1"/>
        <v>750</v>
      </c>
      <c r="BR2" s="13">
        <f t="shared" si="1"/>
        <v>762</v>
      </c>
      <c r="BS2" s="13">
        <f t="shared" si="1"/>
        <v>774</v>
      </c>
      <c r="BT2" s="13">
        <f t="shared" ref="BT2:CY2" si="2">BS2+triangle_increments_months</f>
        <v>786</v>
      </c>
      <c r="BU2" s="13">
        <f t="shared" si="2"/>
        <v>798</v>
      </c>
      <c r="BV2" s="13">
        <f t="shared" si="2"/>
        <v>810</v>
      </c>
      <c r="BW2" s="13">
        <f t="shared" si="2"/>
        <v>822</v>
      </c>
      <c r="BX2" s="13">
        <f t="shared" si="2"/>
        <v>834</v>
      </c>
      <c r="BY2" s="13">
        <f t="shared" si="2"/>
        <v>846</v>
      </c>
      <c r="BZ2" s="13">
        <f t="shared" si="2"/>
        <v>858</v>
      </c>
      <c r="CA2" s="13">
        <f t="shared" si="2"/>
        <v>870</v>
      </c>
      <c r="CB2" s="13">
        <f t="shared" si="2"/>
        <v>882</v>
      </c>
      <c r="CC2" s="13">
        <f t="shared" si="2"/>
        <v>894</v>
      </c>
      <c r="CD2" s="13">
        <f t="shared" si="2"/>
        <v>906</v>
      </c>
      <c r="CE2" s="13">
        <f t="shared" si="2"/>
        <v>918</v>
      </c>
      <c r="CF2" s="13">
        <f t="shared" si="2"/>
        <v>930</v>
      </c>
      <c r="CG2" s="13">
        <f t="shared" si="2"/>
        <v>942</v>
      </c>
      <c r="CH2" s="13">
        <f t="shared" si="2"/>
        <v>954</v>
      </c>
      <c r="CI2" s="13">
        <f t="shared" si="2"/>
        <v>966</v>
      </c>
      <c r="CJ2" s="13">
        <f t="shared" si="2"/>
        <v>978</v>
      </c>
      <c r="CK2" s="13">
        <f t="shared" si="2"/>
        <v>990</v>
      </c>
      <c r="CL2" s="13">
        <f t="shared" si="2"/>
        <v>1002</v>
      </c>
      <c r="CM2" s="13">
        <f t="shared" si="2"/>
        <v>1014</v>
      </c>
      <c r="CN2" s="13">
        <f t="shared" si="2"/>
        <v>1026</v>
      </c>
      <c r="CO2" s="13">
        <f t="shared" si="2"/>
        <v>1038</v>
      </c>
      <c r="CP2" s="13">
        <f t="shared" si="2"/>
        <v>1050</v>
      </c>
      <c r="CQ2" s="13">
        <f t="shared" si="2"/>
        <v>1062</v>
      </c>
      <c r="CR2" s="13">
        <f t="shared" si="2"/>
        <v>1074</v>
      </c>
      <c r="CS2" s="13">
        <f t="shared" si="2"/>
        <v>1086</v>
      </c>
      <c r="CT2" s="13">
        <f t="shared" si="2"/>
        <v>1098</v>
      </c>
      <c r="CU2" s="13">
        <f t="shared" si="2"/>
        <v>1110</v>
      </c>
      <c r="CV2" s="13">
        <f t="shared" si="2"/>
        <v>1122</v>
      </c>
      <c r="CW2" s="13">
        <f t="shared" si="2"/>
        <v>1134</v>
      </c>
      <c r="CX2" s="13">
        <f t="shared" si="2"/>
        <v>1146</v>
      </c>
      <c r="CY2" s="13">
        <f t="shared" si="2"/>
        <v>1158</v>
      </c>
      <c r="CZ2" s="13">
        <f t="shared" ref="CZ2:EE2" si="3">CY2+triangle_increments_months</f>
        <v>1170</v>
      </c>
      <c r="DA2" s="13">
        <f t="shared" si="3"/>
        <v>1182</v>
      </c>
      <c r="DB2" s="13">
        <f t="shared" si="3"/>
        <v>1194</v>
      </c>
      <c r="DC2" s="13">
        <f t="shared" si="3"/>
        <v>1206</v>
      </c>
      <c r="DD2" s="13">
        <f t="shared" si="3"/>
        <v>1218</v>
      </c>
      <c r="DE2" s="13">
        <f t="shared" si="3"/>
        <v>1230</v>
      </c>
      <c r="DF2" s="13">
        <f t="shared" si="3"/>
        <v>1242</v>
      </c>
      <c r="DG2" s="13">
        <f t="shared" si="3"/>
        <v>1254</v>
      </c>
      <c r="DH2" s="13">
        <f t="shared" si="3"/>
        <v>1266</v>
      </c>
      <c r="DI2" s="13">
        <f t="shared" si="3"/>
        <v>1278</v>
      </c>
      <c r="DJ2" s="13">
        <f t="shared" si="3"/>
        <v>1290</v>
      </c>
      <c r="DK2" s="13">
        <f t="shared" si="3"/>
        <v>1302</v>
      </c>
      <c r="DL2" s="13">
        <f t="shared" si="3"/>
        <v>1314</v>
      </c>
      <c r="DM2" s="13">
        <f t="shared" si="3"/>
        <v>1326</v>
      </c>
      <c r="DN2" s="13">
        <f t="shared" si="3"/>
        <v>1338</v>
      </c>
      <c r="DO2" s="13">
        <f t="shared" si="3"/>
        <v>1350</v>
      </c>
      <c r="DP2" s="13">
        <f t="shared" si="3"/>
        <v>1362</v>
      </c>
      <c r="DQ2" s="13">
        <f t="shared" si="3"/>
        <v>1374</v>
      </c>
      <c r="DR2" s="13">
        <f t="shared" si="3"/>
        <v>1386</v>
      </c>
      <c r="DS2" s="13">
        <f t="shared" si="3"/>
        <v>1398</v>
      </c>
      <c r="DT2" s="13">
        <f t="shared" si="3"/>
        <v>1410</v>
      </c>
      <c r="DU2" s="13">
        <f t="shared" si="3"/>
        <v>1422</v>
      </c>
      <c r="DV2" s="13">
        <f t="shared" si="3"/>
        <v>1434</v>
      </c>
      <c r="DW2" s="13">
        <f t="shared" si="3"/>
        <v>1446</v>
      </c>
      <c r="DX2" s="13">
        <f t="shared" si="3"/>
        <v>1458</v>
      </c>
      <c r="DY2" s="13">
        <f t="shared" si="3"/>
        <v>1470</v>
      </c>
      <c r="DZ2" s="13">
        <f t="shared" si="3"/>
        <v>1482</v>
      </c>
      <c r="EA2" s="13">
        <f t="shared" si="3"/>
        <v>1494</v>
      </c>
      <c r="EB2" s="13">
        <f t="shared" si="3"/>
        <v>1506</v>
      </c>
      <c r="EC2" s="13">
        <f t="shared" si="3"/>
        <v>1518</v>
      </c>
      <c r="ED2" s="13">
        <f t="shared" si="3"/>
        <v>1530</v>
      </c>
      <c r="EE2" s="13">
        <f t="shared" si="3"/>
        <v>1542</v>
      </c>
      <c r="EF2" s="13">
        <f t="shared" ref="EF2:FA2" si="4">EE2+triangle_increments_months</f>
        <v>1554</v>
      </c>
      <c r="EG2" s="13">
        <f t="shared" si="4"/>
        <v>1566</v>
      </c>
      <c r="EH2" s="13">
        <f t="shared" si="4"/>
        <v>1578</v>
      </c>
      <c r="EI2" s="13">
        <f t="shared" si="4"/>
        <v>1590</v>
      </c>
      <c r="EJ2" s="13">
        <f t="shared" si="4"/>
        <v>1602</v>
      </c>
      <c r="EK2" s="13">
        <f t="shared" si="4"/>
        <v>1614</v>
      </c>
      <c r="EL2" s="13">
        <f t="shared" si="4"/>
        <v>1626</v>
      </c>
      <c r="EM2" s="13">
        <f t="shared" si="4"/>
        <v>1638</v>
      </c>
      <c r="EN2" s="13">
        <f t="shared" si="4"/>
        <v>1650</v>
      </c>
      <c r="EO2" s="13">
        <f t="shared" si="4"/>
        <v>1662</v>
      </c>
      <c r="EP2" s="13">
        <f t="shared" si="4"/>
        <v>1674</v>
      </c>
      <c r="EQ2" s="13">
        <f t="shared" si="4"/>
        <v>1686</v>
      </c>
      <c r="ER2" s="13">
        <f t="shared" si="4"/>
        <v>1698</v>
      </c>
      <c r="ES2" s="13">
        <f t="shared" si="4"/>
        <v>1710</v>
      </c>
      <c r="ET2" s="13">
        <f t="shared" si="4"/>
        <v>1722</v>
      </c>
      <c r="EU2" s="13">
        <f t="shared" si="4"/>
        <v>1734</v>
      </c>
      <c r="EV2" s="13">
        <f t="shared" si="4"/>
        <v>1746</v>
      </c>
      <c r="EW2" s="13">
        <f t="shared" si="4"/>
        <v>1758</v>
      </c>
      <c r="EX2" s="13">
        <f t="shared" si="4"/>
        <v>1770</v>
      </c>
      <c r="EY2" s="13">
        <f t="shared" si="4"/>
        <v>1782</v>
      </c>
      <c r="EZ2" s="13">
        <f t="shared" si="4"/>
        <v>1794</v>
      </c>
      <c r="FA2" s="13">
        <f t="shared" si="4"/>
        <v>1806</v>
      </c>
    </row>
    <row r="3" spans="1:157" x14ac:dyDescent="0.25">
      <c r="A3" s="28" t="s">
        <v>49</v>
      </c>
      <c r="B3" t="s">
        <v>76</v>
      </c>
      <c r="C3" t="s">
        <v>77</v>
      </c>
      <c r="D3" t="s">
        <v>82</v>
      </c>
      <c r="E3" t="s">
        <v>78</v>
      </c>
      <c r="F3" s="71">
        <v>36892</v>
      </c>
      <c r="G3">
        <v>6423779.080000001</v>
      </c>
      <c r="H3" s="3">
        <v>6423779.080000001</v>
      </c>
      <c r="I3" s="3">
        <v>6423779.080000001</v>
      </c>
      <c r="J3" s="3">
        <v>6423779.080000001</v>
      </c>
      <c r="K3">
        <v>6423779.080000001</v>
      </c>
      <c r="L3">
        <v>6423779.080000001</v>
      </c>
      <c r="M3">
        <v>6423779.080000001</v>
      </c>
      <c r="N3">
        <v>6423779.080000001</v>
      </c>
      <c r="O3">
        <v>6423779.080000001</v>
      </c>
      <c r="P3">
        <v>6423779.080000001</v>
      </c>
      <c r="Q3">
        <v>6423779.080000001</v>
      </c>
      <c r="R3">
        <v>6423779.080000001</v>
      </c>
      <c r="S3">
        <v>6423779.080000001</v>
      </c>
      <c r="T3">
        <v>6423779.080000001</v>
      </c>
      <c r="U3">
        <v>6423779.080000001</v>
      </c>
      <c r="V3">
        <v>6423779.080000001</v>
      </c>
      <c r="W3">
        <v>6423779.080000001</v>
      </c>
      <c r="X3">
        <v>6423779.080000001</v>
      </c>
      <c r="Y3">
        <v>6423779.080000001</v>
      </c>
      <c r="Z3">
        <v>6423779.080000001</v>
      </c>
      <c r="AA3">
        <v>6423779.080000001</v>
      </c>
      <c r="AB3">
        <v>6423779.080000001</v>
      </c>
      <c r="AC3">
        <v>6423779.080000001</v>
      </c>
      <c r="AD3">
        <v>6423779.080000001</v>
      </c>
      <c r="AE3">
        <v>6423779.080000001</v>
      </c>
    </row>
    <row r="4" spans="1:157" x14ac:dyDescent="0.25">
      <c r="A4" s="28" t="s">
        <v>49</v>
      </c>
      <c r="B4" t="s">
        <v>76</v>
      </c>
      <c r="C4" t="s">
        <v>77</v>
      </c>
      <c r="D4" t="s">
        <v>82</v>
      </c>
      <c r="E4" t="s">
        <v>78</v>
      </c>
      <c r="F4" s="71">
        <v>37257</v>
      </c>
      <c r="G4">
        <v>2293989.5099999998</v>
      </c>
      <c r="H4" s="3">
        <v>2293989.5099999998</v>
      </c>
      <c r="I4" s="3">
        <v>2293989.5099999998</v>
      </c>
      <c r="J4" s="3">
        <v>2293989.5099999998</v>
      </c>
      <c r="K4">
        <v>2293989.5099999998</v>
      </c>
      <c r="L4">
        <v>2293989.5099999998</v>
      </c>
      <c r="M4">
        <v>2293989.5099999998</v>
      </c>
      <c r="N4">
        <v>2293989.5099999998</v>
      </c>
      <c r="O4">
        <v>2293989.5099999998</v>
      </c>
      <c r="P4">
        <v>2293989.5099999998</v>
      </c>
      <c r="Q4">
        <v>2293989.5099999998</v>
      </c>
      <c r="R4">
        <v>2293989.5099999998</v>
      </c>
      <c r="S4">
        <v>2293989.5099999998</v>
      </c>
      <c r="T4">
        <v>2293989.5099999998</v>
      </c>
      <c r="U4">
        <v>2293989.5099999998</v>
      </c>
      <c r="V4">
        <v>2293989.5099999998</v>
      </c>
      <c r="W4">
        <v>2293989.5099999998</v>
      </c>
      <c r="X4">
        <v>2293989.5099999998</v>
      </c>
      <c r="Y4">
        <v>2293989.5099999998</v>
      </c>
      <c r="Z4">
        <v>2293989.5099999998</v>
      </c>
      <c r="AA4">
        <v>2293989.5099999998</v>
      </c>
      <c r="AB4">
        <v>2293989.5099999998</v>
      </c>
      <c r="AC4">
        <v>2293989.5099999998</v>
      </c>
      <c r="AD4">
        <v>2293989.5099999998</v>
      </c>
    </row>
    <row r="5" spans="1:157" x14ac:dyDescent="0.25">
      <c r="A5" s="28" t="s">
        <v>49</v>
      </c>
      <c r="B5" t="s">
        <v>76</v>
      </c>
      <c r="C5" t="s">
        <v>77</v>
      </c>
      <c r="D5" t="s">
        <v>82</v>
      </c>
      <c r="E5" t="s">
        <v>78</v>
      </c>
      <c r="F5" s="71">
        <v>37622</v>
      </c>
      <c r="G5">
        <v>4382395.57</v>
      </c>
      <c r="H5" s="3">
        <v>4382395.57</v>
      </c>
      <c r="I5" s="3">
        <v>4382395.57</v>
      </c>
      <c r="J5" s="3">
        <v>4382395.57</v>
      </c>
      <c r="K5">
        <v>4382395.57</v>
      </c>
      <c r="L5">
        <v>4382395.57</v>
      </c>
      <c r="M5">
        <v>4382395.57</v>
      </c>
      <c r="N5">
        <v>4382395.57</v>
      </c>
      <c r="O5">
        <v>4382395.57</v>
      </c>
      <c r="P5">
        <v>4382395.57</v>
      </c>
      <c r="Q5">
        <v>4382395.57</v>
      </c>
      <c r="R5">
        <v>4382395.57</v>
      </c>
      <c r="S5">
        <v>4382395.57</v>
      </c>
      <c r="T5">
        <v>4382395.57</v>
      </c>
      <c r="U5">
        <v>4382395.57</v>
      </c>
      <c r="V5">
        <v>4382395.57</v>
      </c>
      <c r="W5">
        <v>4382395.57</v>
      </c>
      <c r="X5">
        <v>4382395.57</v>
      </c>
      <c r="Y5">
        <v>4382395.57</v>
      </c>
      <c r="Z5">
        <v>4382395.57</v>
      </c>
      <c r="AA5">
        <v>4382395.57</v>
      </c>
      <c r="AB5">
        <v>4382395.57</v>
      </c>
      <c r="AC5">
        <v>4382395.57</v>
      </c>
    </row>
    <row r="6" spans="1:157" x14ac:dyDescent="0.25">
      <c r="A6" s="28" t="s">
        <v>49</v>
      </c>
      <c r="B6" t="s">
        <v>76</v>
      </c>
      <c r="C6" t="s">
        <v>77</v>
      </c>
      <c r="D6" t="s">
        <v>82</v>
      </c>
      <c r="E6" t="s">
        <v>78</v>
      </c>
      <c r="F6" s="71">
        <v>37987</v>
      </c>
      <c r="G6">
        <v>12020857.25</v>
      </c>
      <c r="H6" s="3">
        <v>12020857.25</v>
      </c>
      <c r="I6" s="3">
        <v>12020857.25</v>
      </c>
      <c r="J6" s="3">
        <v>12020857.25</v>
      </c>
      <c r="K6">
        <v>12020857.25</v>
      </c>
      <c r="L6">
        <v>12020857.25</v>
      </c>
      <c r="M6">
        <v>12020857.25</v>
      </c>
      <c r="N6">
        <v>12020857.25</v>
      </c>
      <c r="O6">
        <v>12020857.25</v>
      </c>
      <c r="P6">
        <v>12020857.25</v>
      </c>
      <c r="Q6">
        <v>12020857.25</v>
      </c>
      <c r="R6">
        <v>12020857.25</v>
      </c>
      <c r="S6">
        <v>12020857.25</v>
      </c>
      <c r="T6">
        <v>12020857.25</v>
      </c>
      <c r="U6">
        <v>12020857.25</v>
      </c>
      <c r="V6">
        <v>12020857.25</v>
      </c>
      <c r="W6">
        <v>12020857.25</v>
      </c>
      <c r="X6">
        <v>12020857.25</v>
      </c>
      <c r="Y6">
        <v>12020857.25</v>
      </c>
      <c r="Z6">
        <v>12020857.25</v>
      </c>
      <c r="AA6">
        <v>12020857.25</v>
      </c>
      <c r="AB6">
        <v>12020857.25</v>
      </c>
    </row>
    <row r="7" spans="1:157" x14ac:dyDescent="0.25">
      <c r="A7" s="28" t="s">
        <v>49</v>
      </c>
      <c r="B7" t="s">
        <v>76</v>
      </c>
      <c r="C7" t="s">
        <v>77</v>
      </c>
      <c r="D7" t="s">
        <v>82</v>
      </c>
      <c r="E7" t="s">
        <v>78</v>
      </c>
      <c r="F7" s="71">
        <v>38353</v>
      </c>
      <c r="G7">
        <v>13122414.199999999</v>
      </c>
      <c r="H7" s="3">
        <v>13122414.199999999</v>
      </c>
      <c r="I7" s="3">
        <v>13122414.199999999</v>
      </c>
      <c r="J7" s="3">
        <v>13122414.199999999</v>
      </c>
      <c r="K7">
        <v>13122414.199999999</v>
      </c>
      <c r="L7">
        <v>13122414.199999999</v>
      </c>
      <c r="M7">
        <v>13122414.199999999</v>
      </c>
      <c r="N7">
        <v>13122414.199999999</v>
      </c>
      <c r="O7">
        <v>13122414.199999999</v>
      </c>
      <c r="P7">
        <v>13122414.199999999</v>
      </c>
      <c r="Q7">
        <v>13122414.199999999</v>
      </c>
      <c r="R7">
        <v>13122414.199999999</v>
      </c>
      <c r="S7">
        <v>13122414.199999999</v>
      </c>
      <c r="T7">
        <v>13122414.199999999</v>
      </c>
      <c r="U7">
        <v>13122414.199999999</v>
      </c>
      <c r="V7">
        <v>13122414.199999999</v>
      </c>
      <c r="W7">
        <v>13122414.199999999</v>
      </c>
      <c r="X7">
        <v>13122414.199999999</v>
      </c>
      <c r="Y7">
        <v>13122414.199999999</v>
      </c>
      <c r="Z7">
        <v>13122414.199999999</v>
      </c>
      <c r="AA7">
        <v>13122414.199999999</v>
      </c>
    </row>
    <row r="8" spans="1:157" x14ac:dyDescent="0.25">
      <c r="A8" s="28" t="s">
        <v>49</v>
      </c>
      <c r="B8" t="s">
        <v>76</v>
      </c>
      <c r="C8" t="s">
        <v>77</v>
      </c>
      <c r="D8" t="s">
        <v>82</v>
      </c>
      <c r="E8" t="s">
        <v>78</v>
      </c>
      <c r="F8" s="71">
        <v>38718</v>
      </c>
      <c r="G8">
        <v>14510011.43</v>
      </c>
      <c r="H8" s="3">
        <v>14510011.43</v>
      </c>
      <c r="I8" s="3">
        <v>14510011.43</v>
      </c>
      <c r="J8" s="3">
        <v>14510011.43</v>
      </c>
      <c r="K8">
        <v>14510011.43</v>
      </c>
      <c r="L8">
        <v>14510011.43</v>
      </c>
      <c r="M8">
        <v>14510011.43</v>
      </c>
      <c r="N8">
        <v>14510011.43</v>
      </c>
      <c r="O8">
        <v>14510011.43</v>
      </c>
      <c r="P8">
        <v>14510011.43</v>
      </c>
      <c r="Q8">
        <v>14510011.43</v>
      </c>
      <c r="R8">
        <v>14510011.43</v>
      </c>
      <c r="S8">
        <v>14510011.43</v>
      </c>
      <c r="T8">
        <v>14510011.43</v>
      </c>
      <c r="U8">
        <v>14510011.43</v>
      </c>
      <c r="V8">
        <v>14510011.43</v>
      </c>
      <c r="W8">
        <v>14510011.43</v>
      </c>
      <c r="X8">
        <v>14510011.43</v>
      </c>
      <c r="Y8">
        <v>14510011.43</v>
      </c>
      <c r="Z8">
        <v>14510011.43</v>
      </c>
    </row>
    <row r="9" spans="1:157" x14ac:dyDescent="0.25">
      <c r="A9" s="28" t="s">
        <v>49</v>
      </c>
      <c r="B9" t="s">
        <v>76</v>
      </c>
      <c r="C9" t="s">
        <v>77</v>
      </c>
      <c r="D9" t="s">
        <v>82</v>
      </c>
      <c r="E9" t="s">
        <v>78</v>
      </c>
      <c r="F9" s="71">
        <v>39083</v>
      </c>
      <c r="G9">
        <v>14938715.300000001</v>
      </c>
      <c r="H9" s="3">
        <v>14938715.300000001</v>
      </c>
      <c r="I9" s="3">
        <v>14938715.300000001</v>
      </c>
      <c r="J9" s="3">
        <v>14938715.300000001</v>
      </c>
      <c r="K9">
        <v>14938715.300000001</v>
      </c>
      <c r="L9">
        <v>14938715.300000001</v>
      </c>
      <c r="M9">
        <v>14938715.300000001</v>
      </c>
      <c r="N9">
        <v>14938715.300000001</v>
      </c>
      <c r="O9">
        <v>14938715.300000001</v>
      </c>
      <c r="P9">
        <v>14938715.300000001</v>
      </c>
      <c r="Q9">
        <v>14938715.300000001</v>
      </c>
      <c r="R9">
        <v>14938715.300000001</v>
      </c>
      <c r="S9">
        <v>14938715.300000001</v>
      </c>
      <c r="T9">
        <v>14938715.300000001</v>
      </c>
      <c r="U9">
        <v>14938715.300000001</v>
      </c>
      <c r="V9">
        <v>14938715.300000001</v>
      </c>
      <c r="W9">
        <v>14938715.300000001</v>
      </c>
      <c r="X9">
        <v>14938715.300000001</v>
      </c>
      <c r="Y9">
        <v>14938715.300000001</v>
      </c>
    </row>
    <row r="10" spans="1:157" x14ac:dyDescent="0.25">
      <c r="A10" s="28" t="s">
        <v>49</v>
      </c>
      <c r="B10" t="s">
        <v>76</v>
      </c>
      <c r="C10" t="s">
        <v>77</v>
      </c>
      <c r="D10" t="s">
        <v>82</v>
      </c>
      <c r="E10" t="s">
        <v>78</v>
      </c>
      <c r="F10" s="71">
        <v>39448</v>
      </c>
      <c r="G10">
        <v>15977949.47000001</v>
      </c>
      <c r="H10" s="3">
        <v>15977949.47000001</v>
      </c>
      <c r="I10" s="3">
        <v>15977949.47000001</v>
      </c>
      <c r="J10" s="3">
        <v>15977949.47000001</v>
      </c>
      <c r="K10">
        <v>15977949.47000001</v>
      </c>
      <c r="L10">
        <v>15977949.47000001</v>
      </c>
      <c r="M10">
        <v>15977949.47000001</v>
      </c>
      <c r="N10">
        <v>15977949.47000001</v>
      </c>
      <c r="O10">
        <v>15977949.47000001</v>
      </c>
      <c r="P10">
        <v>15977949.47000001</v>
      </c>
      <c r="Q10">
        <v>15977949.47000001</v>
      </c>
      <c r="R10">
        <v>15977949.47000001</v>
      </c>
      <c r="S10">
        <v>15977949.47000001</v>
      </c>
      <c r="T10">
        <v>15977949.47000001</v>
      </c>
      <c r="U10">
        <v>15977949.47000001</v>
      </c>
      <c r="V10">
        <v>15977949.47000001</v>
      </c>
      <c r="W10">
        <v>15977949.47000001</v>
      </c>
      <c r="X10">
        <v>15977949.47000001</v>
      </c>
    </row>
    <row r="11" spans="1:157" x14ac:dyDescent="0.25">
      <c r="A11" s="28" t="s">
        <v>49</v>
      </c>
      <c r="B11" t="s">
        <v>76</v>
      </c>
      <c r="C11" t="s">
        <v>77</v>
      </c>
      <c r="D11" t="s">
        <v>82</v>
      </c>
      <c r="E11" t="s">
        <v>78</v>
      </c>
      <c r="F11" s="71">
        <v>39814</v>
      </c>
      <c r="G11">
        <v>13641854.495526999</v>
      </c>
      <c r="H11" s="3">
        <v>13641854.495526999</v>
      </c>
      <c r="I11" s="3">
        <v>13641854.495526999</v>
      </c>
      <c r="J11" s="3">
        <v>13641854.495526999</v>
      </c>
      <c r="K11">
        <v>13641854.495526999</v>
      </c>
      <c r="L11">
        <v>13641854.495526999</v>
      </c>
      <c r="M11">
        <v>13641854.495526999</v>
      </c>
      <c r="N11">
        <v>13641854.495526999</v>
      </c>
      <c r="O11">
        <v>13641854.495526999</v>
      </c>
      <c r="P11">
        <v>13641854.495526999</v>
      </c>
      <c r="Q11">
        <v>13641854.495526999</v>
      </c>
      <c r="R11">
        <v>13641854.495526999</v>
      </c>
      <c r="S11">
        <v>13641854.495526999</v>
      </c>
      <c r="T11">
        <v>13641854.495526999</v>
      </c>
      <c r="U11">
        <v>13641854.495526999</v>
      </c>
      <c r="V11">
        <v>13641854.495526999</v>
      </c>
      <c r="W11">
        <v>13641854.495526999</v>
      </c>
    </row>
    <row r="12" spans="1:157" x14ac:dyDescent="0.25">
      <c r="A12" s="28" t="s">
        <v>49</v>
      </c>
      <c r="B12" t="s">
        <v>76</v>
      </c>
      <c r="C12" t="s">
        <v>77</v>
      </c>
      <c r="D12" t="s">
        <v>82</v>
      </c>
      <c r="E12" t="s">
        <v>78</v>
      </c>
      <c r="F12" s="71">
        <v>40179</v>
      </c>
      <c r="G12">
        <v>14844335.769400001</v>
      </c>
      <c r="H12" s="3">
        <v>14844335.769400001</v>
      </c>
      <c r="I12" s="3">
        <v>14844335.769400001</v>
      </c>
      <c r="J12" s="3">
        <v>14844335.769400001</v>
      </c>
      <c r="K12">
        <v>14844335.769400001</v>
      </c>
      <c r="L12">
        <v>14844335.769400001</v>
      </c>
      <c r="M12">
        <v>14844335.769400001</v>
      </c>
      <c r="N12">
        <v>14844335.769400001</v>
      </c>
      <c r="O12">
        <v>14844335.769400001</v>
      </c>
      <c r="P12">
        <v>14844335.769400001</v>
      </c>
      <c r="Q12">
        <v>14844335.769400001</v>
      </c>
      <c r="R12">
        <v>14844335.769400001</v>
      </c>
      <c r="S12">
        <v>14844335.769400001</v>
      </c>
      <c r="T12">
        <v>14844335.769400001</v>
      </c>
      <c r="U12">
        <v>14844335.769400001</v>
      </c>
      <c r="V12">
        <v>14844335.769400001</v>
      </c>
    </row>
    <row r="13" spans="1:157" x14ac:dyDescent="0.25">
      <c r="A13" s="28" t="s">
        <v>49</v>
      </c>
      <c r="B13" t="s">
        <v>76</v>
      </c>
      <c r="C13" t="s">
        <v>77</v>
      </c>
      <c r="D13" t="s">
        <v>82</v>
      </c>
      <c r="E13" t="s">
        <v>78</v>
      </c>
      <c r="F13" s="71">
        <v>40544</v>
      </c>
      <c r="G13">
        <v>13033878.18</v>
      </c>
      <c r="H13" s="3">
        <v>13033878.18</v>
      </c>
      <c r="I13" s="3">
        <v>13033878.18</v>
      </c>
      <c r="J13" s="3">
        <v>13033878.18</v>
      </c>
      <c r="K13">
        <v>13033878.18</v>
      </c>
      <c r="L13">
        <v>13033878.18</v>
      </c>
      <c r="M13">
        <v>13033878.18</v>
      </c>
      <c r="N13">
        <v>13033878.18</v>
      </c>
      <c r="O13">
        <v>13033878.18</v>
      </c>
      <c r="P13">
        <v>13033878.18</v>
      </c>
      <c r="Q13">
        <v>13033878.18</v>
      </c>
      <c r="R13">
        <v>13033878.18</v>
      </c>
      <c r="S13">
        <v>13033878.18</v>
      </c>
      <c r="T13">
        <v>13033878.18</v>
      </c>
      <c r="U13">
        <v>13033878.18</v>
      </c>
    </row>
    <row r="14" spans="1:157" x14ac:dyDescent="0.25">
      <c r="A14" s="28" t="s">
        <v>49</v>
      </c>
      <c r="B14" t="s">
        <v>76</v>
      </c>
      <c r="C14" t="s">
        <v>77</v>
      </c>
      <c r="D14" t="s">
        <v>82</v>
      </c>
      <c r="E14" t="s">
        <v>78</v>
      </c>
      <c r="F14" s="71">
        <v>40909</v>
      </c>
      <c r="G14">
        <v>14350696.619999999</v>
      </c>
      <c r="H14" s="3">
        <v>14350696.619999999</v>
      </c>
      <c r="I14" s="3">
        <v>14350696.619999999</v>
      </c>
      <c r="J14" s="3">
        <v>14350696.619999999</v>
      </c>
      <c r="K14">
        <v>14350696.619999999</v>
      </c>
      <c r="L14">
        <v>14350696.619999999</v>
      </c>
      <c r="M14">
        <v>14350696.619999999</v>
      </c>
      <c r="N14">
        <v>14350696.619999999</v>
      </c>
      <c r="O14">
        <v>14350696.619999999</v>
      </c>
      <c r="P14">
        <v>14350696.619999999</v>
      </c>
      <c r="Q14">
        <v>14350696.619999999</v>
      </c>
      <c r="R14">
        <v>14350696.619999999</v>
      </c>
      <c r="S14">
        <v>14350696.619999999</v>
      </c>
      <c r="T14">
        <v>14350696.619999999</v>
      </c>
    </row>
    <row r="15" spans="1:157" x14ac:dyDescent="0.25">
      <c r="A15" s="28" t="s">
        <v>49</v>
      </c>
      <c r="B15" t="s">
        <v>76</v>
      </c>
      <c r="C15" t="s">
        <v>77</v>
      </c>
      <c r="D15" t="s">
        <v>82</v>
      </c>
      <c r="E15" t="s">
        <v>78</v>
      </c>
      <c r="F15" s="71">
        <v>41275</v>
      </c>
      <c r="G15">
        <v>14692846.40000001</v>
      </c>
      <c r="H15" s="3">
        <v>14692846.40000001</v>
      </c>
      <c r="I15" s="3">
        <v>14692846.40000001</v>
      </c>
      <c r="J15" s="3">
        <v>14692846.40000001</v>
      </c>
      <c r="K15">
        <v>14692846.40000001</v>
      </c>
      <c r="L15">
        <v>14692846.40000001</v>
      </c>
      <c r="M15">
        <v>14692846.40000001</v>
      </c>
      <c r="N15">
        <v>14692846.40000001</v>
      </c>
      <c r="O15">
        <v>14692846.40000001</v>
      </c>
      <c r="P15">
        <v>14692846.40000001</v>
      </c>
      <c r="Q15">
        <v>14692846.40000001</v>
      </c>
      <c r="R15">
        <v>14692846.40000001</v>
      </c>
      <c r="S15">
        <v>14692846.40000001</v>
      </c>
    </row>
    <row r="16" spans="1:157" x14ac:dyDescent="0.25">
      <c r="A16" s="28" t="s">
        <v>49</v>
      </c>
      <c r="B16" t="s">
        <v>76</v>
      </c>
      <c r="C16" t="s">
        <v>77</v>
      </c>
      <c r="D16" t="s">
        <v>82</v>
      </c>
      <c r="E16" t="s">
        <v>78</v>
      </c>
      <c r="F16" s="71">
        <v>41640</v>
      </c>
      <c r="G16">
        <v>21571416.629999999</v>
      </c>
      <c r="H16" s="3">
        <v>21571416.629999999</v>
      </c>
      <c r="I16" s="3">
        <v>21571416.629999999</v>
      </c>
      <c r="J16" s="3">
        <v>21571416.629999999</v>
      </c>
      <c r="K16">
        <v>21571416.629999999</v>
      </c>
      <c r="L16">
        <v>21571416.629999999</v>
      </c>
      <c r="M16">
        <v>21571416.629999999</v>
      </c>
      <c r="N16">
        <v>21571416.629999999</v>
      </c>
      <c r="O16">
        <v>21571416.629999999</v>
      </c>
      <c r="P16">
        <v>21571416.629999999</v>
      </c>
      <c r="Q16">
        <v>21571416.629999999</v>
      </c>
      <c r="R16">
        <v>21571416.629999999</v>
      </c>
    </row>
    <row r="17" spans="1:31" x14ac:dyDescent="0.25">
      <c r="A17" s="28" t="s">
        <v>49</v>
      </c>
      <c r="B17" t="s">
        <v>76</v>
      </c>
      <c r="C17" t="s">
        <v>77</v>
      </c>
      <c r="D17" t="s">
        <v>82</v>
      </c>
      <c r="E17" t="s">
        <v>78</v>
      </c>
      <c r="F17" s="71">
        <v>42005</v>
      </c>
      <c r="G17">
        <v>31636739.640000001</v>
      </c>
      <c r="H17" s="3">
        <v>31636739.640000001</v>
      </c>
      <c r="I17" s="3">
        <v>31636739.640000001</v>
      </c>
      <c r="J17" s="3">
        <v>31636739.640000001</v>
      </c>
      <c r="K17">
        <v>31636739.640000001</v>
      </c>
      <c r="L17">
        <v>31636739.640000001</v>
      </c>
      <c r="M17">
        <v>31636739.640000001</v>
      </c>
      <c r="N17">
        <v>31636739.640000001</v>
      </c>
      <c r="O17">
        <v>31636739.640000001</v>
      </c>
      <c r="P17">
        <v>31636739.640000001</v>
      </c>
      <c r="Q17">
        <v>31636739.640000001</v>
      </c>
    </row>
    <row r="18" spans="1:31" x14ac:dyDescent="0.25">
      <c r="A18" s="28" t="s">
        <v>49</v>
      </c>
      <c r="B18" t="s">
        <v>76</v>
      </c>
      <c r="C18" t="s">
        <v>77</v>
      </c>
      <c r="D18" t="s">
        <v>82</v>
      </c>
      <c r="E18" t="s">
        <v>78</v>
      </c>
      <c r="F18" s="71">
        <v>42370</v>
      </c>
      <c r="G18">
        <v>45216768.502707727</v>
      </c>
      <c r="H18" s="3">
        <v>45216768.502707727</v>
      </c>
      <c r="I18" s="3">
        <v>45216768.502707727</v>
      </c>
      <c r="J18" s="3">
        <v>45216768.502707727</v>
      </c>
      <c r="K18">
        <v>45216768.502707727</v>
      </c>
      <c r="L18">
        <v>45216768.502707727</v>
      </c>
      <c r="M18">
        <v>45216768.502707727</v>
      </c>
      <c r="N18">
        <v>45216768.502707727</v>
      </c>
      <c r="O18">
        <v>45216768.502707727</v>
      </c>
      <c r="P18">
        <v>45216768.502707727</v>
      </c>
    </row>
    <row r="19" spans="1:31" x14ac:dyDescent="0.25">
      <c r="A19" s="28" t="s">
        <v>49</v>
      </c>
      <c r="B19" t="s">
        <v>76</v>
      </c>
      <c r="C19" t="s">
        <v>77</v>
      </c>
      <c r="D19" t="s">
        <v>82</v>
      </c>
      <c r="E19" t="s">
        <v>78</v>
      </c>
      <c r="F19" s="71">
        <v>42736</v>
      </c>
      <c r="G19">
        <v>84475419.236133412</v>
      </c>
      <c r="H19" s="3">
        <v>84475419.236133412</v>
      </c>
      <c r="I19" s="3">
        <v>84475419.236133412</v>
      </c>
      <c r="J19" s="3">
        <v>84475419.236133412</v>
      </c>
      <c r="K19">
        <v>84475419.236133412</v>
      </c>
      <c r="L19">
        <v>84475419.236133412</v>
      </c>
      <c r="M19">
        <v>84475419.236133412</v>
      </c>
      <c r="N19">
        <v>84475419.236133412</v>
      </c>
      <c r="O19">
        <v>84475419.236133412</v>
      </c>
    </row>
    <row r="20" spans="1:31" x14ac:dyDescent="0.25">
      <c r="A20" s="28" t="s">
        <v>49</v>
      </c>
      <c r="B20" t="s">
        <v>76</v>
      </c>
      <c r="C20" t="s">
        <v>77</v>
      </c>
      <c r="D20" t="s">
        <v>82</v>
      </c>
      <c r="E20" t="s">
        <v>78</v>
      </c>
      <c r="F20" s="71">
        <v>43101</v>
      </c>
      <c r="G20">
        <v>129188048.35375939</v>
      </c>
      <c r="H20" s="3">
        <v>129188048.35375939</v>
      </c>
      <c r="I20" s="3">
        <v>129188048.35375939</v>
      </c>
      <c r="J20" s="3">
        <v>129188048.35375939</v>
      </c>
      <c r="K20">
        <v>129188048.35375939</v>
      </c>
      <c r="L20">
        <v>129188048.35375939</v>
      </c>
      <c r="M20">
        <v>129188048.35375939</v>
      </c>
      <c r="N20">
        <v>129188048.35375939</v>
      </c>
    </row>
    <row r="21" spans="1:31" x14ac:dyDescent="0.25">
      <c r="A21" s="28" t="s">
        <v>49</v>
      </c>
      <c r="B21" t="s">
        <v>76</v>
      </c>
      <c r="C21" t="s">
        <v>77</v>
      </c>
      <c r="D21" t="s">
        <v>82</v>
      </c>
      <c r="E21" t="s">
        <v>78</v>
      </c>
      <c r="F21" s="71">
        <v>43466</v>
      </c>
      <c r="G21">
        <v>189965539.53971791</v>
      </c>
      <c r="H21" s="3">
        <v>189965539.53971791</v>
      </c>
      <c r="I21" s="3">
        <v>189965539.53971791</v>
      </c>
      <c r="J21" s="3">
        <v>189965539.53971791</v>
      </c>
      <c r="K21">
        <v>189965539.53971791</v>
      </c>
      <c r="L21">
        <v>189965539.53971791</v>
      </c>
      <c r="M21">
        <v>189965539.53971791</v>
      </c>
    </row>
    <row r="22" spans="1:31" x14ac:dyDescent="0.25">
      <c r="A22" s="28" t="s">
        <v>49</v>
      </c>
      <c r="B22" t="s">
        <v>76</v>
      </c>
      <c r="C22" t="s">
        <v>77</v>
      </c>
      <c r="D22" t="s">
        <v>82</v>
      </c>
      <c r="E22" t="s">
        <v>78</v>
      </c>
      <c r="F22" s="71">
        <v>43831</v>
      </c>
      <c r="G22">
        <v>283544913.75657111</v>
      </c>
      <c r="H22" s="3">
        <v>283544913.75657111</v>
      </c>
      <c r="I22" s="3">
        <v>283544913.75657111</v>
      </c>
      <c r="J22" s="3">
        <v>283544913.75657111</v>
      </c>
      <c r="K22">
        <v>283544913.75657111</v>
      </c>
      <c r="L22">
        <v>283544913.75657111</v>
      </c>
    </row>
    <row r="23" spans="1:31" x14ac:dyDescent="0.25">
      <c r="A23" s="28" t="s">
        <v>49</v>
      </c>
      <c r="B23" t="s">
        <v>76</v>
      </c>
      <c r="C23" t="s">
        <v>77</v>
      </c>
      <c r="D23" t="s">
        <v>82</v>
      </c>
      <c r="E23" t="s">
        <v>78</v>
      </c>
      <c r="F23" s="71">
        <v>44197</v>
      </c>
      <c r="G23">
        <v>403861349.7903837</v>
      </c>
      <c r="H23" s="3">
        <v>403861349.7903837</v>
      </c>
      <c r="I23" s="3">
        <v>403861349.7903837</v>
      </c>
      <c r="J23" s="3">
        <v>403861349.7903837</v>
      </c>
      <c r="K23">
        <v>403861349.7903837</v>
      </c>
    </row>
    <row r="24" spans="1:31" x14ac:dyDescent="0.25">
      <c r="A24" s="28" t="s">
        <v>49</v>
      </c>
      <c r="B24" t="s">
        <v>76</v>
      </c>
      <c r="C24" t="s">
        <v>77</v>
      </c>
      <c r="D24" t="s">
        <v>82</v>
      </c>
      <c r="E24" t="s">
        <v>78</v>
      </c>
      <c r="F24" s="71">
        <v>44562</v>
      </c>
      <c r="G24">
        <v>509690354.40323389</v>
      </c>
      <c r="H24" s="3">
        <v>509690354.40323389</v>
      </c>
      <c r="I24" s="3">
        <v>509690354.40323389</v>
      </c>
      <c r="J24" s="3">
        <v>509690354.40323389</v>
      </c>
    </row>
    <row r="25" spans="1:31" x14ac:dyDescent="0.25">
      <c r="A25" s="28" t="s">
        <v>49</v>
      </c>
      <c r="B25" t="s">
        <v>76</v>
      </c>
      <c r="C25" t="s">
        <v>77</v>
      </c>
      <c r="D25" t="s">
        <v>82</v>
      </c>
      <c r="E25" t="s">
        <v>78</v>
      </c>
      <c r="F25" s="71">
        <v>44927</v>
      </c>
      <c r="G25">
        <v>574456547.3528105</v>
      </c>
      <c r="H25" s="3">
        <v>574456547.3528105</v>
      </c>
      <c r="I25" s="3">
        <v>574456547.3528105</v>
      </c>
      <c r="J25" s="3"/>
    </row>
    <row r="26" spans="1:31" x14ac:dyDescent="0.25">
      <c r="A26" s="28" t="s">
        <v>49</v>
      </c>
      <c r="B26" t="s">
        <v>76</v>
      </c>
      <c r="C26" t="s">
        <v>77</v>
      </c>
      <c r="D26" t="s">
        <v>82</v>
      </c>
      <c r="E26" t="s">
        <v>78</v>
      </c>
      <c r="F26" s="71">
        <v>45292</v>
      </c>
      <c r="G26">
        <v>607525499.27712548</v>
      </c>
      <c r="H26" s="3">
        <v>607525499.27712548</v>
      </c>
      <c r="I26" s="3"/>
      <c r="J26" s="3"/>
    </row>
    <row r="27" spans="1:31" x14ac:dyDescent="0.25">
      <c r="A27" s="28" t="s">
        <v>49</v>
      </c>
      <c r="B27" t="s">
        <v>76</v>
      </c>
      <c r="C27" t="s">
        <v>77</v>
      </c>
      <c r="D27" t="s">
        <v>82</v>
      </c>
      <c r="E27" t="s">
        <v>78</v>
      </c>
      <c r="F27" s="71">
        <v>45658</v>
      </c>
      <c r="G27">
        <v>262668587.29202801</v>
      </c>
      <c r="H27" s="3"/>
      <c r="I27" s="3"/>
      <c r="J27" s="3"/>
    </row>
    <row r="28" spans="1:31" x14ac:dyDescent="0.25">
      <c r="A28" s="28" t="s">
        <v>49</v>
      </c>
      <c r="B28" t="s">
        <v>79</v>
      </c>
      <c r="C28" t="s">
        <v>77</v>
      </c>
      <c r="D28" t="s">
        <v>82</v>
      </c>
      <c r="E28" t="s">
        <v>78</v>
      </c>
      <c r="F28" s="71">
        <v>36892</v>
      </c>
      <c r="G28">
        <v>0</v>
      </c>
      <c r="H28" s="3">
        <v>0</v>
      </c>
      <c r="I28" s="3">
        <v>0</v>
      </c>
      <c r="J28" s="3">
        <v>1125000</v>
      </c>
      <c r="K28">
        <v>1125000</v>
      </c>
      <c r="L28">
        <v>1148855.6299999999</v>
      </c>
      <c r="M28">
        <v>1298425.82</v>
      </c>
      <c r="N28">
        <v>948379.12</v>
      </c>
      <c r="O28">
        <v>948379.12</v>
      </c>
      <c r="P28">
        <v>948379.12</v>
      </c>
      <c r="Q28">
        <v>948379.12</v>
      </c>
      <c r="R28">
        <v>948379.12</v>
      </c>
      <c r="S28">
        <v>948379.12</v>
      </c>
      <c r="T28">
        <v>948379.12</v>
      </c>
      <c r="U28">
        <v>948379.12</v>
      </c>
      <c r="V28">
        <v>948379.12</v>
      </c>
      <c r="W28">
        <v>948379.12</v>
      </c>
      <c r="X28">
        <v>948379.12</v>
      </c>
      <c r="Y28">
        <v>948381.12</v>
      </c>
      <c r="Z28">
        <v>948381.12</v>
      </c>
      <c r="AA28">
        <v>948379.12</v>
      </c>
      <c r="AB28">
        <v>948379.12</v>
      </c>
      <c r="AC28">
        <v>948379.12</v>
      </c>
      <c r="AD28">
        <v>948379.12</v>
      </c>
      <c r="AE28">
        <v>948379.12</v>
      </c>
    </row>
    <row r="29" spans="1:31" x14ac:dyDescent="0.25">
      <c r="A29" s="28" t="s">
        <v>49</v>
      </c>
      <c r="B29" t="s">
        <v>79</v>
      </c>
      <c r="C29" t="s">
        <v>77</v>
      </c>
      <c r="D29" t="s">
        <v>82</v>
      </c>
      <c r="E29" t="s">
        <v>78</v>
      </c>
      <c r="F29" s="71">
        <v>37257</v>
      </c>
      <c r="G29">
        <v>0</v>
      </c>
      <c r="H29" s="3">
        <v>0</v>
      </c>
      <c r="I29" s="3">
        <v>0</v>
      </c>
      <c r="J29" s="3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1" x14ac:dyDescent="0.25">
      <c r="A30" s="28" t="s">
        <v>49</v>
      </c>
      <c r="B30" t="s">
        <v>79</v>
      </c>
      <c r="C30" t="s">
        <v>77</v>
      </c>
      <c r="D30" t="s">
        <v>82</v>
      </c>
      <c r="E30" t="s">
        <v>78</v>
      </c>
      <c r="F30" s="71">
        <v>37622</v>
      </c>
      <c r="G30">
        <v>0</v>
      </c>
      <c r="H30" s="3">
        <v>0</v>
      </c>
      <c r="I30" s="3">
        <v>1000000</v>
      </c>
      <c r="J30" s="3">
        <v>1000000</v>
      </c>
      <c r="K30">
        <v>1000000</v>
      </c>
      <c r="L30">
        <v>1000000</v>
      </c>
      <c r="M30">
        <v>1000000</v>
      </c>
      <c r="N30">
        <v>1000000</v>
      </c>
      <c r="O30">
        <v>1000000</v>
      </c>
      <c r="P30">
        <v>1000000</v>
      </c>
      <c r="Q30">
        <v>1000000</v>
      </c>
      <c r="R30">
        <v>1000000</v>
      </c>
      <c r="S30">
        <v>1000000</v>
      </c>
      <c r="T30">
        <v>1000000</v>
      </c>
      <c r="U30">
        <v>1000000</v>
      </c>
      <c r="V30">
        <v>1000000</v>
      </c>
      <c r="W30">
        <v>1000000</v>
      </c>
      <c r="X30">
        <v>1000000</v>
      </c>
      <c r="Y30">
        <v>1000000</v>
      </c>
      <c r="Z30">
        <v>1000000</v>
      </c>
      <c r="AA30">
        <v>1000000</v>
      </c>
      <c r="AB30">
        <v>1000000</v>
      </c>
      <c r="AC30">
        <v>1000000</v>
      </c>
    </row>
    <row r="31" spans="1:31" x14ac:dyDescent="0.25">
      <c r="A31" s="28" t="s">
        <v>49</v>
      </c>
      <c r="B31" t="s">
        <v>79</v>
      </c>
      <c r="C31" t="s">
        <v>77</v>
      </c>
      <c r="D31" t="s">
        <v>82</v>
      </c>
      <c r="E31" t="s">
        <v>78</v>
      </c>
      <c r="F31" s="71">
        <v>37987</v>
      </c>
      <c r="G31">
        <v>0</v>
      </c>
      <c r="H31" s="3">
        <v>1146861.6000000001</v>
      </c>
      <c r="I31" s="3">
        <v>1131855.3799999999</v>
      </c>
      <c r="J31" s="3">
        <v>1506893.78</v>
      </c>
      <c r="K31">
        <v>1506893.78</v>
      </c>
      <c r="L31">
        <v>1514170.08</v>
      </c>
      <c r="M31">
        <v>1514170.08</v>
      </c>
      <c r="N31">
        <v>2264170.08</v>
      </c>
      <c r="O31">
        <v>2264170.08</v>
      </c>
      <c r="P31">
        <v>2264170.08</v>
      </c>
      <c r="Q31">
        <v>2264170.08</v>
      </c>
      <c r="R31">
        <v>2264170.08</v>
      </c>
      <c r="S31">
        <v>2264170.08</v>
      </c>
      <c r="T31">
        <v>2264170.08</v>
      </c>
      <c r="U31">
        <v>2264170.08</v>
      </c>
      <c r="V31">
        <v>2264170.08</v>
      </c>
      <c r="W31">
        <v>2264170.08</v>
      </c>
      <c r="X31">
        <v>2264170.08</v>
      </c>
      <c r="Y31">
        <v>2264170.08</v>
      </c>
      <c r="Z31">
        <v>2264170.08</v>
      </c>
      <c r="AA31">
        <v>2264170.08</v>
      </c>
      <c r="AB31">
        <v>2264170.08</v>
      </c>
    </row>
    <row r="32" spans="1:31" x14ac:dyDescent="0.25">
      <c r="A32" s="28" t="s">
        <v>49</v>
      </c>
      <c r="B32" t="s">
        <v>79</v>
      </c>
      <c r="C32" t="s">
        <v>77</v>
      </c>
      <c r="D32" t="s">
        <v>82</v>
      </c>
      <c r="E32" t="s">
        <v>78</v>
      </c>
      <c r="F32" s="71">
        <v>38353</v>
      </c>
      <c r="G32">
        <v>0</v>
      </c>
      <c r="H32" s="3">
        <v>626198.92000000004</v>
      </c>
      <c r="I32" s="3">
        <v>5107.92</v>
      </c>
      <c r="J32" s="3">
        <v>15068.81</v>
      </c>
      <c r="K32">
        <v>6980.41</v>
      </c>
      <c r="L32">
        <v>7274.41</v>
      </c>
      <c r="M32">
        <v>7274.41</v>
      </c>
      <c r="N32">
        <v>7274.41</v>
      </c>
      <c r="O32">
        <v>7274.41</v>
      </c>
      <c r="P32">
        <v>7274.41</v>
      </c>
      <c r="Q32">
        <v>7274.41</v>
      </c>
      <c r="R32">
        <v>7274.41</v>
      </c>
      <c r="S32">
        <v>7274.41</v>
      </c>
      <c r="T32">
        <v>7274.41</v>
      </c>
      <c r="U32">
        <v>7274.41</v>
      </c>
      <c r="V32">
        <v>7274.41</v>
      </c>
      <c r="W32">
        <v>7274.41</v>
      </c>
      <c r="X32">
        <v>7274.41</v>
      </c>
      <c r="Y32">
        <v>7274.41</v>
      </c>
      <c r="Z32">
        <v>7274.41</v>
      </c>
      <c r="AA32">
        <v>7274.41</v>
      </c>
    </row>
    <row r="33" spans="1:26" x14ac:dyDescent="0.25">
      <c r="A33" s="28" t="s">
        <v>49</v>
      </c>
      <c r="B33" t="s">
        <v>79</v>
      </c>
      <c r="C33" t="s">
        <v>77</v>
      </c>
      <c r="D33" t="s">
        <v>82</v>
      </c>
      <c r="E33" t="s">
        <v>78</v>
      </c>
      <c r="F33" s="71">
        <v>38718</v>
      </c>
      <c r="G33">
        <v>24000</v>
      </c>
      <c r="H33" s="3">
        <v>26.89</v>
      </c>
      <c r="I33" s="3">
        <v>4271477.01</v>
      </c>
      <c r="J33" s="3">
        <v>5810139.8300000001</v>
      </c>
      <c r="K33">
        <v>5860394.1100000003</v>
      </c>
      <c r="L33">
        <v>5940633.0800000001</v>
      </c>
      <c r="M33">
        <v>5631633.9699999997</v>
      </c>
      <c r="N33">
        <v>5161751.75</v>
      </c>
      <c r="O33">
        <v>5162281.7</v>
      </c>
      <c r="P33">
        <v>5162281.7</v>
      </c>
      <c r="Q33">
        <v>5162567.3</v>
      </c>
      <c r="R33">
        <v>5162567.3</v>
      </c>
      <c r="S33">
        <v>5162567.3</v>
      </c>
      <c r="T33">
        <v>5162567.3</v>
      </c>
      <c r="U33">
        <v>5162567.3</v>
      </c>
      <c r="V33">
        <v>5162567.3</v>
      </c>
      <c r="W33">
        <v>5162567.3</v>
      </c>
      <c r="X33">
        <v>5162567.3</v>
      </c>
      <c r="Y33">
        <v>5162567.3</v>
      </c>
      <c r="Z33">
        <v>5162567.3</v>
      </c>
    </row>
    <row r="34" spans="1:26" x14ac:dyDescent="0.25">
      <c r="A34" s="28" t="s">
        <v>49</v>
      </c>
      <c r="B34" t="s">
        <v>79</v>
      </c>
      <c r="C34" t="s">
        <v>77</v>
      </c>
      <c r="D34" t="s">
        <v>82</v>
      </c>
      <c r="E34" t="s">
        <v>78</v>
      </c>
      <c r="F34" s="71">
        <v>39083</v>
      </c>
      <c r="G34">
        <v>4500</v>
      </c>
      <c r="H34" s="3">
        <v>2238617.4700000002</v>
      </c>
      <c r="I34" s="3">
        <v>2456175.67</v>
      </c>
      <c r="J34" s="3">
        <v>5041682.7699999996</v>
      </c>
      <c r="K34">
        <v>6557920.1599999992</v>
      </c>
      <c r="L34">
        <v>8804636.3000000007</v>
      </c>
      <c r="M34">
        <v>9808177.1500000004</v>
      </c>
      <c r="N34">
        <v>10412176.550000001</v>
      </c>
      <c r="O34">
        <v>10412176.550000001</v>
      </c>
      <c r="P34">
        <v>10412176.550000001</v>
      </c>
      <c r="Q34">
        <v>10412176.550000001</v>
      </c>
      <c r="R34">
        <v>10412176.550000001</v>
      </c>
      <c r="S34">
        <v>10412176.550000001</v>
      </c>
      <c r="T34">
        <v>10412176.550000001</v>
      </c>
      <c r="U34">
        <v>10412177.550000001</v>
      </c>
      <c r="V34">
        <v>10412177.550000001</v>
      </c>
      <c r="W34">
        <v>10412177.550000001</v>
      </c>
      <c r="X34">
        <v>10412176.550000001</v>
      </c>
      <c r="Y34">
        <v>10412176.550000001</v>
      </c>
    </row>
    <row r="35" spans="1:26" x14ac:dyDescent="0.25">
      <c r="A35" s="28" t="s">
        <v>49</v>
      </c>
      <c r="B35" t="s">
        <v>79</v>
      </c>
      <c r="C35" t="s">
        <v>77</v>
      </c>
      <c r="D35" t="s">
        <v>82</v>
      </c>
      <c r="E35" t="s">
        <v>78</v>
      </c>
      <c r="F35" s="71">
        <v>39448</v>
      </c>
      <c r="G35">
        <v>1</v>
      </c>
      <c r="H35" s="3">
        <v>500020</v>
      </c>
      <c r="I35" s="3">
        <v>350000</v>
      </c>
      <c r="J35" s="3">
        <v>1356510.4</v>
      </c>
      <c r="K35">
        <v>1207305.3999999999</v>
      </c>
      <c r="L35">
        <v>3047409.67</v>
      </c>
      <c r="M35">
        <v>4958369.7699999996</v>
      </c>
      <c r="N35">
        <v>4958369.7699999996</v>
      </c>
      <c r="O35">
        <v>7958368.7699999996</v>
      </c>
      <c r="P35">
        <v>8958368.7699999996</v>
      </c>
      <c r="Q35">
        <v>8958368.7699999996</v>
      </c>
      <c r="R35">
        <v>8958368.7699999996</v>
      </c>
      <c r="S35">
        <v>8958368.7699999996</v>
      </c>
      <c r="T35">
        <v>8958368.7699999996</v>
      </c>
      <c r="U35">
        <v>8958368.7699999996</v>
      </c>
      <c r="V35">
        <v>8958368.7699999996</v>
      </c>
      <c r="W35">
        <v>8958368.7699999996</v>
      </c>
      <c r="X35">
        <v>8958368.7699999996</v>
      </c>
    </row>
    <row r="36" spans="1:26" x14ac:dyDescent="0.25">
      <c r="A36" s="28" t="s">
        <v>49</v>
      </c>
      <c r="B36" t="s">
        <v>79</v>
      </c>
      <c r="C36" t="s">
        <v>77</v>
      </c>
      <c r="D36" t="s">
        <v>82</v>
      </c>
      <c r="E36" t="s">
        <v>78</v>
      </c>
      <c r="F36" s="71">
        <v>39814</v>
      </c>
      <c r="G36">
        <v>0</v>
      </c>
      <c r="H36" s="3">
        <v>1</v>
      </c>
      <c r="I36" s="3">
        <v>0</v>
      </c>
      <c r="J36" s="3">
        <v>253112.5</v>
      </c>
      <c r="K36">
        <v>235529.84</v>
      </c>
      <c r="L36">
        <v>1562932.65</v>
      </c>
      <c r="M36">
        <v>1363121.4</v>
      </c>
      <c r="N36">
        <v>1363119.4</v>
      </c>
      <c r="O36">
        <v>1363119.4</v>
      </c>
      <c r="P36">
        <v>1363119.4</v>
      </c>
      <c r="Q36">
        <v>1363119.4</v>
      </c>
      <c r="R36">
        <v>1363119.4</v>
      </c>
      <c r="S36">
        <v>1363119.4</v>
      </c>
      <c r="T36">
        <v>1363119.4</v>
      </c>
      <c r="U36">
        <v>1363119.4</v>
      </c>
      <c r="V36">
        <v>1363119.4</v>
      </c>
      <c r="W36">
        <v>1363119.4</v>
      </c>
    </row>
    <row r="37" spans="1:26" x14ac:dyDescent="0.25">
      <c r="A37" s="28" t="s">
        <v>49</v>
      </c>
      <c r="B37" t="s">
        <v>79</v>
      </c>
      <c r="C37" t="s">
        <v>77</v>
      </c>
      <c r="D37" t="s">
        <v>82</v>
      </c>
      <c r="E37" t="s">
        <v>78</v>
      </c>
      <c r="F37" s="71">
        <v>40179</v>
      </c>
      <c r="G37">
        <v>0</v>
      </c>
      <c r="H37" s="3">
        <v>1426155</v>
      </c>
      <c r="I37" s="3">
        <v>1236381.6399999999</v>
      </c>
      <c r="J37" s="3">
        <v>1739334.64</v>
      </c>
      <c r="K37">
        <v>4936085.25</v>
      </c>
      <c r="L37">
        <v>4759236.55</v>
      </c>
      <c r="M37">
        <v>4760021.1500000004</v>
      </c>
      <c r="N37">
        <v>4760054.1500000004</v>
      </c>
      <c r="O37">
        <v>4760032.1500000004</v>
      </c>
      <c r="P37">
        <v>4760021.1500000004</v>
      </c>
      <c r="Q37">
        <v>4760021.1500000004</v>
      </c>
      <c r="R37">
        <v>4760121.1500000004</v>
      </c>
      <c r="S37">
        <v>4760021.1500000004</v>
      </c>
      <c r="T37">
        <v>4760021.1500000004</v>
      </c>
      <c r="U37">
        <v>4760021.1500000004</v>
      </c>
      <c r="V37">
        <v>4760021.1500000004</v>
      </c>
    </row>
    <row r="38" spans="1:26" x14ac:dyDescent="0.25">
      <c r="A38" s="28" t="s">
        <v>49</v>
      </c>
      <c r="B38" t="s">
        <v>79</v>
      </c>
      <c r="C38" t="s">
        <v>77</v>
      </c>
      <c r="D38" t="s">
        <v>82</v>
      </c>
      <c r="E38" t="s">
        <v>78</v>
      </c>
      <c r="F38" s="71">
        <v>40544</v>
      </c>
      <c r="G38">
        <v>127</v>
      </c>
      <c r="H38" s="3">
        <v>6522</v>
      </c>
      <c r="I38" s="3">
        <v>2618753.2000000002</v>
      </c>
      <c r="J38" s="3">
        <v>5395097.3099999996</v>
      </c>
      <c r="K38">
        <v>6215757.8700000001</v>
      </c>
      <c r="L38">
        <v>6790836.9699999997</v>
      </c>
      <c r="M38">
        <v>8290798.9699999997</v>
      </c>
      <c r="N38">
        <v>8295873.9699999997</v>
      </c>
      <c r="O38">
        <v>8295868.9699999997</v>
      </c>
      <c r="P38">
        <v>8295838.9699999997</v>
      </c>
      <c r="Q38">
        <v>8295831.9699999997</v>
      </c>
      <c r="R38">
        <v>7044797.9699999997</v>
      </c>
      <c r="S38">
        <v>7044798.9699999997</v>
      </c>
      <c r="T38">
        <v>11309875.970000001</v>
      </c>
      <c r="U38">
        <v>11308459.82</v>
      </c>
    </row>
    <row r="39" spans="1:26" x14ac:dyDescent="0.25">
      <c r="A39" s="28" t="s">
        <v>49</v>
      </c>
      <c r="B39" t="s">
        <v>79</v>
      </c>
      <c r="C39" t="s">
        <v>77</v>
      </c>
      <c r="D39" t="s">
        <v>82</v>
      </c>
      <c r="E39" t="s">
        <v>78</v>
      </c>
      <c r="F39" s="71">
        <v>40909</v>
      </c>
      <c r="G39">
        <v>0</v>
      </c>
      <c r="H39" s="3">
        <v>260910.75</v>
      </c>
      <c r="I39" s="3">
        <v>256610.91</v>
      </c>
      <c r="J39" s="3">
        <v>256512.91</v>
      </c>
      <c r="K39">
        <v>2707011.91</v>
      </c>
      <c r="L39">
        <v>7135086.4100000001</v>
      </c>
      <c r="M39">
        <v>9412908.4100000001</v>
      </c>
      <c r="N39">
        <v>11301423.66</v>
      </c>
      <c r="O39">
        <v>11301423.66</v>
      </c>
      <c r="P39">
        <v>11301392.66</v>
      </c>
      <c r="Q39">
        <v>11281392.66</v>
      </c>
      <c r="R39">
        <v>11031723.66</v>
      </c>
      <c r="S39">
        <v>11031724.66</v>
      </c>
      <c r="T39">
        <v>11031722.66</v>
      </c>
    </row>
    <row r="40" spans="1:26" x14ac:dyDescent="0.25">
      <c r="A40" s="28" t="s">
        <v>49</v>
      </c>
      <c r="B40" t="s">
        <v>79</v>
      </c>
      <c r="C40" t="s">
        <v>77</v>
      </c>
      <c r="D40" t="s">
        <v>82</v>
      </c>
      <c r="E40" t="s">
        <v>78</v>
      </c>
      <c r="F40" s="71">
        <v>41275</v>
      </c>
      <c r="G40">
        <v>0</v>
      </c>
      <c r="H40" s="3">
        <v>5037495</v>
      </c>
      <c r="I40" s="3">
        <v>5118925.63</v>
      </c>
      <c r="J40" s="3">
        <v>5133700.13</v>
      </c>
      <c r="K40">
        <v>5213669.41</v>
      </c>
      <c r="L40">
        <v>7209234.3200000003</v>
      </c>
      <c r="M40">
        <v>6601360.4400000004</v>
      </c>
      <c r="N40">
        <v>6601360.4400000004</v>
      </c>
      <c r="O40">
        <v>6601416.4400000004</v>
      </c>
      <c r="P40">
        <v>6601416.4400000004</v>
      </c>
      <c r="Q40">
        <v>6601417.4400000004</v>
      </c>
      <c r="R40">
        <v>6602812.04</v>
      </c>
      <c r="S40">
        <v>6605812.04</v>
      </c>
    </row>
    <row r="41" spans="1:26" x14ac:dyDescent="0.25">
      <c r="A41" s="28" t="s">
        <v>49</v>
      </c>
      <c r="B41" t="s">
        <v>79</v>
      </c>
      <c r="C41" t="s">
        <v>77</v>
      </c>
      <c r="D41" t="s">
        <v>82</v>
      </c>
      <c r="E41" t="s">
        <v>78</v>
      </c>
      <c r="F41" s="71">
        <v>41640</v>
      </c>
      <c r="G41">
        <v>0</v>
      </c>
      <c r="H41" s="3">
        <v>500</v>
      </c>
      <c r="I41" s="3">
        <v>1000116</v>
      </c>
      <c r="J41" s="3">
        <v>3972133</v>
      </c>
      <c r="K41">
        <v>9485204.0099999998</v>
      </c>
      <c r="L41">
        <v>11184340.01</v>
      </c>
      <c r="M41">
        <v>9884337.0099999998</v>
      </c>
      <c r="N41">
        <v>8823203.0600000005</v>
      </c>
      <c r="O41">
        <v>8823204.0600000005</v>
      </c>
      <c r="P41">
        <v>8823202.0600000005</v>
      </c>
      <c r="Q41">
        <v>8823204.0600000005</v>
      </c>
      <c r="R41">
        <v>8858204.0600000005</v>
      </c>
    </row>
    <row r="42" spans="1:26" x14ac:dyDescent="0.25">
      <c r="A42" s="28" t="s">
        <v>49</v>
      </c>
      <c r="B42" t="s">
        <v>79</v>
      </c>
      <c r="C42" t="s">
        <v>77</v>
      </c>
      <c r="D42" t="s">
        <v>82</v>
      </c>
      <c r="E42" t="s">
        <v>78</v>
      </c>
      <c r="F42" s="71">
        <v>42005</v>
      </c>
      <c r="G42">
        <v>150</v>
      </c>
      <c r="H42" s="3">
        <v>2079810.38</v>
      </c>
      <c r="I42" s="3">
        <v>5536691.8799999999</v>
      </c>
      <c r="J42" s="3">
        <v>12981294.68</v>
      </c>
      <c r="K42">
        <v>17140447.93</v>
      </c>
      <c r="L42">
        <v>19320732.309999999</v>
      </c>
      <c r="M42">
        <v>19631426.649999999</v>
      </c>
      <c r="N42">
        <v>24579536.350000001</v>
      </c>
      <c r="O42">
        <v>24587023.350000001</v>
      </c>
      <c r="P42">
        <v>27587023.350000001</v>
      </c>
      <c r="Q42">
        <v>29087022.350000001</v>
      </c>
    </row>
    <row r="43" spans="1:26" x14ac:dyDescent="0.25">
      <c r="A43" s="28" t="s">
        <v>49</v>
      </c>
      <c r="B43" t="s">
        <v>79</v>
      </c>
      <c r="C43" t="s">
        <v>77</v>
      </c>
      <c r="D43" t="s">
        <v>82</v>
      </c>
      <c r="E43" t="s">
        <v>78</v>
      </c>
      <c r="F43" s="71">
        <v>42370</v>
      </c>
      <c r="G43">
        <v>1101</v>
      </c>
      <c r="H43" s="3">
        <v>513345</v>
      </c>
      <c r="I43" s="3">
        <v>1352221.44</v>
      </c>
      <c r="J43" s="3">
        <v>6201527.8799999999</v>
      </c>
      <c r="K43">
        <v>9830879.7799999993</v>
      </c>
      <c r="L43">
        <v>10199313.939999999</v>
      </c>
      <c r="M43">
        <v>21281082.82</v>
      </c>
      <c r="N43">
        <v>24239616.420000002</v>
      </c>
      <c r="O43">
        <v>28516344.920000002</v>
      </c>
      <c r="P43">
        <v>28586341.920000002</v>
      </c>
    </row>
    <row r="44" spans="1:26" x14ac:dyDescent="0.25">
      <c r="A44" s="28" t="s">
        <v>49</v>
      </c>
      <c r="B44" t="s">
        <v>79</v>
      </c>
      <c r="C44" t="s">
        <v>77</v>
      </c>
      <c r="D44" t="s">
        <v>82</v>
      </c>
      <c r="E44" t="s">
        <v>78</v>
      </c>
      <c r="F44" s="71">
        <v>42736</v>
      </c>
      <c r="G44">
        <v>5021</v>
      </c>
      <c r="H44" s="3">
        <v>5955788.4800000004</v>
      </c>
      <c r="I44" s="3">
        <v>41059813.079999998</v>
      </c>
      <c r="J44" s="3">
        <v>45339775.399999999</v>
      </c>
      <c r="K44">
        <v>69160038.939999998</v>
      </c>
      <c r="L44">
        <v>84160906.789999992</v>
      </c>
      <c r="M44">
        <v>89060977.700000018</v>
      </c>
      <c r="N44">
        <v>106322410.43000001</v>
      </c>
      <c r="O44">
        <v>106613616.26000001</v>
      </c>
    </row>
    <row r="45" spans="1:26" x14ac:dyDescent="0.25">
      <c r="A45" s="28" t="s">
        <v>49</v>
      </c>
      <c r="B45" t="s">
        <v>79</v>
      </c>
      <c r="C45" t="s">
        <v>77</v>
      </c>
      <c r="D45" t="s">
        <v>82</v>
      </c>
      <c r="E45" t="s">
        <v>78</v>
      </c>
      <c r="F45" s="71">
        <v>43101</v>
      </c>
      <c r="G45">
        <v>44</v>
      </c>
      <c r="H45" s="3">
        <v>19530474</v>
      </c>
      <c r="I45" s="3">
        <v>47541217.600000001</v>
      </c>
      <c r="J45" s="3">
        <v>66722680.820000008</v>
      </c>
      <c r="K45">
        <v>78598514.36999999</v>
      </c>
      <c r="L45">
        <v>89537048.530000001</v>
      </c>
      <c r="M45">
        <v>117568714.86</v>
      </c>
      <c r="N45">
        <v>134961042.13999999</v>
      </c>
    </row>
    <row r="46" spans="1:26" x14ac:dyDescent="0.25">
      <c r="A46" s="28" t="s">
        <v>49</v>
      </c>
      <c r="B46" t="s">
        <v>79</v>
      </c>
      <c r="C46" t="s">
        <v>77</v>
      </c>
      <c r="D46" t="s">
        <v>82</v>
      </c>
      <c r="E46" t="s">
        <v>78</v>
      </c>
      <c r="F46" s="71">
        <v>43466</v>
      </c>
      <c r="G46">
        <v>61</v>
      </c>
      <c r="H46" s="3">
        <v>13240828.960000001</v>
      </c>
      <c r="I46" s="3">
        <v>67424212.549999997</v>
      </c>
      <c r="J46" s="3">
        <v>105464015.44</v>
      </c>
      <c r="K46">
        <v>129252250.12</v>
      </c>
      <c r="L46">
        <v>181258657.09</v>
      </c>
      <c r="M46">
        <v>220293460.65000001</v>
      </c>
    </row>
    <row r="47" spans="1:26" x14ac:dyDescent="0.25">
      <c r="A47" s="28" t="s">
        <v>49</v>
      </c>
      <c r="B47" t="s">
        <v>79</v>
      </c>
      <c r="C47" t="s">
        <v>77</v>
      </c>
      <c r="D47" t="s">
        <v>82</v>
      </c>
      <c r="E47" t="s">
        <v>78</v>
      </c>
      <c r="F47" s="71">
        <v>43831</v>
      </c>
      <c r="G47">
        <v>20223</v>
      </c>
      <c r="H47" s="3">
        <v>4309798.4400000004</v>
      </c>
      <c r="I47" s="3">
        <v>19022590.18</v>
      </c>
      <c r="J47" s="3">
        <v>74546854.959999993</v>
      </c>
      <c r="K47">
        <v>120569623.3</v>
      </c>
      <c r="L47">
        <v>153094159.44999999</v>
      </c>
    </row>
    <row r="48" spans="1:26" x14ac:dyDescent="0.25">
      <c r="A48" s="28" t="s">
        <v>49</v>
      </c>
      <c r="B48" t="s">
        <v>79</v>
      </c>
      <c r="C48" t="s">
        <v>77</v>
      </c>
      <c r="D48" t="s">
        <v>82</v>
      </c>
      <c r="E48" t="s">
        <v>78</v>
      </c>
      <c r="F48" s="71">
        <v>44197</v>
      </c>
      <c r="G48">
        <v>165</v>
      </c>
      <c r="H48" s="3">
        <v>23084615.949999999</v>
      </c>
      <c r="I48" s="3">
        <v>87811762.699999988</v>
      </c>
      <c r="J48" s="3">
        <v>175025241.93000001</v>
      </c>
      <c r="K48">
        <v>290235798.12</v>
      </c>
    </row>
    <row r="49" spans="1:31" x14ac:dyDescent="0.25">
      <c r="A49" s="28" t="s">
        <v>49</v>
      </c>
      <c r="B49" t="s">
        <v>79</v>
      </c>
      <c r="C49" t="s">
        <v>77</v>
      </c>
      <c r="D49" t="s">
        <v>82</v>
      </c>
      <c r="E49" t="s">
        <v>78</v>
      </c>
      <c r="F49" s="71">
        <v>44562</v>
      </c>
      <c r="G49">
        <v>333</v>
      </c>
      <c r="H49" s="3">
        <v>16496240.17</v>
      </c>
      <c r="I49" s="3">
        <v>72221999.099999994</v>
      </c>
      <c r="J49" s="3">
        <v>182085939.59999999</v>
      </c>
    </row>
    <row r="50" spans="1:31" x14ac:dyDescent="0.25">
      <c r="A50" s="28" t="s">
        <v>49</v>
      </c>
      <c r="B50" t="s">
        <v>79</v>
      </c>
      <c r="C50" t="s">
        <v>77</v>
      </c>
      <c r="D50" t="s">
        <v>82</v>
      </c>
      <c r="E50" t="s">
        <v>78</v>
      </c>
      <c r="F50" s="71">
        <v>44927</v>
      </c>
      <c r="G50">
        <v>357865.29</v>
      </c>
      <c r="H50" s="3">
        <v>16829195.84</v>
      </c>
      <c r="I50" s="3">
        <v>126152046.54000001</v>
      </c>
      <c r="J50" s="3"/>
    </row>
    <row r="51" spans="1:31" x14ac:dyDescent="0.25">
      <c r="A51" s="28" t="s">
        <v>49</v>
      </c>
      <c r="B51" t="s">
        <v>79</v>
      </c>
      <c r="C51" t="s">
        <v>77</v>
      </c>
      <c r="D51" t="s">
        <v>82</v>
      </c>
      <c r="E51" t="s">
        <v>78</v>
      </c>
      <c r="F51" s="71">
        <v>45292</v>
      </c>
      <c r="G51">
        <v>1883</v>
      </c>
      <c r="H51" s="3">
        <v>25459221.140000001</v>
      </c>
      <c r="I51" s="3"/>
      <c r="J51" s="3"/>
    </row>
    <row r="52" spans="1:31" x14ac:dyDescent="0.25">
      <c r="A52" s="28" t="s">
        <v>49</v>
      </c>
      <c r="B52" t="s">
        <v>79</v>
      </c>
      <c r="C52" t="s">
        <v>77</v>
      </c>
      <c r="D52" t="s">
        <v>82</v>
      </c>
      <c r="E52" t="s">
        <v>78</v>
      </c>
      <c r="F52" s="71">
        <v>45658</v>
      </c>
      <c r="G52">
        <v>28772</v>
      </c>
      <c r="H52" s="3"/>
      <c r="I52" s="3"/>
      <c r="J52" s="3"/>
    </row>
    <row r="53" spans="1:31" x14ac:dyDescent="0.25">
      <c r="A53" s="28" t="s">
        <v>49</v>
      </c>
      <c r="B53" t="s">
        <v>80</v>
      </c>
      <c r="C53" t="s">
        <v>77</v>
      </c>
      <c r="D53" t="s">
        <v>82</v>
      </c>
      <c r="E53" t="s">
        <v>78</v>
      </c>
      <c r="F53" s="71">
        <v>36892</v>
      </c>
      <c r="G53">
        <v>0</v>
      </c>
      <c r="H53" s="3">
        <v>0</v>
      </c>
      <c r="I53" s="3">
        <v>0</v>
      </c>
      <c r="J53" s="3">
        <v>1125000</v>
      </c>
      <c r="K53">
        <v>1125000</v>
      </c>
      <c r="L53">
        <v>1148853.6299999999</v>
      </c>
      <c r="M53">
        <v>1298425.82</v>
      </c>
      <c r="N53">
        <v>948379.12</v>
      </c>
      <c r="O53">
        <v>948379.12</v>
      </c>
      <c r="P53">
        <v>948379.12</v>
      </c>
      <c r="Q53">
        <v>948379.12</v>
      </c>
      <c r="R53">
        <v>948379.12</v>
      </c>
      <c r="S53">
        <v>948379.12</v>
      </c>
      <c r="T53">
        <v>948379.12</v>
      </c>
      <c r="U53">
        <v>948379.12</v>
      </c>
      <c r="V53">
        <v>948379.12</v>
      </c>
      <c r="W53">
        <v>948379.12</v>
      </c>
      <c r="X53">
        <v>948379.12</v>
      </c>
      <c r="Y53">
        <v>948379.12</v>
      </c>
      <c r="Z53">
        <v>948379.12</v>
      </c>
      <c r="AA53">
        <v>948379.12</v>
      </c>
      <c r="AB53">
        <v>948379.12</v>
      </c>
      <c r="AC53">
        <v>948379.12</v>
      </c>
      <c r="AD53">
        <v>948379.12</v>
      </c>
      <c r="AE53">
        <v>948379.12</v>
      </c>
    </row>
    <row r="54" spans="1:31" x14ac:dyDescent="0.25">
      <c r="A54" s="28" t="s">
        <v>49</v>
      </c>
      <c r="B54" t="s">
        <v>80</v>
      </c>
      <c r="C54" t="s">
        <v>77</v>
      </c>
      <c r="D54" t="s">
        <v>82</v>
      </c>
      <c r="E54" t="s">
        <v>78</v>
      </c>
      <c r="F54" s="71">
        <v>37257</v>
      </c>
      <c r="G54">
        <v>0</v>
      </c>
      <c r="H54" s="3">
        <v>0</v>
      </c>
      <c r="I54" s="3">
        <v>0</v>
      </c>
      <c r="J54" s="3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1" x14ac:dyDescent="0.25">
      <c r="A55" s="28" t="s">
        <v>49</v>
      </c>
      <c r="B55" t="s">
        <v>80</v>
      </c>
      <c r="C55" t="s">
        <v>77</v>
      </c>
      <c r="D55" t="s">
        <v>82</v>
      </c>
      <c r="E55" t="s">
        <v>78</v>
      </c>
      <c r="F55" s="71">
        <v>37622</v>
      </c>
      <c r="G55">
        <v>0</v>
      </c>
      <c r="H55" s="3">
        <v>0</v>
      </c>
      <c r="I55" s="3">
        <v>0</v>
      </c>
      <c r="J55" s="3">
        <v>0</v>
      </c>
      <c r="K55">
        <v>0</v>
      </c>
      <c r="L55">
        <v>0</v>
      </c>
      <c r="M55">
        <v>1000000</v>
      </c>
      <c r="N55">
        <v>1000000</v>
      </c>
      <c r="O55">
        <v>1000000</v>
      </c>
      <c r="P55">
        <v>1000000</v>
      </c>
      <c r="Q55">
        <v>1000000</v>
      </c>
      <c r="R55">
        <v>1000000</v>
      </c>
      <c r="S55">
        <v>1000000</v>
      </c>
      <c r="T55">
        <v>1000000</v>
      </c>
      <c r="U55">
        <v>1000000</v>
      </c>
      <c r="V55">
        <v>1000000</v>
      </c>
      <c r="W55">
        <v>1000000</v>
      </c>
      <c r="X55">
        <v>1000000</v>
      </c>
      <c r="Y55">
        <v>1000000</v>
      </c>
      <c r="Z55">
        <v>1000000</v>
      </c>
      <c r="AA55">
        <v>1000000</v>
      </c>
      <c r="AB55">
        <v>1000000</v>
      </c>
      <c r="AC55">
        <v>1000000</v>
      </c>
    </row>
    <row r="56" spans="1:31" x14ac:dyDescent="0.25">
      <c r="A56" s="28" t="s">
        <v>49</v>
      </c>
      <c r="B56" t="s">
        <v>80</v>
      </c>
      <c r="C56" t="s">
        <v>77</v>
      </c>
      <c r="D56" t="s">
        <v>82</v>
      </c>
      <c r="E56" t="s">
        <v>78</v>
      </c>
      <c r="F56" s="71">
        <v>37987</v>
      </c>
      <c r="G56">
        <v>0</v>
      </c>
      <c r="H56" s="3">
        <v>1126899.97</v>
      </c>
      <c r="I56" s="3">
        <v>1131855.3799999999</v>
      </c>
      <c r="J56" s="3">
        <v>1506893.78</v>
      </c>
      <c r="K56">
        <v>1506893.78</v>
      </c>
      <c r="L56">
        <v>1514170.08</v>
      </c>
      <c r="M56">
        <v>1514170.08</v>
      </c>
      <c r="N56">
        <v>2264170.08</v>
      </c>
      <c r="O56">
        <v>2264170.08</v>
      </c>
      <c r="P56">
        <v>2264170.08</v>
      </c>
      <c r="Q56">
        <v>2264170.08</v>
      </c>
      <c r="R56">
        <v>2264170.08</v>
      </c>
      <c r="S56">
        <v>2264170.08</v>
      </c>
      <c r="T56">
        <v>2264170.08</v>
      </c>
      <c r="U56">
        <v>2264170.08</v>
      </c>
      <c r="V56">
        <v>2264170.08</v>
      </c>
      <c r="W56">
        <v>2264170.08</v>
      </c>
      <c r="X56">
        <v>2264170.08</v>
      </c>
      <c r="Y56">
        <v>2264170.08</v>
      </c>
      <c r="Z56">
        <v>2264170.08</v>
      </c>
      <c r="AA56">
        <v>2264170.08</v>
      </c>
      <c r="AB56">
        <v>2264170.08</v>
      </c>
    </row>
    <row r="57" spans="1:31" x14ac:dyDescent="0.25">
      <c r="A57" s="28" t="s">
        <v>49</v>
      </c>
      <c r="B57" t="s">
        <v>80</v>
      </c>
      <c r="C57" t="s">
        <v>77</v>
      </c>
      <c r="D57" t="s">
        <v>82</v>
      </c>
      <c r="E57" t="s">
        <v>78</v>
      </c>
      <c r="F57" s="71">
        <v>38353</v>
      </c>
      <c r="G57">
        <v>0</v>
      </c>
      <c r="H57" s="3">
        <v>5104.49</v>
      </c>
      <c r="I57" s="3">
        <v>5103.79</v>
      </c>
      <c r="J57" s="3">
        <v>6568.8099999999986</v>
      </c>
      <c r="K57">
        <v>6980.41</v>
      </c>
      <c r="L57">
        <v>7274.41</v>
      </c>
      <c r="M57">
        <v>7274.41</v>
      </c>
      <c r="N57">
        <v>7274.41</v>
      </c>
      <c r="O57">
        <v>7274.41</v>
      </c>
      <c r="P57">
        <v>7274.41</v>
      </c>
      <c r="Q57">
        <v>7274.41</v>
      </c>
      <c r="R57">
        <v>7274.41</v>
      </c>
      <c r="S57">
        <v>7274.41</v>
      </c>
      <c r="T57">
        <v>7274.41</v>
      </c>
      <c r="U57">
        <v>7274.41</v>
      </c>
      <c r="V57">
        <v>7274.41</v>
      </c>
      <c r="W57">
        <v>7274.41</v>
      </c>
      <c r="X57">
        <v>7274.41</v>
      </c>
      <c r="Y57">
        <v>7274.41</v>
      </c>
      <c r="Z57">
        <v>7274.41</v>
      </c>
      <c r="AA57">
        <v>7274.41</v>
      </c>
    </row>
    <row r="58" spans="1:31" x14ac:dyDescent="0.25">
      <c r="A58" s="28" t="s">
        <v>49</v>
      </c>
      <c r="B58" t="s">
        <v>80</v>
      </c>
      <c r="C58" t="s">
        <v>77</v>
      </c>
      <c r="D58" t="s">
        <v>82</v>
      </c>
      <c r="E58" t="s">
        <v>78</v>
      </c>
      <c r="F58" s="71">
        <v>38718</v>
      </c>
      <c r="G58">
        <v>5.89</v>
      </c>
      <c r="H58" s="3">
        <v>26.89</v>
      </c>
      <c r="I58" s="3">
        <v>20773.7</v>
      </c>
      <c r="J58" s="3">
        <v>5800148.8300000001</v>
      </c>
      <c r="K58">
        <v>5860394.1100000003</v>
      </c>
      <c r="L58">
        <v>5940633.0800000001</v>
      </c>
      <c r="M58">
        <v>5631633.9699999997</v>
      </c>
      <c r="N58">
        <v>5161751.75</v>
      </c>
      <c r="O58">
        <v>5162281.7</v>
      </c>
      <c r="P58">
        <v>5162281.7</v>
      </c>
      <c r="Q58">
        <v>5162567.3</v>
      </c>
      <c r="R58">
        <v>5162567.3</v>
      </c>
      <c r="S58">
        <v>5162567.3</v>
      </c>
      <c r="T58">
        <v>5162567.3</v>
      </c>
      <c r="U58">
        <v>5162567.3</v>
      </c>
      <c r="V58">
        <v>5162567.3</v>
      </c>
      <c r="W58">
        <v>5162567.3</v>
      </c>
      <c r="X58">
        <v>5162567.3</v>
      </c>
      <c r="Y58">
        <v>5162567.3</v>
      </c>
      <c r="Z58">
        <v>5162567.3</v>
      </c>
    </row>
    <row r="59" spans="1:31" x14ac:dyDescent="0.25">
      <c r="A59" s="28" t="s">
        <v>49</v>
      </c>
      <c r="B59" t="s">
        <v>80</v>
      </c>
      <c r="C59" t="s">
        <v>77</v>
      </c>
      <c r="D59" t="s">
        <v>82</v>
      </c>
      <c r="E59" t="s">
        <v>78</v>
      </c>
      <c r="F59" s="71">
        <v>39083</v>
      </c>
      <c r="G59">
        <v>0</v>
      </c>
      <c r="H59" s="3">
        <v>2225043.4700000002</v>
      </c>
      <c r="I59" s="3">
        <v>2225700.67</v>
      </c>
      <c r="J59" s="3">
        <v>4032179.77</v>
      </c>
      <c r="K59">
        <v>5532238.9099999992</v>
      </c>
      <c r="L59">
        <v>6554634.6999999993</v>
      </c>
      <c r="M59">
        <v>9558176.5500000007</v>
      </c>
      <c r="N59">
        <v>10412176.550000001</v>
      </c>
      <c r="O59">
        <v>10412176.550000001</v>
      </c>
      <c r="P59">
        <v>10412176.550000001</v>
      </c>
      <c r="Q59">
        <v>10412176.550000001</v>
      </c>
      <c r="R59">
        <v>10412176.550000001</v>
      </c>
      <c r="S59">
        <v>10412176.550000001</v>
      </c>
      <c r="T59">
        <v>10412176.550000001</v>
      </c>
      <c r="U59">
        <v>10412176.550000001</v>
      </c>
      <c r="V59">
        <v>10412176.550000001</v>
      </c>
      <c r="W59">
        <v>10412176.550000001</v>
      </c>
      <c r="X59">
        <v>10412176.550000001</v>
      </c>
      <c r="Y59">
        <v>10412176.550000001</v>
      </c>
    </row>
    <row r="60" spans="1:31" x14ac:dyDescent="0.25">
      <c r="A60" s="28" t="s">
        <v>49</v>
      </c>
      <c r="B60" t="s">
        <v>80</v>
      </c>
      <c r="C60" t="s">
        <v>77</v>
      </c>
      <c r="D60" t="s">
        <v>82</v>
      </c>
      <c r="E60" t="s">
        <v>78</v>
      </c>
      <c r="F60" s="71">
        <v>39448</v>
      </c>
      <c r="G60">
        <v>0</v>
      </c>
      <c r="H60" s="3">
        <v>0</v>
      </c>
      <c r="I60" s="3">
        <v>200000</v>
      </c>
      <c r="J60" s="3">
        <v>1201406.1499999999</v>
      </c>
      <c r="K60">
        <v>1202305.1499999999</v>
      </c>
      <c r="L60">
        <v>3047406.67</v>
      </c>
      <c r="M60">
        <v>3958368.77</v>
      </c>
      <c r="N60">
        <v>3958368.77</v>
      </c>
      <c r="O60">
        <v>3958368.77</v>
      </c>
      <c r="P60">
        <v>8958368.7699999996</v>
      </c>
      <c r="Q60">
        <v>8958368.7699999996</v>
      </c>
      <c r="R60">
        <v>8958368.7699999996</v>
      </c>
      <c r="S60">
        <v>8958368.7699999996</v>
      </c>
      <c r="T60">
        <v>8958368.7699999996</v>
      </c>
      <c r="U60">
        <v>8958368.7699999996</v>
      </c>
      <c r="V60">
        <v>8958368.7699999996</v>
      </c>
      <c r="W60">
        <v>8958368.7699999996</v>
      </c>
      <c r="X60">
        <v>8958368.7699999996</v>
      </c>
    </row>
    <row r="61" spans="1:31" x14ac:dyDescent="0.25">
      <c r="A61" s="28" t="s">
        <v>49</v>
      </c>
      <c r="B61" t="s">
        <v>80</v>
      </c>
      <c r="C61" t="s">
        <v>77</v>
      </c>
      <c r="D61" t="s">
        <v>82</v>
      </c>
      <c r="E61" t="s">
        <v>78</v>
      </c>
      <c r="F61" s="71">
        <v>39814</v>
      </c>
      <c r="G61">
        <v>0</v>
      </c>
      <c r="H61" s="3">
        <v>0</v>
      </c>
      <c r="I61" s="3">
        <v>0</v>
      </c>
      <c r="J61" s="3">
        <v>2912.5</v>
      </c>
      <c r="K61">
        <v>235429.84</v>
      </c>
      <c r="L61">
        <v>562930.65</v>
      </c>
      <c r="M61">
        <v>1363119.4</v>
      </c>
      <c r="N61">
        <v>1363119.4</v>
      </c>
      <c r="O61">
        <v>1363119.4</v>
      </c>
      <c r="P61">
        <v>1363119.4</v>
      </c>
      <c r="Q61">
        <v>1363119.4</v>
      </c>
      <c r="R61">
        <v>1363119.4</v>
      </c>
      <c r="S61">
        <v>1363119.4</v>
      </c>
      <c r="T61">
        <v>1363119.4</v>
      </c>
      <c r="U61">
        <v>1363119.4</v>
      </c>
      <c r="V61">
        <v>1363119.4</v>
      </c>
      <c r="W61">
        <v>1363119.4</v>
      </c>
    </row>
    <row r="62" spans="1:31" x14ac:dyDescent="0.25">
      <c r="A62" s="28" t="s">
        <v>49</v>
      </c>
      <c r="B62" t="s">
        <v>80</v>
      </c>
      <c r="C62" t="s">
        <v>77</v>
      </c>
      <c r="D62" t="s">
        <v>82</v>
      </c>
      <c r="E62" t="s">
        <v>78</v>
      </c>
      <c r="F62" s="71">
        <v>40179</v>
      </c>
      <c r="G62">
        <v>0</v>
      </c>
      <c r="H62" s="3">
        <v>637739</v>
      </c>
      <c r="I62" s="3">
        <v>1236177.6399999999</v>
      </c>
      <c r="J62" s="3">
        <v>1237241.6399999999</v>
      </c>
      <c r="K62">
        <v>4436084.25</v>
      </c>
      <c r="L62">
        <v>4759235.55</v>
      </c>
      <c r="M62">
        <v>4760021.1500000004</v>
      </c>
      <c r="N62">
        <v>4760021.1500000004</v>
      </c>
      <c r="O62">
        <v>4760021.1500000004</v>
      </c>
      <c r="P62">
        <v>4760021.1500000004</v>
      </c>
      <c r="Q62">
        <v>4760021.1500000004</v>
      </c>
      <c r="R62">
        <v>4760021.1500000004</v>
      </c>
      <c r="S62">
        <v>4760021.1500000004</v>
      </c>
      <c r="T62">
        <v>4760021.1500000004</v>
      </c>
      <c r="U62">
        <v>4760021.1500000004</v>
      </c>
      <c r="V62">
        <v>4760021.1500000004</v>
      </c>
    </row>
    <row r="63" spans="1:31" x14ac:dyDescent="0.25">
      <c r="A63" s="28" t="s">
        <v>49</v>
      </c>
      <c r="B63" t="s">
        <v>80</v>
      </c>
      <c r="C63" t="s">
        <v>77</v>
      </c>
      <c r="D63" t="s">
        <v>82</v>
      </c>
      <c r="E63" t="s">
        <v>78</v>
      </c>
      <c r="F63" s="71">
        <v>40544</v>
      </c>
      <c r="G63">
        <v>0</v>
      </c>
      <c r="H63" s="3">
        <v>27</v>
      </c>
      <c r="I63" s="3">
        <v>7658.97</v>
      </c>
      <c r="J63" s="3">
        <v>3209495.31</v>
      </c>
      <c r="K63">
        <v>6115594.8700000001</v>
      </c>
      <c r="L63">
        <v>6290734.9699999997</v>
      </c>
      <c r="M63">
        <v>7040734.9699999997</v>
      </c>
      <c r="N63">
        <v>7044797.9699999997</v>
      </c>
      <c r="O63">
        <v>7044797.9699999997</v>
      </c>
      <c r="P63">
        <v>7044797.9699999997</v>
      </c>
      <c r="Q63">
        <v>7044797.9699999997</v>
      </c>
      <c r="R63">
        <v>7044797.9699999997</v>
      </c>
      <c r="S63">
        <v>7044797.9699999997</v>
      </c>
      <c r="T63">
        <v>11292905.82</v>
      </c>
      <c r="U63">
        <v>11308459.82</v>
      </c>
    </row>
    <row r="64" spans="1:31" x14ac:dyDescent="0.25">
      <c r="A64" s="28" t="s">
        <v>49</v>
      </c>
      <c r="B64" t="s">
        <v>80</v>
      </c>
      <c r="C64" t="s">
        <v>77</v>
      </c>
      <c r="D64" t="s">
        <v>82</v>
      </c>
      <c r="E64" t="s">
        <v>78</v>
      </c>
      <c r="F64" s="71">
        <v>40909</v>
      </c>
      <c r="G64">
        <v>0</v>
      </c>
      <c r="H64" s="3">
        <v>17.75</v>
      </c>
      <c r="I64" s="3">
        <v>1410.91</v>
      </c>
      <c r="J64" s="3">
        <v>1410.91</v>
      </c>
      <c r="K64">
        <v>1751410.91</v>
      </c>
      <c r="L64">
        <v>3609543.41</v>
      </c>
      <c r="M64">
        <v>6612865.4100000001</v>
      </c>
      <c r="N64">
        <v>11031392.66</v>
      </c>
      <c r="O64">
        <v>11031392.66</v>
      </c>
      <c r="P64">
        <v>11031392.66</v>
      </c>
      <c r="Q64">
        <v>11031392.66</v>
      </c>
      <c r="R64">
        <v>11031722.66</v>
      </c>
      <c r="S64">
        <v>11031722.66</v>
      </c>
      <c r="T64">
        <v>11031722.66</v>
      </c>
    </row>
    <row r="65" spans="1:31" x14ac:dyDescent="0.25">
      <c r="A65" s="28" t="s">
        <v>49</v>
      </c>
      <c r="B65" t="s">
        <v>80</v>
      </c>
      <c r="C65" t="s">
        <v>77</v>
      </c>
      <c r="D65" t="s">
        <v>82</v>
      </c>
      <c r="E65" t="s">
        <v>78</v>
      </c>
      <c r="F65" s="71">
        <v>41275</v>
      </c>
      <c r="G65">
        <v>0</v>
      </c>
      <c r="H65" s="3">
        <v>2495</v>
      </c>
      <c r="I65" s="3">
        <v>5117425.63</v>
      </c>
      <c r="J65" s="3">
        <v>5126100.13</v>
      </c>
      <c r="K65">
        <v>5213591.41</v>
      </c>
      <c r="L65">
        <v>5209212.32</v>
      </c>
      <c r="M65">
        <v>6601360.4400000004</v>
      </c>
      <c r="N65">
        <v>6601360.4400000004</v>
      </c>
      <c r="O65">
        <v>6601416.4400000004</v>
      </c>
      <c r="P65">
        <v>6601416.4400000004</v>
      </c>
      <c r="Q65">
        <v>6601416.4400000004</v>
      </c>
      <c r="R65">
        <v>6602812.04</v>
      </c>
      <c r="S65">
        <v>6602812.04</v>
      </c>
    </row>
    <row r="66" spans="1:31" x14ac:dyDescent="0.25">
      <c r="A66" s="28" t="s">
        <v>49</v>
      </c>
      <c r="B66" t="s">
        <v>80</v>
      </c>
      <c r="C66" t="s">
        <v>77</v>
      </c>
      <c r="D66" t="s">
        <v>82</v>
      </c>
      <c r="E66" t="s">
        <v>78</v>
      </c>
      <c r="F66" s="71">
        <v>41640</v>
      </c>
      <c r="G66">
        <v>0</v>
      </c>
      <c r="H66" s="3">
        <v>0</v>
      </c>
      <c r="I66" s="3">
        <v>9</v>
      </c>
      <c r="J66" s="3">
        <v>3055</v>
      </c>
      <c r="K66">
        <v>5881159.0099999998</v>
      </c>
      <c r="L66">
        <v>8599631.8300000001</v>
      </c>
      <c r="M66">
        <v>8601116.8300000001</v>
      </c>
      <c r="N66">
        <v>8823202.0600000005</v>
      </c>
      <c r="O66">
        <v>8823202.0600000005</v>
      </c>
      <c r="P66">
        <v>8823202.0600000005</v>
      </c>
      <c r="Q66">
        <v>8823202.0600000005</v>
      </c>
      <c r="R66">
        <v>8823202.0600000005</v>
      </c>
    </row>
    <row r="67" spans="1:31" x14ac:dyDescent="0.25">
      <c r="A67" s="28" t="s">
        <v>49</v>
      </c>
      <c r="B67" t="s">
        <v>80</v>
      </c>
      <c r="C67" t="s">
        <v>77</v>
      </c>
      <c r="D67" t="s">
        <v>82</v>
      </c>
      <c r="E67" t="s">
        <v>78</v>
      </c>
      <c r="F67" s="71">
        <v>42005</v>
      </c>
      <c r="G67">
        <v>0</v>
      </c>
      <c r="H67" s="3">
        <v>23187.38</v>
      </c>
      <c r="I67" s="3">
        <v>25695.88</v>
      </c>
      <c r="J67" s="3">
        <v>12391818.68</v>
      </c>
      <c r="K67">
        <v>15064122.810000001</v>
      </c>
      <c r="L67">
        <v>19062168.350000001</v>
      </c>
      <c r="M67">
        <v>19584306.850000001</v>
      </c>
      <c r="N67">
        <v>24579528.350000001</v>
      </c>
      <c r="O67">
        <v>24587017.350000001</v>
      </c>
      <c r="P67">
        <v>24587017.350000001</v>
      </c>
      <c r="Q67">
        <v>28987017.350000001</v>
      </c>
    </row>
    <row r="68" spans="1:31" x14ac:dyDescent="0.25">
      <c r="A68" s="28" t="s">
        <v>49</v>
      </c>
      <c r="B68" t="s">
        <v>80</v>
      </c>
      <c r="C68" t="s">
        <v>77</v>
      </c>
      <c r="D68" t="s">
        <v>82</v>
      </c>
      <c r="E68" t="s">
        <v>78</v>
      </c>
      <c r="F68" s="71">
        <v>42370</v>
      </c>
      <c r="G68">
        <v>0</v>
      </c>
      <c r="H68" s="3">
        <v>12764</v>
      </c>
      <c r="I68" s="3">
        <v>700693.85</v>
      </c>
      <c r="J68" s="3">
        <v>3827058.65</v>
      </c>
      <c r="K68">
        <v>9070492.3800000008</v>
      </c>
      <c r="L68">
        <v>9367821.7400000002</v>
      </c>
      <c r="M68">
        <v>16255939.92</v>
      </c>
      <c r="N68">
        <v>16268040.92</v>
      </c>
      <c r="O68">
        <v>26501010.420000002</v>
      </c>
      <c r="P68">
        <v>26525010.920000002</v>
      </c>
    </row>
    <row r="69" spans="1:31" x14ac:dyDescent="0.25">
      <c r="A69" s="28" t="s">
        <v>49</v>
      </c>
      <c r="B69" t="s">
        <v>80</v>
      </c>
      <c r="C69" t="s">
        <v>77</v>
      </c>
      <c r="D69" t="s">
        <v>82</v>
      </c>
      <c r="E69" t="s">
        <v>78</v>
      </c>
      <c r="F69" s="71">
        <v>42736</v>
      </c>
      <c r="G69">
        <v>4725</v>
      </c>
      <c r="H69" s="3">
        <v>5422474.1200000001</v>
      </c>
      <c r="I69" s="3">
        <v>15688963.970000001</v>
      </c>
      <c r="J69" s="3">
        <v>19150443.510000002</v>
      </c>
      <c r="K69">
        <v>63417091.950000003</v>
      </c>
      <c r="L69">
        <v>69805915.579999998</v>
      </c>
      <c r="M69">
        <v>84868416.079999998</v>
      </c>
      <c r="N69">
        <v>91153128.959999993</v>
      </c>
      <c r="O69">
        <v>102857914.28</v>
      </c>
    </row>
    <row r="70" spans="1:31" x14ac:dyDescent="0.25">
      <c r="A70" s="28" t="s">
        <v>49</v>
      </c>
      <c r="B70" t="s">
        <v>80</v>
      </c>
      <c r="C70" t="s">
        <v>77</v>
      </c>
      <c r="D70" t="s">
        <v>82</v>
      </c>
      <c r="E70" t="s">
        <v>78</v>
      </c>
      <c r="F70" s="71">
        <v>43101</v>
      </c>
      <c r="G70">
        <v>0</v>
      </c>
      <c r="H70" s="3">
        <v>9426887.8800000008</v>
      </c>
      <c r="I70" s="3">
        <v>42878678.170000002</v>
      </c>
      <c r="J70" s="3">
        <v>61093077.950000003</v>
      </c>
      <c r="K70">
        <v>69110134.519999981</v>
      </c>
      <c r="L70">
        <v>80351722.560000017</v>
      </c>
      <c r="M70">
        <v>112555928.09999999</v>
      </c>
      <c r="N70">
        <v>127888035.64</v>
      </c>
    </row>
    <row r="71" spans="1:31" x14ac:dyDescent="0.25">
      <c r="A71" s="28" t="s">
        <v>49</v>
      </c>
      <c r="B71" t="s">
        <v>80</v>
      </c>
      <c r="C71" t="s">
        <v>77</v>
      </c>
      <c r="D71" t="s">
        <v>82</v>
      </c>
      <c r="E71" t="s">
        <v>78</v>
      </c>
      <c r="F71" s="71">
        <v>43466</v>
      </c>
      <c r="G71">
        <v>0</v>
      </c>
      <c r="H71" s="3">
        <v>5407795.1600000001</v>
      </c>
      <c r="I71" s="3">
        <v>54576186.68</v>
      </c>
      <c r="J71" s="3">
        <v>83067245.710000008</v>
      </c>
      <c r="K71">
        <v>109531057.37</v>
      </c>
      <c r="L71">
        <v>169966188.75</v>
      </c>
      <c r="M71">
        <v>206775349.87</v>
      </c>
    </row>
    <row r="72" spans="1:31" x14ac:dyDescent="0.25">
      <c r="A72" s="28" t="s">
        <v>49</v>
      </c>
      <c r="B72" t="s">
        <v>80</v>
      </c>
      <c r="C72" t="s">
        <v>77</v>
      </c>
      <c r="D72" t="s">
        <v>82</v>
      </c>
      <c r="E72" t="s">
        <v>78</v>
      </c>
      <c r="F72" s="71">
        <v>43831</v>
      </c>
      <c r="G72">
        <v>0</v>
      </c>
      <c r="H72" s="3">
        <v>4051618.94</v>
      </c>
      <c r="I72" s="3">
        <v>11908901.029999999</v>
      </c>
      <c r="J72" s="3">
        <v>35287157.520000003</v>
      </c>
      <c r="K72">
        <v>71685680.960000008</v>
      </c>
      <c r="L72">
        <v>125895321.52</v>
      </c>
    </row>
    <row r="73" spans="1:31" x14ac:dyDescent="0.25">
      <c r="A73" s="28" t="s">
        <v>49</v>
      </c>
      <c r="B73" t="s">
        <v>80</v>
      </c>
      <c r="C73" t="s">
        <v>77</v>
      </c>
      <c r="D73" t="s">
        <v>82</v>
      </c>
      <c r="E73" t="s">
        <v>78</v>
      </c>
      <c r="F73" s="71">
        <v>44197</v>
      </c>
      <c r="G73">
        <v>0</v>
      </c>
      <c r="H73" s="3">
        <v>122098.67</v>
      </c>
      <c r="I73" s="3">
        <v>63348718.690000013</v>
      </c>
      <c r="J73" s="3">
        <v>120482208.89</v>
      </c>
      <c r="K73">
        <v>211960175.55000001</v>
      </c>
    </row>
    <row r="74" spans="1:31" x14ac:dyDescent="0.25">
      <c r="A74" s="28" t="s">
        <v>49</v>
      </c>
      <c r="B74" t="s">
        <v>80</v>
      </c>
      <c r="C74" t="s">
        <v>77</v>
      </c>
      <c r="D74" t="s">
        <v>82</v>
      </c>
      <c r="E74" t="s">
        <v>78</v>
      </c>
      <c r="F74" s="71">
        <v>44562</v>
      </c>
      <c r="G74">
        <v>0</v>
      </c>
      <c r="H74" s="3">
        <v>5189743.3499999996</v>
      </c>
      <c r="I74" s="3">
        <v>69532480.329999998</v>
      </c>
      <c r="J74" s="3">
        <v>146175120.5</v>
      </c>
    </row>
    <row r="75" spans="1:31" x14ac:dyDescent="0.25">
      <c r="A75" s="28" t="s">
        <v>49</v>
      </c>
      <c r="B75" t="s">
        <v>80</v>
      </c>
      <c r="C75" t="s">
        <v>77</v>
      </c>
      <c r="D75" t="s">
        <v>82</v>
      </c>
      <c r="E75" t="s">
        <v>78</v>
      </c>
      <c r="F75" s="71">
        <v>44927</v>
      </c>
      <c r="G75">
        <v>54671.54</v>
      </c>
      <c r="H75" s="3">
        <v>2600195.9900000002</v>
      </c>
      <c r="I75" s="3">
        <v>46229518.580000013</v>
      </c>
      <c r="J75" s="3"/>
    </row>
    <row r="76" spans="1:31" x14ac:dyDescent="0.25">
      <c r="A76" s="28" t="s">
        <v>49</v>
      </c>
      <c r="B76" t="s">
        <v>80</v>
      </c>
      <c r="C76" t="s">
        <v>77</v>
      </c>
      <c r="D76" t="s">
        <v>82</v>
      </c>
      <c r="E76" t="s">
        <v>78</v>
      </c>
      <c r="F76" s="71">
        <v>45292</v>
      </c>
      <c r="G76">
        <v>0</v>
      </c>
      <c r="H76" s="3">
        <v>1955716.76</v>
      </c>
      <c r="I76" s="3"/>
      <c r="J76" s="3"/>
    </row>
    <row r="77" spans="1:31" x14ac:dyDescent="0.25">
      <c r="A77" s="28" t="s">
        <v>49</v>
      </c>
      <c r="B77" t="s">
        <v>80</v>
      </c>
      <c r="C77" t="s">
        <v>77</v>
      </c>
      <c r="D77" t="s">
        <v>82</v>
      </c>
      <c r="E77" t="s">
        <v>78</v>
      </c>
      <c r="F77" s="71">
        <v>45658</v>
      </c>
      <c r="G77">
        <v>0</v>
      </c>
      <c r="H77" s="3"/>
      <c r="I77" s="3"/>
      <c r="J77" s="3"/>
    </row>
    <row r="78" spans="1:31" x14ac:dyDescent="0.25">
      <c r="A78" s="28" t="s">
        <v>54</v>
      </c>
      <c r="B78" t="s">
        <v>76</v>
      </c>
      <c r="C78" t="s">
        <v>77</v>
      </c>
      <c r="D78" t="s">
        <v>82</v>
      </c>
      <c r="E78" t="s">
        <v>78</v>
      </c>
      <c r="F78" s="71">
        <v>36892</v>
      </c>
      <c r="G78">
        <v>10909747.859999999</v>
      </c>
      <c r="H78" s="3">
        <v>10909747.859999999</v>
      </c>
      <c r="I78" s="3">
        <v>10909747.859999999</v>
      </c>
      <c r="J78" s="3">
        <v>10909747.859999999</v>
      </c>
      <c r="K78">
        <v>10909747.859999999</v>
      </c>
      <c r="L78">
        <v>10909747.859999999</v>
      </c>
      <c r="M78">
        <v>10909747.859999999</v>
      </c>
      <c r="N78">
        <v>10909747.859999999</v>
      </c>
      <c r="O78">
        <v>10909747.859999999</v>
      </c>
      <c r="P78">
        <v>10909747.859999999</v>
      </c>
      <c r="Q78">
        <v>10909747.859999999</v>
      </c>
      <c r="R78">
        <v>10909747.859999999</v>
      </c>
      <c r="S78">
        <v>10909747.859999999</v>
      </c>
      <c r="T78">
        <v>10909747.859999999</v>
      </c>
      <c r="U78">
        <v>10909747.859999999</v>
      </c>
      <c r="V78">
        <v>10909747.859999999</v>
      </c>
      <c r="W78">
        <v>10909747.859999999</v>
      </c>
      <c r="X78">
        <v>10909747.859999999</v>
      </c>
      <c r="Y78">
        <v>10909747.859999999</v>
      </c>
      <c r="Z78">
        <v>10909747.859999999</v>
      </c>
      <c r="AA78">
        <v>10909747.859999999</v>
      </c>
      <c r="AB78">
        <v>10909747.859999999</v>
      </c>
      <c r="AC78">
        <v>10909747.859999999</v>
      </c>
      <c r="AD78">
        <v>10909747.859999999</v>
      </c>
      <c r="AE78">
        <v>10909747.859999999</v>
      </c>
    </row>
    <row r="79" spans="1:31" x14ac:dyDescent="0.25">
      <c r="A79" s="28" t="s">
        <v>54</v>
      </c>
      <c r="B79" t="s">
        <v>76</v>
      </c>
      <c r="C79" t="s">
        <v>77</v>
      </c>
      <c r="D79" t="s">
        <v>82</v>
      </c>
      <c r="E79" t="s">
        <v>78</v>
      </c>
      <c r="F79" s="71">
        <v>37257</v>
      </c>
      <c r="G79">
        <v>11207216.77</v>
      </c>
      <c r="H79" s="3">
        <v>11207216.77</v>
      </c>
      <c r="I79" s="3">
        <v>11207216.77</v>
      </c>
      <c r="J79" s="3">
        <v>11207216.77</v>
      </c>
      <c r="K79">
        <v>11207216.77</v>
      </c>
      <c r="L79">
        <v>11207216.77</v>
      </c>
      <c r="M79">
        <v>11207216.77</v>
      </c>
      <c r="N79">
        <v>11207216.77</v>
      </c>
      <c r="O79">
        <v>11207216.77</v>
      </c>
      <c r="P79">
        <v>11207216.77</v>
      </c>
      <c r="Q79">
        <v>11207216.77</v>
      </c>
      <c r="R79">
        <v>11207216.77</v>
      </c>
      <c r="S79">
        <v>11207216.77</v>
      </c>
      <c r="T79">
        <v>11207216.77</v>
      </c>
      <c r="U79">
        <v>11207216.77</v>
      </c>
      <c r="V79">
        <v>11207216.77</v>
      </c>
      <c r="W79">
        <v>11207216.77</v>
      </c>
      <c r="X79">
        <v>11207216.77</v>
      </c>
      <c r="Y79">
        <v>11207216.77</v>
      </c>
      <c r="Z79">
        <v>11207216.77</v>
      </c>
      <c r="AA79">
        <v>11207216.77</v>
      </c>
      <c r="AB79">
        <v>11207216.77</v>
      </c>
      <c r="AC79">
        <v>11207216.77</v>
      </c>
      <c r="AD79">
        <v>11207216.77</v>
      </c>
    </row>
    <row r="80" spans="1:31" x14ac:dyDescent="0.25">
      <c r="A80" s="28" t="s">
        <v>54</v>
      </c>
      <c r="B80" t="s">
        <v>76</v>
      </c>
      <c r="C80" t="s">
        <v>77</v>
      </c>
      <c r="D80" t="s">
        <v>82</v>
      </c>
      <c r="E80" t="s">
        <v>78</v>
      </c>
      <c r="F80" s="71">
        <v>37622</v>
      </c>
      <c r="G80">
        <v>15383325.68</v>
      </c>
      <c r="H80" s="3">
        <v>15383325.68</v>
      </c>
      <c r="I80" s="3">
        <v>15383325.68</v>
      </c>
      <c r="J80" s="3">
        <v>15383325.68</v>
      </c>
      <c r="K80">
        <v>15383325.68</v>
      </c>
      <c r="L80">
        <v>15383325.68</v>
      </c>
      <c r="M80">
        <v>15383325.68</v>
      </c>
      <c r="N80">
        <v>15383325.68</v>
      </c>
      <c r="O80">
        <v>15383325.68</v>
      </c>
      <c r="P80">
        <v>15383325.68</v>
      </c>
      <c r="Q80">
        <v>15383325.68</v>
      </c>
      <c r="R80">
        <v>15383325.68</v>
      </c>
      <c r="S80">
        <v>15383325.68</v>
      </c>
      <c r="T80">
        <v>15383325.68</v>
      </c>
      <c r="U80">
        <v>15383325.68</v>
      </c>
      <c r="V80">
        <v>15383325.68</v>
      </c>
      <c r="W80">
        <v>15383325.68</v>
      </c>
      <c r="X80">
        <v>15383325.68</v>
      </c>
      <c r="Y80">
        <v>15383325.68</v>
      </c>
      <c r="Z80">
        <v>15383325.68</v>
      </c>
      <c r="AA80">
        <v>15383325.68</v>
      </c>
      <c r="AB80">
        <v>15383325.68</v>
      </c>
      <c r="AC80">
        <v>15383325.68</v>
      </c>
    </row>
    <row r="81" spans="1:28" x14ac:dyDescent="0.25">
      <c r="A81" s="28" t="s">
        <v>54</v>
      </c>
      <c r="B81" t="s">
        <v>76</v>
      </c>
      <c r="C81" t="s">
        <v>77</v>
      </c>
      <c r="D81" t="s">
        <v>82</v>
      </c>
      <c r="E81" t="s">
        <v>78</v>
      </c>
      <c r="F81" s="71">
        <v>37987</v>
      </c>
      <c r="G81">
        <v>41897390.170000002</v>
      </c>
      <c r="H81" s="3">
        <v>41897390.170000002</v>
      </c>
      <c r="I81" s="3">
        <v>41897390.170000002</v>
      </c>
      <c r="J81" s="3">
        <v>41897390.170000002</v>
      </c>
      <c r="K81">
        <v>41897390.170000002</v>
      </c>
      <c r="L81">
        <v>41897390.170000002</v>
      </c>
      <c r="M81">
        <v>41897390.170000002</v>
      </c>
      <c r="N81">
        <v>41897390.170000002</v>
      </c>
      <c r="O81">
        <v>41897390.170000002</v>
      </c>
      <c r="P81">
        <v>41897390.170000002</v>
      </c>
      <c r="Q81">
        <v>41897390.170000002</v>
      </c>
      <c r="R81">
        <v>41897390.170000002</v>
      </c>
      <c r="S81">
        <v>41897390.170000002</v>
      </c>
      <c r="T81">
        <v>41897390.170000002</v>
      </c>
      <c r="U81">
        <v>41897390.170000002</v>
      </c>
      <c r="V81">
        <v>41897390.170000002</v>
      </c>
      <c r="W81">
        <v>41897390.170000002</v>
      </c>
      <c r="X81">
        <v>41897390.170000002</v>
      </c>
      <c r="Y81">
        <v>41897390.170000002</v>
      </c>
      <c r="Z81">
        <v>41897390.170000002</v>
      </c>
      <c r="AA81">
        <v>41897390.170000002</v>
      </c>
      <c r="AB81">
        <v>41897390.170000002</v>
      </c>
    </row>
    <row r="82" spans="1:28" x14ac:dyDescent="0.25">
      <c r="A82" s="28" t="s">
        <v>54</v>
      </c>
      <c r="B82" t="s">
        <v>76</v>
      </c>
      <c r="C82" t="s">
        <v>77</v>
      </c>
      <c r="D82" t="s">
        <v>82</v>
      </c>
      <c r="E82" t="s">
        <v>78</v>
      </c>
      <c r="F82" s="71">
        <v>38353</v>
      </c>
      <c r="G82">
        <v>54756794.680000007</v>
      </c>
      <c r="H82" s="3">
        <v>54756794.680000007</v>
      </c>
      <c r="I82" s="3">
        <v>54756794.680000007</v>
      </c>
      <c r="J82" s="3">
        <v>54756794.680000007</v>
      </c>
      <c r="K82">
        <v>54756794.680000007</v>
      </c>
      <c r="L82">
        <v>54756794.680000007</v>
      </c>
      <c r="M82">
        <v>54756794.680000007</v>
      </c>
      <c r="N82">
        <v>54756794.680000007</v>
      </c>
      <c r="O82">
        <v>54756794.680000007</v>
      </c>
      <c r="P82">
        <v>54756794.680000007</v>
      </c>
      <c r="Q82">
        <v>54756794.680000007</v>
      </c>
      <c r="R82">
        <v>54756794.680000007</v>
      </c>
      <c r="S82">
        <v>54756794.680000007</v>
      </c>
      <c r="T82">
        <v>54756794.680000007</v>
      </c>
      <c r="U82">
        <v>54756794.680000007</v>
      </c>
      <c r="V82">
        <v>54756794.680000007</v>
      </c>
      <c r="W82">
        <v>54756794.680000007</v>
      </c>
      <c r="X82">
        <v>54756794.680000007</v>
      </c>
      <c r="Y82">
        <v>54756794.680000007</v>
      </c>
      <c r="Z82">
        <v>54756794.680000007</v>
      </c>
      <c r="AA82">
        <v>54756794.680000007</v>
      </c>
    </row>
    <row r="83" spans="1:28" x14ac:dyDescent="0.25">
      <c r="A83" s="28" t="s">
        <v>54</v>
      </c>
      <c r="B83" t="s">
        <v>76</v>
      </c>
      <c r="C83" t="s">
        <v>77</v>
      </c>
      <c r="D83" t="s">
        <v>82</v>
      </c>
      <c r="E83" t="s">
        <v>78</v>
      </c>
      <c r="F83" s="71">
        <v>38718</v>
      </c>
      <c r="G83">
        <v>68039602.150000006</v>
      </c>
      <c r="H83" s="3">
        <v>68039602.150000006</v>
      </c>
      <c r="I83" s="3">
        <v>68039602.150000006</v>
      </c>
      <c r="J83" s="3">
        <v>68039602.150000006</v>
      </c>
      <c r="K83">
        <v>68039602.150000006</v>
      </c>
      <c r="L83">
        <v>68039602.150000006</v>
      </c>
      <c r="M83">
        <v>68039602.150000006</v>
      </c>
      <c r="N83">
        <v>68039602.150000006</v>
      </c>
      <c r="O83">
        <v>68039602.150000006</v>
      </c>
      <c r="P83">
        <v>68039602.150000006</v>
      </c>
      <c r="Q83">
        <v>68039602.150000006</v>
      </c>
      <c r="R83">
        <v>68039602.150000006</v>
      </c>
      <c r="S83">
        <v>68039602.150000006</v>
      </c>
      <c r="T83">
        <v>68039602.150000006</v>
      </c>
      <c r="U83">
        <v>68039602.150000006</v>
      </c>
      <c r="V83">
        <v>68039602.150000006</v>
      </c>
      <c r="W83">
        <v>68039602.150000006</v>
      </c>
      <c r="X83">
        <v>68039602.150000006</v>
      </c>
      <c r="Y83">
        <v>68039602.150000006</v>
      </c>
      <c r="Z83">
        <v>68039602.150000006</v>
      </c>
    </row>
    <row r="84" spans="1:28" x14ac:dyDescent="0.25">
      <c r="A84" s="28" t="s">
        <v>54</v>
      </c>
      <c r="B84" t="s">
        <v>76</v>
      </c>
      <c r="C84" t="s">
        <v>77</v>
      </c>
      <c r="D84" t="s">
        <v>82</v>
      </c>
      <c r="E84" t="s">
        <v>78</v>
      </c>
      <c r="F84" s="71">
        <v>39083</v>
      </c>
      <c r="G84">
        <v>75832312.73999998</v>
      </c>
      <c r="H84" s="3">
        <v>75832312.73999998</v>
      </c>
      <c r="I84" s="3">
        <v>75832312.73999998</v>
      </c>
      <c r="J84" s="3">
        <v>75832312.73999998</v>
      </c>
      <c r="K84">
        <v>75832312.73999998</v>
      </c>
      <c r="L84">
        <v>75832312.73999998</v>
      </c>
      <c r="M84">
        <v>75832312.73999998</v>
      </c>
      <c r="N84">
        <v>75832312.73999998</v>
      </c>
      <c r="O84">
        <v>75832312.73999998</v>
      </c>
      <c r="P84">
        <v>75832312.73999998</v>
      </c>
      <c r="Q84">
        <v>75832312.73999998</v>
      </c>
      <c r="R84">
        <v>75832312.73999998</v>
      </c>
      <c r="S84">
        <v>75832312.73999998</v>
      </c>
      <c r="T84">
        <v>75832312.73999998</v>
      </c>
      <c r="U84">
        <v>75832312.73999998</v>
      </c>
      <c r="V84">
        <v>75832312.73999998</v>
      </c>
      <c r="W84">
        <v>75832312.73999998</v>
      </c>
      <c r="X84">
        <v>75832312.73999998</v>
      </c>
      <c r="Y84">
        <v>75832312.73999998</v>
      </c>
    </row>
    <row r="85" spans="1:28" x14ac:dyDescent="0.25">
      <c r="A85" s="28" t="s">
        <v>54</v>
      </c>
      <c r="B85" t="s">
        <v>76</v>
      </c>
      <c r="C85" t="s">
        <v>77</v>
      </c>
      <c r="D85" t="s">
        <v>82</v>
      </c>
      <c r="E85" t="s">
        <v>78</v>
      </c>
      <c r="F85" s="71">
        <v>39448</v>
      </c>
      <c r="G85">
        <v>55575778.890000083</v>
      </c>
      <c r="H85" s="3">
        <v>55575778.890000083</v>
      </c>
      <c r="I85" s="3">
        <v>55575778.890000083</v>
      </c>
      <c r="J85" s="3">
        <v>55575778.890000083</v>
      </c>
      <c r="K85">
        <v>55575778.890000083</v>
      </c>
      <c r="L85">
        <v>55575778.890000083</v>
      </c>
      <c r="M85">
        <v>55575778.890000083</v>
      </c>
      <c r="N85">
        <v>55575778.890000083</v>
      </c>
      <c r="O85">
        <v>55575778.890000083</v>
      </c>
      <c r="P85">
        <v>55575778.890000083</v>
      </c>
      <c r="Q85">
        <v>55575778.890000083</v>
      </c>
      <c r="R85">
        <v>55575778.890000083</v>
      </c>
      <c r="S85">
        <v>55575778.890000083</v>
      </c>
      <c r="T85">
        <v>55575778.890000083</v>
      </c>
      <c r="U85">
        <v>55575778.890000083</v>
      </c>
      <c r="V85">
        <v>55575778.890000083</v>
      </c>
      <c r="W85">
        <v>55575778.890000083</v>
      </c>
      <c r="X85">
        <v>55575778.890000083</v>
      </c>
    </row>
    <row r="86" spans="1:28" x14ac:dyDescent="0.25">
      <c r="A86" s="28" t="s">
        <v>54</v>
      </c>
      <c r="B86" t="s">
        <v>76</v>
      </c>
      <c r="C86" t="s">
        <v>77</v>
      </c>
      <c r="D86" t="s">
        <v>82</v>
      </c>
      <c r="E86" t="s">
        <v>78</v>
      </c>
      <c r="F86" s="71">
        <v>39814</v>
      </c>
      <c r="G86" s="12">
        <v>28100078.25580506</v>
      </c>
      <c r="H86" s="12">
        <v>28100078.25580506</v>
      </c>
      <c r="I86" s="12">
        <v>28100078.25580506</v>
      </c>
      <c r="J86" s="12">
        <v>28100078.25580506</v>
      </c>
      <c r="K86" s="12">
        <v>28100078.25580506</v>
      </c>
      <c r="L86" s="12">
        <v>28100078.25580506</v>
      </c>
      <c r="M86" s="12">
        <v>28100078.25580506</v>
      </c>
      <c r="N86" s="12">
        <v>28100078.25580506</v>
      </c>
      <c r="O86" s="12">
        <v>28100078.25580506</v>
      </c>
      <c r="P86" s="12">
        <v>28100078.25580506</v>
      </c>
      <c r="Q86" s="12">
        <v>28100078.25580506</v>
      </c>
      <c r="R86" s="12">
        <v>28100078.25580506</v>
      </c>
      <c r="S86" s="12">
        <v>28100078.25580506</v>
      </c>
      <c r="T86" s="12">
        <v>28100078.25580506</v>
      </c>
      <c r="U86" s="12">
        <v>28100078.25580506</v>
      </c>
      <c r="V86" s="12">
        <v>28100078.25580506</v>
      </c>
      <c r="W86" s="12">
        <v>28100078.25580506</v>
      </c>
      <c r="X86" s="12"/>
      <c r="Y86" s="12"/>
      <c r="Z86" s="12"/>
    </row>
    <row r="87" spans="1:28" x14ac:dyDescent="0.25">
      <c r="A87" s="28" t="s">
        <v>54</v>
      </c>
      <c r="B87" t="s">
        <v>76</v>
      </c>
      <c r="C87" t="s">
        <v>77</v>
      </c>
      <c r="D87" t="s">
        <v>82</v>
      </c>
      <c r="E87" t="s">
        <v>78</v>
      </c>
      <c r="F87" s="71">
        <v>40179</v>
      </c>
      <c r="G87">
        <v>17240442.709000152</v>
      </c>
      <c r="H87" s="3">
        <v>17240442.709000152</v>
      </c>
      <c r="I87" s="3">
        <v>17240442.709000152</v>
      </c>
      <c r="J87" s="3">
        <v>17240442.709000152</v>
      </c>
      <c r="K87">
        <v>17240442.709000152</v>
      </c>
      <c r="L87">
        <v>17240442.709000152</v>
      </c>
      <c r="M87">
        <v>17240442.709000152</v>
      </c>
      <c r="N87">
        <v>17240442.709000152</v>
      </c>
      <c r="O87">
        <v>17240442.709000152</v>
      </c>
      <c r="P87">
        <v>17240442.709000152</v>
      </c>
      <c r="Q87">
        <v>17240442.709000152</v>
      </c>
      <c r="R87">
        <v>17240442.709000152</v>
      </c>
      <c r="S87">
        <v>17240442.709000152</v>
      </c>
      <c r="T87">
        <v>17240442.709000152</v>
      </c>
      <c r="U87">
        <v>17240442.709000152</v>
      </c>
      <c r="V87">
        <v>17240442.709000152</v>
      </c>
    </row>
    <row r="88" spans="1:28" x14ac:dyDescent="0.25">
      <c r="A88" s="28" t="s">
        <v>54</v>
      </c>
      <c r="B88" t="s">
        <v>76</v>
      </c>
      <c r="C88" t="s">
        <v>77</v>
      </c>
      <c r="D88" t="s">
        <v>82</v>
      </c>
      <c r="E88" t="s">
        <v>78</v>
      </c>
      <c r="F88" s="71">
        <v>40544</v>
      </c>
      <c r="G88">
        <v>14303007.32000003</v>
      </c>
      <c r="H88" s="3">
        <v>14303007.32000003</v>
      </c>
      <c r="I88" s="3">
        <v>14303007.32000003</v>
      </c>
      <c r="J88" s="3">
        <v>14303007.32000003</v>
      </c>
      <c r="K88">
        <v>14303007.32000003</v>
      </c>
      <c r="L88">
        <v>14303007.32000003</v>
      </c>
      <c r="M88">
        <v>14303007.32000003</v>
      </c>
      <c r="N88">
        <v>14303007.32000003</v>
      </c>
      <c r="O88">
        <v>14303007.32000003</v>
      </c>
      <c r="P88">
        <v>14303007.32000003</v>
      </c>
      <c r="Q88">
        <v>14303007.32000003</v>
      </c>
      <c r="R88">
        <v>14303007.32000003</v>
      </c>
      <c r="S88">
        <v>14303007.32000003</v>
      </c>
      <c r="T88">
        <v>14303007.32000003</v>
      </c>
      <c r="U88">
        <v>14303007.32000003</v>
      </c>
    </row>
    <row r="89" spans="1:28" x14ac:dyDescent="0.25">
      <c r="A89" s="28" t="s">
        <v>54</v>
      </c>
      <c r="B89" t="s">
        <v>76</v>
      </c>
      <c r="C89" t="s">
        <v>77</v>
      </c>
      <c r="D89" t="s">
        <v>82</v>
      </c>
      <c r="E89" t="s">
        <v>78</v>
      </c>
      <c r="F89" s="71">
        <v>40909</v>
      </c>
      <c r="G89">
        <v>12576112.6</v>
      </c>
      <c r="H89" s="3">
        <v>12576112.6</v>
      </c>
      <c r="I89" s="3">
        <v>12576112.6</v>
      </c>
      <c r="J89" s="3">
        <v>12576112.6</v>
      </c>
      <c r="K89">
        <v>12576112.6</v>
      </c>
      <c r="L89">
        <v>12576112.6</v>
      </c>
      <c r="M89">
        <v>12576112.6</v>
      </c>
      <c r="N89">
        <v>12576112.6</v>
      </c>
      <c r="O89">
        <v>12576112.6</v>
      </c>
      <c r="P89">
        <v>12576112.6</v>
      </c>
      <c r="Q89">
        <v>12576112.6</v>
      </c>
      <c r="R89">
        <v>12576112.6</v>
      </c>
      <c r="S89">
        <v>12576112.6</v>
      </c>
      <c r="T89">
        <v>12576112.6</v>
      </c>
    </row>
    <row r="90" spans="1:28" x14ac:dyDescent="0.25">
      <c r="A90" s="28" t="s">
        <v>54</v>
      </c>
      <c r="B90" t="s">
        <v>76</v>
      </c>
      <c r="C90" t="s">
        <v>77</v>
      </c>
      <c r="D90" t="s">
        <v>82</v>
      </c>
      <c r="E90" t="s">
        <v>78</v>
      </c>
      <c r="F90" s="71">
        <v>41275</v>
      </c>
      <c r="G90">
        <v>16854761.639999989</v>
      </c>
      <c r="H90" s="3">
        <v>16854761.639999989</v>
      </c>
      <c r="I90" s="3">
        <v>16854761.639999989</v>
      </c>
      <c r="J90" s="3">
        <v>16854761.639999989</v>
      </c>
      <c r="K90">
        <v>16854761.639999989</v>
      </c>
      <c r="L90">
        <v>16854761.639999989</v>
      </c>
      <c r="M90">
        <v>16854761.639999989</v>
      </c>
      <c r="N90">
        <v>16854761.639999989</v>
      </c>
      <c r="O90">
        <v>16854761.639999989</v>
      </c>
      <c r="P90">
        <v>16854761.639999989</v>
      </c>
      <c r="Q90">
        <v>16854761.639999989</v>
      </c>
      <c r="R90">
        <v>16854761.639999989</v>
      </c>
      <c r="S90">
        <v>16854761.639999989</v>
      </c>
    </row>
    <row r="91" spans="1:28" x14ac:dyDescent="0.25">
      <c r="A91" s="28" t="s">
        <v>54</v>
      </c>
      <c r="B91" t="s">
        <v>76</v>
      </c>
      <c r="C91" t="s">
        <v>77</v>
      </c>
      <c r="D91" t="s">
        <v>82</v>
      </c>
      <c r="E91" t="s">
        <v>78</v>
      </c>
      <c r="F91" s="71">
        <v>41640</v>
      </c>
      <c r="G91">
        <v>27645768.160000049</v>
      </c>
      <c r="H91" s="3">
        <v>27645768.160000049</v>
      </c>
      <c r="I91" s="3">
        <v>27645768.160000049</v>
      </c>
      <c r="J91" s="3">
        <v>27645768.160000049</v>
      </c>
      <c r="K91">
        <v>27645768.160000049</v>
      </c>
      <c r="L91">
        <v>27645768.160000049</v>
      </c>
      <c r="M91">
        <v>27645768.160000049</v>
      </c>
      <c r="N91">
        <v>27645768.160000049</v>
      </c>
      <c r="O91">
        <v>27645768.160000049</v>
      </c>
      <c r="P91">
        <v>27645768.160000049</v>
      </c>
      <c r="Q91">
        <v>27645768.160000049</v>
      </c>
      <c r="R91">
        <v>27645768.160000049</v>
      </c>
    </row>
    <row r="92" spans="1:28" x14ac:dyDescent="0.25">
      <c r="A92" s="28" t="s">
        <v>54</v>
      </c>
      <c r="B92" t="s">
        <v>76</v>
      </c>
      <c r="C92" t="s">
        <v>77</v>
      </c>
      <c r="D92" t="s">
        <v>82</v>
      </c>
      <c r="E92" t="s">
        <v>78</v>
      </c>
      <c r="F92" s="71">
        <v>42005</v>
      </c>
      <c r="G92">
        <v>41320079.319999993</v>
      </c>
      <c r="H92" s="3">
        <v>41320079.319999993</v>
      </c>
      <c r="I92" s="3">
        <v>41320079.319999993</v>
      </c>
      <c r="J92" s="3">
        <v>41320079.319999993</v>
      </c>
      <c r="K92">
        <v>41320079.319999993</v>
      </c>
      <c r="L92">
        <v>41320079.319999993</v>
      </c>
      <c r="M92">
        <v>41320079.319999993</v>
      </c>
      <c r="N92">
        <v>41320079.319999993</v>
      </c>
      <c r="O92">
        <v>41320079.319999993</v>
      </c>
      <c r="P92">
        <v>41320079.319999993</v>
      </c>
      <c r="Q92">
        <v>41320079.319999993</v>
      </c>
    </row>
    <row r="93" spans="1:28" x14ac:dyDescent="0.25">
      <c r="A93" s="28" t="s">
        <v>54</v>
      </c>
      <c r="B93" t="s">
        <v>76</v>
      </c>
      <c r="C93" t="s">
        <v>77</v>
      </c>
      <c r="D93" t="s">
        <v>82</v>
      </c>
      <c r="E93" t="s">
        <v>78</v>
      </c>
      <c r="F93" s="71">
        <v>42370</v>
      </c>
      <c r="G93">
        <v>55218175.171374217</v>
      </c>
      <c r="H93" s="3">
        <v>55218175.171374217</v>
      </c>
      <c r="I93" s="3">
        <v>55218175.171374217</v>
      </c>
      <c r="J93" s="3">
        <v>55218175.171374217</v>
      </c>
      <c r="K93">
        <v>55218175.171374217</v>
      </c>
      <c r="L93">
        <v>55218175.171374217</v>
      </c>
      <c r="M93">
        <v>55218175.171374217</v>
      </c>
      <c r="N93">
        <v>55218175.171374217</v>
      </c>
      <c r="O93">
        <v>55218175.171374217</v>
      </c>
      <c r="P93">
        <v>55218175.171374217</v>
      </c>
    </row>
    <row r="94" spans="1:28" x14ac:dyDescent="0.25">
      <c r="A94" s="28" t="s">
        <v>54</v>
      </c>
      <c r="B94" t="s">
        <v>76</v>
      </c>
      <c r="C94" t="s">
        <v>77</v>
      </c>
      <c r="D94" t="s">
        <v>82</v>
      </c>
      <c r="E94" t="s">
        <v>78</v>
      </c>
      <c r="F94" s="71">
        <v>42736</v>
      </c>
      <c r="G94">
        <v>69724102.430674583</v>
      </c>
      <c r="H94" s="3">
        <v>69724102.430674583</v>
      </c>
      <c r="I94" s="3">
        <v>69724102.430674583</v>
      </c>
      <c r="J94" s="3">
        <v>69724102.430674583</v>
      </c>
      <c r="K94">
        <v>69724102.430674583</v>
      </c>
      <c r="L94">
        <v>69724102.430674583</v>
      </c>
      <c r="M94">
        <v>69724102.430674583</v>
      </c>
      <c r="N94">
        <v>69724102.430674583</v>
      </c>
      <c r="O94">
        <v>69724102.430674583</v>
      </c>
    </row>
    <row r="95" spans="1:28" x14ac:dyDescent="0.25">
      <c r="A95" s="28" t="s">
        <v>54</v>
      </c>
      <c r="B95" t="s">
        <v>76</v>
      </c>
      <c r="C95" t="s">
        <v>77</v>
      </c>
      <c r="D95" t="s">
        <v>82</v>
      </c>
      <c r="E95" t="s">
        <v>78</v>
      </c>
      <c r="F95" s="71">
        <v>43101</v>
      </c>
      <c r="G95">
        <v>94903395.28174381</v>
      </c>
      <c r="H95" s="3">
        <v>94903395.28174381</v>
      </c>
      <c r="I95" s="3">
        <v>94903395.28174381</v>
      </c>
      <c r="J95" s="3">
        <v>94903395.28174381</v>
      </c>
      <c r="K95">
        <v>94903395.28174381</v>
      </c>
      <c r="L95">
        <v>94903395.28174381</v>
      </c>
      <c r="M95">
        <v>94903395.28174381</v>
      </c>
      <c r="N95">
        <v>94903395.28174381</v>
      </c>
    </row>
    <row r="96" spans="1:28" x14ac:dyDescent="0.25">
      <c r="A96" s="28" t="s">
        <v>54</v>
      </c>
      <c r="B96" t="s">
        <v>76</v>
      </c>
      <c r="C96" t="s">
        <v>77</v>
      </c>
      <c r="D96" t="s">
        <v>82</v>
      </c>
      <c r="E96" t="s">
        <v>78</v>
      </c>
      <c r="F96" s="71">
        <v>43466</v>
      </c>
      <c r="G96">
        <v>134394820.93247411</v>
      </c>
      <c r="H96" s="3">
        <v>134394820.93247411</v>
      </c>
      <c r="I96" s="3">
        <v>134394820.93247411</v>
      </c>
      <c r="J96" s="3">
        <v>134394820.93247411</v>
      </c>
      <c r="K96">
        <v>134394820.93247411</v>
      </c>
      <c r="L96">
        <v>134394820.93247411</v>
      </c>
      <c r="M96">
        <v>134394820.93247411</v>
      </c>
    </row>
    <row r="97" spans="1:31" x14ac:dyDescent="0.25">
      <c r="A97" s="28" t="s">
        <v>54</v>
      </c>
      <c r="B97" t="s">
        <v>76</v>
      </c>
      <c r="C97" t="s">
        <v>77</v>
      </c>
      <c r="D97" t="s">
        <v>82</v>
      </c>
      <c r="E97" t="s">
        <v>78</v>
      </c>
      <c r="F97" s="71">
        <v>43831</v>
      </c>
      <c r="G97">
        <v>157880183.3026683</v>
      </c>
      <c r="H97" s="3">
        <v>157880183.3026683</v>
      </c>
      <c r="I97" s="3">
        <v>157880183.3026683</v>
      </c>
      <c r="J97" s="3">
        <v>157880183.3026683</v>
      </c>
      <c r="K97">
        <v>157880183.3026683</v>
      </c>
      <c r="L97">
        <v>157880183.3026683</v>
      </c>
    </row>
    <row r="98" spans="1:31" x14ac:dyDescent="0.25">
      <c r="A98" s="28" t="s">
        <v>54</v>
      </c>
      <c r="B98" t="s">
        <v>76</v>
      </c>
      <c r="C98" t="s">
        <v>77</v>
      </c>
      <c r="D98" t="s">
        <v>82</v>
      </c>
      <c r="E98" t="s">
        <v>78</v>
      </c>
      <c r="F98" s="71">
        <v>44197</v>
      </c>
      <c r="G98">
        <v>192642661.7512632</v>
      </c>
      <c r="H98" s="3">
        <v>192642661.7512632</v>
      </c>
      <c r="I98" s="3">
        <v>192642661.7512632</v>
      </c>
      <c r="J98" s="3">
        <v>192642661.7512632</v>
      </c>
      <c r="K98">
        <v>192642661.7512632</v>
      </c>
    </row>
    <row r="99" spans="1:31" x14ac:dyDescent="0.25">
      <c r="A99" s="28" t="s">
        <v>54</v>
      </c>
      <c r="B99" t="s">
        <v>76</v>
      </c>
      <c r="C99" t="s">
        <v>77</v>
      </c>
      <c r="D99" t="s">
        <v>82</v>
      </c>
      <c r="E99" t="s">
        <v>78</v>
      </c>
      <c r="F99" s="71">
        <v>44562</v>
      </c>
      <c r="G99">
        <v>253725038.22176549</v>
      </c>
      <c r="H99" s="3">
        <v>253725038.22176549</v>
      </c>
      <c r="I99" s="3">
        <v>253725038.22176549</v>
      </c>
      <c r="J99" s="3">
        <v>253725038.22176549</v>
      </c>
    </row>
    <row r="100" spans="1:31" x14ac:dyDescent="0.25">
      <c r="A100" s="28" t="s">
        <v>54</v>
      </c>
      <c r="B100" t="s">
        <v>76</v>
      </c>
      <c r="C100" t="s">
        <v>77</v>
      </c>
      <c r="D100" t="s">
        <v>82</v>
      </c>
      <c r="E100" t="s">
        <v>78</v>
      </c>
      <c r="F100" s="71">
        <v>44927</v>
      </c>
      <c r="G100">
        <v>295198284.29488999</v>
      </c>
      <c r="H100" s="3">
        <v>295198284.29488999</v>
      </c>
      <c r="I100" s="3">
        <v>295198284.29488999</v>
      </c>
      <c r="J100" s="3"/>
    </row>
    <row r="101" spans="1:31" x14ac:dyDescent="0.25">
      <c r="A101" s="28" t="s">
        <v>54</v>
      </c>
      <c r="B101" t="s">
        <v>76</v>
      </c>
      <c r="C101" t="s">
        <v>77</v>
      </c>
      <c r="D101" t="s">
        <v>82</v>
      </c>
      <c r="E101" t="s">
        <v>78</v>
      </c>
      <c r="F101" s="71">
        <v>45292</v>
      </c>
      <c r="G101">
        <v>314057606.90083557</v>
      </c>
      <c r="H101" s="3">
        <v>314057606.90083557</v>
      </c>
      <c r="I101" s="3"/>
      <c r="J101" s="3"/>
    </row>
    <row r="102" spans="1:31" x14ac:dyDescent="0.25">
      <c r="A102" s="28" t="s">
        <v>54</v>
      </c>
      <c r="B102" t="s">
        <v>76</v>
      </c>
      <c r="C102" t="s">
        <v>77</v>
      </c>
      <c r="D102" t="s">
        <v>82</v>
      </c>
      <c r="E102" t="s">
        <v>78</v>
      </c>
      <c r="F102" s="71">
        <v>45658</v>
      </c>
      <c r="G102">
        <v>121923974.6505765</v>
      </c>
      <c r="H102" s="3"/>
      <c r="I102" s="3"/>
      <c r="J102" s="3"/>
    </row>
    <row r="103" spans="1:31" x14ac:dyDescent="0.25">
      <c r="A103" s="28" t="s">
        <v>54</v>
      </c>
      <c r="B103" t="s">
        <v>79</v>
      </c>
      <c r="C103" t="s">
        <v>77</v>
      </c>
      <c r="D103" t="s">
        <v>82</v>
      </c>
      <c r="E103" t="s">
        <v>78</v>
      </c>
      <c r="F103" s="71">
        <v>36892</v>
      </c>
      <c r="G103">
        <v>82193.61</v>
      </c>
      <c r="H103" s="3">
        <v>571333.99</v>
      </c>
      <c r="I103" s="3">
        <v>2655006.15</v>
      </c>
      <c r="J103" s="3">
        <v>7029321.6400000006</v>
      </c>
      <c r="K103">
        <v>7597224.7300000004</v>
      </c>
      <c r="L103">
        <v>8451944.2800000012</v>
      </c>
      <c r="M103">
        <v>8536662.2699999996</v>
      </c>
      <c r="N103">
        <v>7691990.0600000015</v>
      </c>
      <c r="O103">
        <v>7729481.7300000004</v>
      </c>
      <c r="P103">
        <v>8122428.7800000012</v>
      </c>
      <c r="Q103">
        <v>7999574.040000001</v>
      </c>
      <c r="R103">
        <v>7886445.8800000008</v>
      </c>
      <c r="S103">
        <v>7869713.3000000007</v>
      </c>
      <c r="T103">
        <v>7841213.3000000007</v>
      </c>
      <c r="U103">
        <v>7841213.3000000007</v>
      </c>
      <c r="V103">
        <v>7841449.5000000009</v>
      </c>
      <c r="W103">
        <v>7841449.5000000009</v>
      </c>
      <c r="X103">
        <v>7841449.5000000009</v>
      </c>
      <c r="Y103">
        <v>7841449.5000000009</v>
      </c>
      <c r="Z103">
        <v>7841449.5000000009</v>
      </c>
      <c r="AA103">
        <v>7851448.5000000009</v>
      </c>
      <c r="AB103">
        <v>7881289.4600000009</v>
      </c>
      <c r="AC103">
        <v>7882849.4600000009</v>
      </c>
      <c r="AD103">
        <v>7870210.0300000003</v>
      </c>
      <c r="AE103">
        <v>8040662.9199999999</v>
      </c>
    </row>
    <row r="104" spans="1:31" x14ac:dyDescent="0.25">
      <c r="A104" s="28" t="s">
        <v>54</v>
      </c>
      <c r="B104" t="s">
        <v>79</v>
      </c>
      <c r="C104" t="s">
        <v>77</v>
      </c>
      <c r="D104" t="s">
        <v>82</v>
      </c>
      <c r="E104" t="s">
        <v>78</v>
      </c>
      <c r="F104" s="71">
        <v>37257</v>
      </c>
      <c r="G104">
        <v>103850</v>
      </c>
      <c r="H104" s="3">
        <v>679809.04999999993</v>
      </c>
      <c r="I104" s="3">
        <v>2567135.5699999998</v>
      </c>
      <c r="J104" s="3">
        <v>3860551.33</v>
      </c>
      <c r="K104">
        <v>4174052.28</v>
      </c>
      <c r="L104">
        <v>4418304.2699999996</v>
      </c>
      <c r="M104">
        <v>5188851.6100000003</v>
      </c>
      <c r="N104">
        <v>5524883.0800000001</v>
      </c>
      <c r="O104">
        <v>5643827.0499999998</v>
      </c>
      <c r="P104">
        <v>5684617.5899999999</v>
      </c>
      <c r="Q104">
        <v>6244478.9299999997</v>
      </c>
      <c r="R104">
        <v>6918561.8599999994</v>
      </c>
      <c r="S104">
        <v>6919618.3599999994</v>
      </c>
      <c r="T104">
        <v>6920217.3599999994</v>
      </c>
      <c r="U104">
        <v>6920217.3599999994</v>
      </c>
      <c r="V104">
        <v>6970317.3599999994</v>
      </c>
      <c r="W104">
        <v>6970317.3599999994</v>
      </c>
      <c r="X104">
        <v>7100273.6399999997</v>
      </c>
      <c r="Y104">
        <v>7100273.6399999997</v>
      </c>
      <c r="Z104">
        <v>7100273.6399999997</v>
      </c>
      <c r="AA104">
        <v>7059121.6899999985</v>
      </c>
      <c r="AB104">
        <v>7059121.6899999985</v>
      </c>
      <c r="AC104">
        <v>7059121.6899999985</v>
      </c>
      <c r="AD104">
        <v>7224675.6600000001</v>
      </c>
    </row>
    <row r="105" spans="1:31" x14ac:dyDescent="0.25">
      <c r="A105" s="28" t="s">
        <v>54</v>
      </c>
      <c r="B105" t="s">
        <v>79</v>
      </c>
      <c r="C105" t="s">
        <v>77</v>
      </c>
      <c r="D105" t="s">
        <v>82</v>
      </c>
      <c r="E105" t="s">
        <v>78</v>
      </c>
      <c r="F105" s="71">
        <v>37622</v>
      </c>
      <c r="G105">
        <v>104520.74</v>
      </c>
      <c r="H105" s="3">
        <v>2613768.48</v>
      </c>
      <c r="I105" s="3">
        <v>4220174.08</v>
      </c>
      <c r="J105" s="3">
        <v>7246642.7499999991</v>
      </c>
      <c r="K105">
        <v>6925224.5599999996</v>
      </c>
      <c r="L105">
        <v>8442849.2400000002</v>
      </c>
      <c r="M105">
        <v>8606808.3300000001</v>
      </c>
      <c r="N105">
        <v>8468757.0099999998</v>
      </c>
      <c r="O105">
        <v>8454817.1300000008</v>
      </c>
      <c r="P105">
        <v>8415297.1300000008</v>
      </c>
      <c r="Q105">
        <v>8406150.6300000008</v>
      </c>
      <c r="R105">
        <v>8407129.6300000008</v>
      </c>
      <c r="S105">
        <v>8407128.6300000008</v>
      </c>
      <c r="T105">
        <v>8407128.6300000008</v>
      </c>
      <c r="U105">
        <v>8407128.6300000008</v>
      </c>
      <c r="V105">
        <v>8407128.6300000008</v>
      </c>
      <c r="W105">
        <v>8407128.6300000008</v>
      </c>
      <c r="X105">
        <v>8407128.6300000008</v>
      </c>
      <c r="Y105">
        <v>8407128.6300000008</v>
      </c>
      <c r="Z105">
        <v>8333806.8800000008</v>
      </c>
      <c r="AA105">
        <v>8333806.8800000008</v>
      </c>
      <c r="AB105">
        <v>8333806.8800000008</v>
      </c>
      <c r="AC105">
        <v>8333806.8800000008</v>
      </c>
    </row>
    <row r="106" spans="1:31" x14ac:dyDescent="0.25">
      <c r="A106" s="28" t="s">
        <v>54</v>
      </c>
      <c r="B106" t="s">
        <v>79</v>
      </c>
      <c r="C106" t="s">
        <v>77</v>
      </c>
      <c r="D106" t="s">
        <v>82</v>
      </c>
      <c r="E106" t="s">
        <v>78</v>
      </c>
      <c r="F106" s="71">
        <v>37987</v>
      </c>
      <c r="G106">
        <v>511178.17</v>
      </c>
      <c r="H106" s="3">
        <v>4545962.84</v>
      </c>
      <c r="I106" s="3">
        <v>8807684.3200000003</v>
      </c>
      <c r="J106" s="3">
        <v>17145348.91</v>
      </c>
      <c r="K106">
        <v>25035163.539999999</v>
      </c>
      <c r="L106">
        <v>28602210.84</v>
      </c>
      <c r="M106">
        <v>31373820.609999999</v>
      </c>
      <c r="N106">
        <v>31352225.609999999</v>
      </c>
      <c r="O106">
        <v>31185129.48</v>
      </c>
      <c r="P106">
        <v>31146466.510000002</v>
      </c>
      <c r="Q106">
        <v>30950568.420000002</v>
      </c>
      <c r="R106">
        <v>30766545.629999999</v>
      </c>
      <c r="S106">
        <v>30765240.989999998</v>
      </c>
      <c r="T106">
        <v>30765240.989999998</v>
      </c>
      <c r="U106">
        <v>30765240.989999998</v>
      </c>
      <c r="V106">
        <v>30765240.989999998</v>
      </c>
      <c r="W106">
        <v>30765240.989999998</v>
      </c>
      <c r="X106">
        <v>30765241.989999998</v>
      </c>
      <c r="Y106">
        <v>30768969.539999999</v>
      </c>
      <c r="Z106">
        <v>30772971.039999999</v>
      </c>
      <c r="AA106">
        <v>30774143.539999999</v>
      </c>
      <c r="AB106">
        <v>30775385.539999999</v>
      </c>
    </row>
    <row r="107" spans="1:31" x14ac:dyDescent="0.25">
      <c r="A107" s="28" t="s">
        <v>54</v>
      </c>
      <c r="B107" t="s">
        <v>79</v>
      </c>
      <c r="C107" t="s">
        <v>77</v>
      </c>
      <c r="D107" t="s">
        <v>82</v>
      </c>
      <c r="E107" t="s">
        <v>78</v>
      </c>
      <c r="F107" s="71">
        <v>38353</v>
      </c>
      <c r="G107">
        <v>676217.64999999991</v>
      </c>
      <c r="H107" s="3">
        <v>9193721.4100000001</v>
      </c>
      <c r="I107" s="3">
        <v>19325309.719999999</v>
      </c>
      <c r="J107" s="3">
        <v>27956807.219999999</v>
      </c>
      <c r="K107">
        <v>43766646.079999998</v>
      </c>
      <c r="L107">
        <v>48815091.709999993</v>
      </c>
      <c r="M107">
        <v>48117767.449999988</v>
      </c>
      <c r="N107">
        <v>47875207.139999993</v>
      </c>
      <c r="O107">
        <v>48718048.659999996</v>
      </c>
      <c r="P107">
        <v>48287856.339999989</v>
      </c>
      <c r="Q107">
        <v>48620820.849999987</v>
      </c>
      <c r="R107">
        <v>48653141.469999991</v>
      </c>
      <c r="S107">
        <v>48394777.339999989</v>
      </c>
      <c r="T107">
        <v>48674246.29999999</v>
      </c>
      <c r="U107">
        <v>48757973.169999987</v>
      </c>
      <c r="V107">
        <v>48703281.169999987</v>
      </c>
      <c r="W107">
        <v>48713190.169999987</v>
      </c>
      <c r="X107">
        <v>48690672.270000003</v>
      </c>
      <c r="Y107">
        <v>48690672.270000011</v>
      </c>
      <c r="Z107">
        <v>48690672.270000011</v>
      </c>
      <c r="AA107">
        <v>48690672.270000011</v>
      </c>
    </row>
    <row r="108" spans="1:31" x14ac:dyDescent="0.25">
      <c r="A108" s="28" t="s">
        <v>54</v>
      </c>
      <c r="B108" t="s">
        <v>79</v>
      </c>
      <c r="C108" t="s">
        <v>77</v>
      </c>
      <c r="D108" t="s">
        <v>82</v>
      </c>
      <c r="E108" t="s">
        <v>78</v>
      </c>
      <c r="F108" s="71">
        <v>38718</v>
      </c>
      <c r="G108">
        <v>494110.65</v>
      </c>
      <c r="H108" s="3">
        <v>3397680.31</v>
      </c>
      <c r="I108" s="3">
        <v>6264094.8499999996</v>
      </c>
      <c r="J108" s="3">
        <v>17378366.66</v>
      </c>
      <c r="K108">
        <v>20780856.02</v>
      </c>
      <c r="L108">
        <v>22037258.25</v>
      </c>
      <c r="M108">
        <v>20948728.600000001</v>
      </c>
      <c r="N108">
        <v>21957849.800000001</v>
      </c>
      <c r="O108">
        <v>22928617.239999998</v>
      </c>
      <c r="P108">
        <v>22843690.489999998</v>
      </c>
      <c r="Q108">
        <v>23441530.390000001</v>
      </c>
      <c r="R108">
        <v>23139013.199999999</v>
      </c>
      <c r="S108">
        <v>23175519.079999998</v>
      </c>
      <c r="T108">
        <v>23702149.460000001</v>
      </c>
      <c r="U108">
        <v>24658892.859999999</v>
      </c>
      <c r="V108">
        <v>24640926.039999999</v>
      </c>
      <c r="W108">
        <v>24689584.82</v>
      </c>
      <c r="X108">
        <v>24658246.82</v>
      </c>
      <c r="Y108">
        <v>24657617.82</v>
      </c>
      <c r="Z108">
        <v>24657616.82</v>
      </c>
    </row>
    <row r="109" spans="1:31" x14ac:dyDescent="0.25">
      <c r="A109" s="28" t="s">
        <v>54</v>
      </c>
      <c r="B109" t="s">
        <v>79</v>
      </c>
      <c r="C109" t="s">
        <v>77</v>
      </c>
      <c r="D109" t="s">
        <v>82</v>
      </c>
      <c r="E109" t="s">
        <v>78</v>
      </c>
      <c r="F109" s="71">
        <v>39083</v>
      </c>
      <c r="G109">
        <v>378636.31000000011</v>
      </c>
      <c r="H109" s="3">
        <v>2722394.48</v>
      </c>
      <c r="I109" s="3">
        <v>11157084.52</v>
      </c>
      <c r="J109" s="3">
        <v>16715478.380000001</v>
      </c>
      <c r="K109">
        <v>20934768.52</v>
      </c>
      <c r="L109">
        <v>24240395.010000002</v>
      </c>
      <c r="M109">
        <v>25789053.16</v>
      </c>
      <c r="N109">
        <v>27010374.93</v>
      </c>
      <c r="O109">
        <v>27263633.390000001</v>
      </c>
      <c r="P109">
        <v>27517142.170000002</v>
      </c>
      <c r="Q109">
        <v>27114467.149999991</v>
      </c>
      <c r="R109">
        <v>27367600.569999989</v>
      </c>
      <c r="S109">
        <v>27344760.18</v>
      </c>
      <c r="T109">
        <v>27356860.179999989</v>
      </c>
      <c r="U109">
        <v>27362541.43</v>
      </c>
      <c r="V109">
        <v>27307131.280000001</v>
      </c>
      <c r="W109">
        <v>27321644.74000001</v>
      </c>
      <c r="X109">
        <v>27928945.100000009</v>
      </c>
      <c r="Y109">
        <v>28257631.29000001</v>
      </c>
    </row>
    <row r="110" spans="1:31" x14ac:dyDescent="0.25">
      <c r="A110" s="28" t="s">
        <v>54</v>
      </c>
      <c r="B110" t="s">
        <v>79</v>
      </c>
      <c r="C110" t="s">
        <v>77</v>
      </c>
      <c r="D110" t="s">
        <v>82</v>
      </c>
      <c r="E110" t="s">
        <v>78</v>
      </c>
      <c r="F110" s="71">
        <v>39448</v>
      </c>
      <c r="G110">
        <v>794147.46</v>
      </c>
      <c r="H110" s="3">
        <v>4831267.07</v>
      </c>
      <c r="I110" s="3">
        <v>9616364.8999999985</v>
      </c>
      <c r="J110" s="3">
        <v>15922715.09</v>
      </c>
      <c r="K110">
        <v>18490226.989999998</v>
      </c>
      <c r="L110">
        <v>19860901.719999999</v>
      </c>
      <c r="M110">
        <v>20952737.800000001</v>
      </c>
      <c r="N110">
        <v>21661073.449999999</v>
      </c>
      <c r="O110">
        <v>21044330.149999999</v>
      </c>
      <c r="P110">
        <v>21049616.920000002</v>
      </c>
      <c r="Q110">
        <v>21063302.32</v>
      </c>
      <c r="R110">
        <v>21300581.629999999</v>
      </c>
      <c r="S110">
        <v>21403967.850000001</v>
      </c>
      <c r="T110">
        <v>21408238.91</v>
      </c>
      <c r="U110">
        <v>21306914.899999999</v>
      </c>
      <c r="V110">
        <v>21327860.93</v>
      </c>
      <c r="W110">
        <v>21327860.93</v>
      </c>
      <c r="X110">
        <v>21328578.93</v>
      </c>
    </row>
    <row r="111" spans="1:31" x14ac:dyDescent="0.25">
      <c r="A111" s="28" t="s">
        <v>54</v>
      </c>
      <c r="B111" t="s">
        <v>79</v>
      </c>
      <c r="C111" t="s">
        <v>77</v>
      </c>
      <c r="D111" t="s">
        <v>82</v>
      </c>
      <c r="E111" t="s">
        <v>78</v>
      </c>
      <c r="F111" s="71">
        <v>39814</v>
      </c>
      <c r="G111">
        <v>528184.37</v>
      </c>
      <c r="H111" s="3">
        <v>3238623.36</v>
      </c>
      <c r="I111" s="3">
        <v>5715477.54</v>
      </c>
      <c r="J111" s="3">
        <v>7743276.5800000001</v>
      </c>
      <c r="K111">
        <v>10307608.92</v>
      </c>
      <c r="L111">
        <v>10023343.76</v>
      </c>
      <c r="M111">
        <v>9678584.75</v>
      </c>
      <c r="N111">
        <v>11072866.67</v>
      </c>
      <c r="O111">
        <v>12270013.74</v>
      </c>
      <c r="P111">
        <v>13920435.33</v>
      </c>
      <c r="Q111">
        <v>13847251.560000001</v>
      </c>
      <c r="R111">
        <v>13643836.51</v>
      </c>
      <c r="S111">
        <v>13695893.01</v>
      </c>
      <c r="T111">
        <v>13923309.439999999</v>
      </c>
      <c r="U111">
        <v>13893124.439999999</v>
      </c>
      <c r="V111">
        <v>13937372.48</v>
      </c>
      <c r="W111">
        <v>14004460.029999999</v>
      </c>
    </row>
    <row r="112" spans="1:31" x14ac:dyDescent="0.25">
      <c r="A112" s="28" t="s">
        <v>54</v>
      </c>
      <c r="B112" t="s">
        <v>79</v>
      </c>
      <c r="C112" t="s">
        <v>77</v>
      </c>
      <c r="D112" t="s">
        <v>82</v>
      </c>
      <c r="E112" t="s">
        <v>78</v>
      </c>
      <c r="F112" s="71">
        <v>40179</v>
      </c>
      <c r="G112">
        <v>453681.5</v>
      </c>
      <c r="H112" s="3">
        <v>2329337.7000000002</v>
      </c>
      <c r="I112" s="3">
        <v>5103599.12</v>
      </c>
      <c r="J112" s="3">
        <v>7784742.96</v>
      </c>
      <c r="K112">
        <v>9097079.959999999</v>
      </c>
      <c r="L112">
        <v>9075417.209999999</v>
      </c>
      <c r="M112">
        <v>9200867.5</v>
      </c>
      <c r="N112">
        <v>9327526.709999999</v>
      </c>
      <c r="O112">
        <v>9766571.5199999996</v>
      </c>
      <c r="P112">
        <v>9396541.3099999987</v>
      </c>
      <c r="Q112">
        <v>9427891.0999999996</v>
      </c>
      <c r="R112">
        <v>9465218.3000000007</v>
      </c>
      <c r="S112">
        <v>9451767.8900000006</v>
      </c>
      <c r="T112">
        <v>14044975.210000001</v>
      </c>
      <c r="U112">
        <v>14034547.710000001</v>
      </c>
      <c r="V112">
        <v>14034545.710000001</v>
      </c>
    </row>
    <row r="113" spans="1:31" x14ac:dyDescent="0.25">
      <c r="A113" s="28" t="s">
        <v>54</v>
      </c>
      <c r="B113" t="s">
        <v>79</v>
      </c>
      <c r="C113" t="s">
        <v>77</v>
      </c>
      <c r="D113" t="s">
        <v>82</v>
      </c>
      <c r="E113" t="s">
        <v>78</v>
      </c>
      <c r="F113" s="71">
        <v>40544</v>
      </c>
      <c r="G113">
        <v>244536.93</v>
      </c>
      <c r="H113" s="3">
        <v>1849495.5</v>
      </c>
      <c r="I113" s="3">
        <v>5060826.55</v>
      </c>
      <c r="J113" s="3">
        <v>9077816.9399999995</v>
      </c>
      <c r="K113">
        <v>10634867.08</v>
      </c>
      <c r="L113">
        <v>11683529.51</v>
      </c>
      <c r="M113">
        <v>11922572.060000001</v>
      </c>
      <c r="N113">
        <v>12042058.359999999</v>
      </c>
      <c r="O113">
        <v>12097490.640000001</v>
      </c>
      <c r="P113">
        <v>12114928.91</v>
      </c>
      <c r="Q113">
        <v>12289033.77</v>
      </c>
      <c r="R113">
        <v>14196766.43</v>
      </c>
      <c r="S113">
        <v>14216578.800000001</v>
      </c>
      <c r="T113">
        <v>13824825.800000001</v>
      </c>
      <c r="U113">
        <v>13683431.67</v>
      </c>
    </row>
    <row r="114" spans="1:31" x14ac:dyDescent="0.25">
      <c r="A114" s="28" t="s">
        <v>54</v>
      </c>
      <c r="B114" t="s">
        <v>79</v>
      </c>
      <c r="C114" t="s">
        <v>77</v>
      </c>
      <c r="D114" t="s">
        <v>82</v>
      </c>
      <c r="E114" t="s">
        <v>78</v>
      </c>
      <c r="F114" s="71">
        <v>40909</v>
      </c>
      <c r="G114">
        <v>183696.37</v>
      </c>
      <c r="H114" s="3">
        <v>1521375.15</v>
      </c>
      <c r="I114" s="3">
        <v>4960750.2699999996</v>
      </c>
      <c r="J114" s="3">
        <v>6645716.1400000006</v>
      </c>
      <c r="K114">
        <v>7419751.4800000004</v>
      </c>
      <c r="L114">
        <v>7591870.3000000007</v>
      </c>
      <c r="M114">
        <v>8618179.8499999996</v>
      </c>
      <c r="N114">
        <v>9005558.2100000009</v>
      </c>
      <c r="O114">
        <v>9649741.9900000002</v>
      </c>
      <c r="P114">
        <v>9701642.4299999997</v>
      </c>
      <c r="Q114">
        <v>9743642.4299999997</v>
      </c>
      <c r="R114">
        <v>9782236.1199999992</v>
      </c>
      <c r="S114">
        <v>9916024.6099999994</v>
      </c>
      <c r="T114">
        <v>10168024.58</v>
      </c>
    </row>
    <row r="115" spans="1:31" x14ac:dyDescent="0.25">
      <c r="A115" s="28" t="s">
        <v>54</v>
      </c>
      <c r="B115" t="s">
        <v>79</v>
      </c>
      <c r="C115" t="s">
        <v>77</v>
      </c>
      <c r="D115" t="s">
        <v>82</v>
      </c>
      <c r="E115" t="s">
        <v>78</v>
      </c>
      <c r="F115" s="71">
        <v>41275</v>
      </c>
      <c r="G115">
        <v>210324.08</v>
      </c>
      <c r="H115" s="3">
        <v>2929817.22</v>
      </c>
      <c r="I115" s="3">
        <v>6524119.7400000002</v>
      </c>
      <c r="J115" s="3">
        <v>9584088.6799999978</v>
      </c>
      <c r="K115">
        <v>12694524.58</v>
      </c>
      <c r="L115">
        <v>13564736.380000001</v>
      </c>
      <c r="M115">
        <v>14303859.16</v>
      </c>
      <c r="N115">
        <v>14425000.720000001</v>
      </c>
      <c r="O115">
        <v>14437591.1</v>
      </c>
      <c r="P115">
        <v>14173969.09</v>
      </c>
      <c r="Q115">
        <v>14185372.279999999</v>
      </c>
      <c r="R115">
        <v>14171283.08</v>
      </c>
      <c r="S115">
        <v>14182133.960000001</v>
      </c>
    </row>
    <row r="116" spans="1:31" x14ac:dyDescent="0.25">
      <c r="A116" s="28" t="s">
        <v>54</v>
      </c>
      <c r="B116" t="s">
        <v>79</v>
      </c>
      <c r="C116" t="s">
        <v>77</v>
      </c>
      <c r="D116" t="s">
        <v>82</v>
      </c>
      <c r="E116" t="s">
        <v>78</v>
      </c>
      <c r="F116" s="71">
        <v>41640</v>
      </c>
      <c r="G116">
        <v>488080.94</v>
      </c>
      <c r="H116" s="3">
        <v>3988717.1400000011</v>
      </c>
      <c r="I116" s="3">
        <v>7732861.8699999992</v>
      </c>
      <c r="J116" s="3">
        <v>10979420.880000001</v>
      </c>
      <c r="K116">
        <v>12286663.26</v>
      </c>
      <c r="L116">
        <v>14379263.74</v>
      </c>
      <c r="M116">
        <v>15970371.619999999</v>
      </c>
      <c r="N116">
        <v>16915819.800000001</v>
      </c>
      <c r="O116">
        <v>17861355.59</v>
      </c>
      <c r="P116">
        <v>17691165.66</v>
      </c>
      <c r="Q116">
        <v>17632704.68</v>
      </c>
      <c r="R116">
        <v>17871325.640000001</v>
      </c>
    </row>
    <row r="117" spans="1:31" x14ac:dyDescent="0.25">
      <c r="A117" s="28" t="s">
        <v>54</v>
      </c>
      <c r="B117" t="s">
        <v>79</v>
      </c>
      <c r="C117" t="s">
        <v>77</v>
      </c>
      <c r="D117" t="s">
        <v>82</v>
      </c>
      <c r="E117" t="s">
        <v>78</v>
      </c>
      <c r="F117" s="71">
        <v>42005</v>
      </c>
      <c r="G117">
        <v>426047.8</v>
      </c>
      <c r="H117" s="3">
        <v>4574783.75</v>
      </c>
      <c r="I117" s="3">
        <v>11134380.75</v>
      </c>
      <c r="J117" s="3">
        <v>18295840.629999999</v>
      </c>
      <c r="K117">
        <v>25349568.48</v>
      </c>
      <c r="L117">
        <v>28437273.68</v>
      </c>
      <c r="M117">
        <v>29143867.25</v>
      </c>
      <c r="N117">
        <v>30721007.059999999</v>
      </c>
      <c r="O117">
        <v>31505457.440000001</v>
      </c>
      <c r="P117">
        <v>31382184.620000001</v>
      </c>
      <c r="Q117">
        <v>32207671.080000009</v>
      </c>
    </row>
    <row r="118" spans="1:31" x14ac:dyDescent="0.25">
      <c r="A118" s="28" t="s">
        <v>54</v>
      </c>
      <c r="B118" t="s">
        <v>79</v>
      </c>
      <c r="C118" t="s">
        <v>77</v>
      </c>
      <c r="D118" t="s">
        <v>82</v>
      </c>
      <c r="E118" t="s">
        <v>78</v>
      </c>
      <c r="F118" s="71">
        <v>42370</v>
      </c>
      <c r="G118">
        <v>946702.03</v>
      </c>
      <c r="H118" s="3">
        <v>5240124.34</v>
      </c>
      <c r="I118" s="3">
        <v>9595458.5</v>
      </c>
      <c r="J118" s="3">
        <v>19465276.550000001</v>
      </c>
      <c r="K118">
        <v>23348772.870000001</v>
      </c>
      <c r="L118">
        <v>26778603.949999999</v>
      </c>
      <c r="M118">
        <v>30114454.97000001</v>
      </c>
      <c r="N118">
        <v>31396667.84</v>
      </c>
      <c r="O118">
        <v>32661135.989999998</v>
      </c>
      <c r="P118">
        <v>34951859.770000003</v>
      </c>
    </row>
    <row r="119" spans="1:31" x14ac:dyDescent="0.25">
      <c r="A119" s="28" t="s">
        <v>54</v>
      </c>
      <c r="B119" t="s">
        <v>79</v>
      </c>
      <c r="C119" t="s">
        <v>77</v>
      </c>
      <c r="D119" t="s">
        <v>82</v>
      </c>
      <c r="E119" t="s">
        <v>78</v>
      </c>
      <c r="F119" s="71">
        <v>42736</v>
      </c>
      <c r="G119">
        <v>841792.77999999991</v>
      </c>
      <c r="H119" s="3">
        <v>7623961.6099999994</v>
      </c>
      <c r="I119" s="3">
        <v>16402691.73547578</v>
      </c>
      <c r="J119" s="3">
        <v>30561412.460000008</v>
      </c>
      <c r="K119">
        <v>39630840.389999993</v>
      </c>
      <c r="L119">
        <v>48937407.509999998</v>
      </c>
      <c r="M119">
        <v>55004436.069999993</v>
      </c>
      <c r="N119">
        <v>55866223.799999997</v>
      </c>
      <c r="O119">
        <v>58468399.949999988</v>
      </c>
    </row>
    <row r="120" spans="1:31" x14ac:dyDescent="0.25">
      <c r="A120" s="28" t="s">
        <v>54</v>
      </c>
      <c r="B120" t="s">
        <v>79</v>
      </c>
      <c r="C120" t="s">
        <v>77</v>
      </c>
      <c r="D120" t="s">
        <v>82</v>
      </c>
      <c r="E120" t="s">
        <v>78</v>
      </c>
      <c r="F120" s="71">
        <v>43101</v>
      </c>
      <c r="G120">
        <v>1276328.05</v>
      </c>
      <c r="H120" s="3">
        <v>16314211.19601188</v>
      </c>
      <c r="I120" s="3">
        <v>32854267.260000002</v>
      </c>
      <c r="J120" s="3">
        <v>47309499.840000004</v>
      </c>
      <c r="K120">
        <v>61944412.479999982</v>
      </c>
      <c r="L120">
        <v>74156466.269999996</v>
      </c>
      <c r="M120">
        <v>82579024.289999992</v>
      </c>
      <c r="N120">
        <v>89884487.599999994</v>
      </c>
    </row>
    <row r="121" spans="1:31" x14ac:dyDescent="0.25">
      <c r="A121" s="28" t="s">
        <v>54</v>
      </c>
      <c r="B121" t="s">
        <v>79</v>
      </c>
      <c r="C121" t="s">
        <v>77</v>
      </c>
      <c r="D121" t="s">
        <v>82</v>
      </c>
      <c r="E121" t="s">
        <v>78</v>
      </c>
      <c r="F121" s="71">
        <v>43466</v>
      </c>
      <c r="G121">
        <v>1886797.5440123449</v>
      </c>
      <c r="H121" s="3">
        <v>18370247.550000001</v>
      </c>
      <c r="I121" s="3">
        <v>37902352.669999987</v>
      </c>
      <c r="J121" s="3">
        <v>60393914.130000003</v>
      </c>
      <c r="K121">
        <v>86519731.899999991</v>
      </c>
      <c r="L121">
        <v>107987165.48</v>
      </c>
      <c r="M121">
        <v>121566838.75</v>
      </c>
    </row>
    <row r="122" spans="1:31" x14ac:dyDescent="0.25">
      <c r="A122" s="28" t="s">
        <v>54</v>
      </c>
      <c r="B122" t="s">
        <v>79</v>
      </c>
      <c r="C122" t="s">
        <v>77</v>
      </c>
      <c r="D122" t="s">
        <v>82</v>
      </c>
      <c r="E122" t="s">
        <v>78</v>
      </c>
      <c r="F122" s="71">
        <v>43831</v>
      </c>
      <c r="G122">
        <v>2063962.04</v>
      </c>
      <c r="H122" s="3">
        <v>15458820.25</v>
      </c>
      <c r="I122" s="3">
        <v>34164600.270000003</v>
      </c>
      <c r="J122" s="3">
        <v>63424750.969999999</v>
      </c>
      <c r="K122">
        <v>93007337.700000003</v>
      </c>
      <c r="L122">
        <v>113239246.94</v>
      </c>
    </row>
    <row r="123" spans="1:31" x14ac:dyDescent="0.25">
      <c r="A123" s="28" t="s">
        <v>54</v>
      </c>
      <c r="B123" t="s">
        <v>79</v>
      </c>
      <c r="C123" t="s">
        <v>77</v>
      </c>
      <c r="D123" t="s">
        <v>82</v>
      </c>
      <c r="E123" t="s">
        <v>78</v>
      </c>
      <c r="F123" s="71">
        <v>44197</v>
      </c>
      <c r="G123">
        <v>2414244.63</v>
      </c>
      <c r="H123" s="3">
        <v>18416556.82</v>
      </c>
      <c r="I123" s="3">
        <v>51775066.450000018</v>
      </c>
      <c r="J123" s="3">
        <v>95387855.520000011</v>
      </c>
      <c r="K123">
        <v>140980790.52000001</v>
      </c>
    </row>
    <row r="124" spans="1:31" x14ac:dyDescent="0.25">
      <c r="A124" s="28" t="s">
        <v>54</v>
      </c>
      <c r="B124" t="s">
        <v>79</v>
      </c>
      <c r="C124" t="s">
        <v>77</v>
      </c>
      <c r="D124" t="s">
        <v>82</v>
      </c>
      <c r="E124" t="s">
        <v>78</v>
      </c>
      <c r="F124" s="71">
        <v>44562</v>
      </c>
      <c r="G124">
        <v>2843816.56</v>
      </c>
      <c r="H124" s="3">
        <v>31723679.690000001</v>
      </c>
      <c r="I124" s="3">
        <v>84208159.049999997</v>
      </c>
      <c r="J124" s="3">
        <v>148960274.99000001</v>
      </c>
    </row>
    <row r="125" spans="1:31" x14ac:dyDescent="0.25">
      <c r="A125" s="28" t="s">
        <v>54</v>
      </c>
      <c r="B125" t="s">
        <v>79</v>
      </c>
      <c r="C125" t="s">
        <v>77</v>
      </c>
      <c r="D125" t="s">
        <v>82</v>
      </c>
      <c r="E125" t="s">
        <v>78</v>
      </c>
      <c r="F125" s="71">
        <v>44927</v>
      </c>
      <c r="G125">
        <v>2992623.1800000011</v>
      </c>
      <c r="H125" s="3">
        <v>39270135.400000013</v>
      </c>
      <c r="I125" s="3">
        <v>95707323.039999992</v>
      </c>
      <c r="J125" s="3"/>
    </row>
    <row r="126" spans="1:31" x14ac:dyDescent="0.25">
      <c r="A126" s="28" t="s">
        <v>54</v>
      </c>
      <c r="B126" t="s">
        <v>79</v>
      </c>
      <c r="C126" t="s">
        <v>77</v>
      </c>
      <c r="D126" t="s">
        <v>82</v>
      </c>
      <c r="E126" t="s">
        <v>78</v>
      </c>
      <c r="F126" s="71">
        <v>45292</v>
      </c>
      <c r="G126">
        <v>4931479.6300000008</v>
      </c>
      <c r="H126" s="3">
        <v>37946521.080000013</v>
      </c>
      <c r="I126" s="3"/>
      <c r="J126" s="3"/>
    </row>
    <row r="127" spans="1:31" x14ac:dyDescent="0.25">
      <c r="A127" s="28" t="s">
        <v>54</v>
      </c>
      <c r="B127" t="s">
        <v>79</v>
      </c>
      <c r="C127" t="s">
        <v>77</v>
      </c>
      <c r="D127" t="s">
        <v>82</v>
      </c>
      <c r="E127" t="s">
        <v>78</v>
      </c>
      <c r="F127" s="71">
        <v>45658</v>
      </c>
      <c r="G127">
        <v>4113154.6700000009</v>
      </c>
      <c r="H127" s="3"/>
      <c r="I127" s="3"/>
      <c r="J127" s="3"/>
    </row>
    <row r="128" spans="1:31" x14ac:dyDescent="0.25">
      <c r="A128" s="28" t="s">
        <v>54</v>
      </c>
      <c r="B128" t="s">
        <v>80</v>
      </c>
      <c r="C128" t="s">
        <v>77</v>
      </c>
      <c r="D128" t="s">
        <v>82</v>
      </c>
      <c r="E128" t="s">
        <v>78</v>
      </c>
      <c r="F128" s="71">
        <v>36892</v>
      </c>
      <c r="G128">
        <v>10243.61</v>
      </c>
      <c r="H128" s="3">
        <v>281358.88</v>
      </c>
      <c r="I128" s="3">
        <v>1033618.96</v>
      </c>
      <c r="J128" s="3">
        <v>3385796.53</v>
      </c>
      <c r="K128">
        <v>6348889.0800000001</v>
      </c>
      <c r="L128">
        <v>6853686.1100000013</v>
      </c>
      <c r="M128">
        <v>7063637.8500000006</v>
      </c>
      <c r="N128">
        <v>7341449.4400000004</v>
      </c>
      <c r="O128">
        <v>7373592.0500000007</v>
      </c>
      <c r="P128">
        <v>7764156.0600000015</v>
      </c>
      <c r="Q128">
        <v>7793454.8800000008</v>
      </c>
      <c r="R128">
        <v>7838695.8800000008</v>
      </c>
      <c r="S128">
        <v>7841212.3000000007</v>
      </c>
      <c r="T128">
        <v>7841212.3000000007</v>
      </c>
      <c r="U128">
        <v>7841212.3000000007</v>
      </c>
      <c r="V128">
        <v>7841447.5000000009</v>
      </c>
      <c r="W128">
        <v>7841447.5000000009</v>
      </c>
      <c r="X128">
        <v>7841447.5000000009</v>
      </c>
      <c r="Y128">
        <v>7841447.5000000009</v>
      </c>
      <c r="Z128">
        <v>7841447.5000000009</v>
      </c>
      <c r="AA128">
        <v>7841447.5000000009</v>
      </c>
      <c r="AB128">
        <v>7861775.7699999996</v>
      </c>
      <c r="AC128">
        <v>7870210.0300000003</v>
      </c>
      <c r="AD128">
        <v>7870210.0300000003</v>
      </c>
      <c r="AE128">
        <v>8040662.9199999999</v>
      </c>
    </row>
    <row r="129" spans="1:30" x14ac:dyDescent="0.25">
      <c r="A129" s="28" t="s">
        <v>54</v>
      </c>
      <c r="B129" t="s">
        <v>80</v>
      </c>
      <c r="C129" t="s">
        <v>77</v>
      </c>
      <c r="D129" t="s">
        <v>82</v>
      </c>
      <c r="E129" t="s">
        <v>78</v>
      </c>
      <c r="F129" s="71">
        <v>37257</v>
      </c>
      <c r="G129">
        <v>39884.57</v>
      </c>
      <c r="H129" s="3">
        <v>196452.39</v>
      </c>
      <c r="I129" s="3">
        <v>833236.41</v>
      </c>
      <c r="J129" s="3">
        <v>1815381.18</v>
      </c>
      <c r="K129">
        <v>2994808.7</v>
      </c>
      <c r="L129">
        <v>3248280.5299999989</v>
      </c>
      <c r="M129">
        <v>4611029.24</v>
      </c>
      <c r="N129">
        <v>5130800.13</v>
      </c>
      <c r="O129">
        <v>5555911.5800000001</v>
      </c>
      <c r="P129">
        <v>5588898.8699999992</v>
      </c>
      <c r="Q129">
        <v>5675963.5599999996</v>
      </c>
      <c r="R129">
        <v>6918561.8599999994</v>
      </c>
      <c r="S129">
        <v>6919517.3599999994</v>
      </c>
      <c r="T129">
        <v>6920217.3599999994</v>
      </c>
      <c r="U129">
        <v>6920217.3599999994</v>
      </c>
      <c r="V129">
        <v>6920976.3599999994</v>
      </c>
      <c r="W129">
        <v>6920976.3599999994</v>
      </c>
      <c r="X129">
        <v>7100273.6399999997</v>
      </c>
      <c r="Y129">
        <v>7100273.6399999997</v>
      </c>
      <c r="Z129">
        <v>7100273.6399999997</v>
      </c>
      <c r="AA129">
        <v>7059121.6899999985</v>
      </c>
      <c r="AB129">
        <v>7059121.6899999985</v>
      </c>
      <c r="AC129">
        <v>7059121.6899999985</v>
      </c>
      <c r="AD129">
        <v>7224675.6600000001</v>
      </c>
    </row>
    <row r="130" spans="1:30" x14ac:dyDescent="0.25">
      <c r="A130" s="28" t="s">
        <v>54</v>
      </c>
      <c r="B130" t="s">
        <v>80</v>
      </c>
      <c r="C130" t="s">
        <v>77</v>
      </c>
      <c r="D130" t="s">
        <v>82</v>
      </c>
      <c r="E130" t="s">
        <v>78</v>
      </c>
      <c r="F130" s="71">
        <v>37622</v>
      </c>
      <c r="G130">
        <v>8979.34</v>
      </c>
      <c r="H130" s="3">
        <v>222694.34</v>
      </c>
      <c r="I130" s="3">
        <v>977053.8600000001</v>
      </c>
      <c r="J130" s="3">
        <v>2334950.7999999998</v>
      </c>
      <c r="K130">
        <v>4047072.0899999989</v>
      </c>
      <c r="L130">
        <v>7272036.5199999996</v>
      </c>
      <c r="M130">
        <v>7605168.2100000009</v>
      </c>
      <c r="N130">
        <v>8368708.5099999998</v>
      </c>
      <c r="O130">
        <v>8379697.6300000008</v>
      </c>
      <c r="P130">
        <v>8400907.6300000008</v>
      </c>
      <c r="Q130">
        <v>8402128.6300000008</v>
      </c>
      <c r="R130">
        <v>8402128.6300000008</v>
      </c>
      <c r="S130">
        <v>8407128.6300000008</v>
      </c>
      <c r="T130">
        <v>8407128.6300000008</v>
      </c>
      <c r="U130">
        <v>8407128.6300000008</v>
      </c>
      <c r="V130">
        <v>8407128.6300000008</v>
      </c>
      <c r="W130">
        <v>8407128.6300000008</v>
      </c>
      <c r="X130">
        <v>8407128.6300000008</v>
      </c>
      <c r="Y130">
        <v>8407128.6300000008</v>
      </c>
      <c r="Z130">
        <v>8333806.8800000008</v>
      </c>
      <c r="AA130">
        <v>8333806.8800000008</v>
      </c>
      <c r="AB130">
        <v>8333806.8800000008</v>
      </c>
      <c r="AC130">
        <v>8333806.8800000008</v>
      </c>
    </row>
    <row r="131" spans="1:30" x14ac:dyDescent="0.25">
      <c r="A131" s="28" t="s">
        <v>54</v>
      </c>
      <c r="B131" t="s">
        <v>80</v>
      </c>
      <c r="C131" t="s">
        <v>77</v>
      </c>
      <c r="D131" t="s">
        <v>82</v>
      </c>
      <c r="E131" t="s">
        <v>78</v>
      </c>
      <c r="F131" s="71">
        <v>37987</v>
      </c>
      <c r="G131">
        <v>16523.32</v>
      </c>
      <c r="H131" s="3">
        <v>944119.23</v>
      </c>
      <c r="I131" s="3">
        <v>3512907</v>
      </c>
      <c r="J131" s="3">
        <v>10273618.300000001</v>
      </c>
      <c r="K131">
        <v>18797035</v>
      </c>
      <c r="L131">
        <v>24911685.16</v>
      </c>
      <c r="M131">
        <v>27945040.84</v>
      </c>
      <c r="N131">
        <v>29823838.77</v>
      </c>
      <c r="O131">
        <v>30682081.640000001</v>
      </c>
      <c r="P131">
        <v>30684633.580000009</v>
      </c>
      <c r="Q131">
        <v>30708465.760000009</v>
      </c>
      <c r="R131">
        <v>30747470.65000001</v>
      </c>
      <c r="S131">
        <v>30765240.989999998</v>
      </c>
      <c r="T131">
        <v>30765240.989999998</v>
      </c>
      <c r="U131">
        <v>30765240.989999998</v>
      </c>
      <c r="V131">
        <v>30765240.989999998</v>
      </c>
      <c r="W131">
        <v>30765240.989999998</v>
      </c>
      <c r="X131">
        <v>30765240.989999998</v>
      </c>
      <c r="Y131">
        <v>30759246.539999999</v>
      </c>
      <c r="Z131">
        <v>30770563.539999999</v>
      </c>
      <c r="AA131">
        <v>30774143.539999999</v>
      </c>
      <c r="AB131">
        <v>30775385.539999999</v>
      </c>
    </row>
    <row r="132" spans="1:30" x14ac:dyDescent="0.25">
      <c r="A132" s="28" t="s">
        <v>54</v>
      </c>
      <c r="B132" t="s">
        <v>80</v>
      </c>
      <c r="C132" t="s">
        <v>77</v>
      </c>
      <c r="D132" t="s">
        <v>82</v>
      </c>
      <c r="E132" t="s">
        <v>78</v>
      </c>
      <c r="F132" s="71">
        <v>38353</v>
      </c>
      <c r="G132">
        <v>45357.62</v>
      </c>
      <c r="H132" s="3">
        <v>1648177.11</v>
      </c>
      <c r="I132" s="3">
        <v>6258399.7699999996</v>
      </c>
      <c r="J132" s="3">
        <v>16818468.010000002</v>
      </c>
      <c r="K132">
        <v>35472729.539999992</v>
      </c>
      <c r="L132">
        <v>43168799.82</v>
      </c>
      <c r="M132">
        <v>46290403.75999999</v>
      </c>
      <c r="N132">
        <v>46687579.159999996</v>
      </c>
      <c r="O132">
        <v>47830927.789999992</v>
      </c>
      <c r="P132">
        <v>47926924.75999999</v>
      </c>
      <c r="Q132">
        <v>47972735.43999999</v>
      </c>
      <c r="R132">
        <v>48030025.209999993</v>
      </c>
      <c r="S132">
        <v>48054564.659999989</v>
      </c>
      <c r="T132">
        <v>48078619.159999989</v>
      </c>
      <c r="U132">
        <v>48080441.029999986</v>
      </c>
      <c r="V132">
        <v>48087849.029999986</v>
      </c>
      <c r="W132">
        <v>48117739.130000003</v>
      </c>
      <c r="X132">
        <v>48095239.130000003</v>
      </c>
      <c r="Y132">
        <v>48095239.13000001</v>
      </c>
      <c r="Z132">
        <v>48095239.13000001</v>
      </c>
      <c r="AA132">
        <v>48095239.13000001</v>
      </c>
    </row>
    <row r="133" spans="1:30" x14ac:dyDescent="0.25">
      <c r="A133" s="28" t="s">
        <v>54</v>
      </c>
      <c r="B133" t="s">
        <v>80</v>
      </c>
      <c r="C133" t="s">
        <v>77</v>
      </c>
      <c r="D133" t="s">
        <v>82</v>
      </c>
      <c r="E133" t="s">
        <v>78</v>
      </c>
      <c r="F133" s="71">
        <v>38718</v>
      </c>
      <c r="G133">
        <v>25240.03</v>
      </c>
      <c r="H133" s="3">
        <v>760337.52</v>
      </c>
      <c r="I133" s="3">
        <v>2689411.94</v>
      </c>
      <c r="J133" s="3">
        <v>8850721.879999999</v>
      </c>
      <c r="K133">
        <v>14475058.609999999</v>
      </c>
      <c r="L133">
        <v>18187156.75</v>
      </c>
      <c r="M133">
        <v>19005818.530000001</v>
      </c>
      <c r="N133">
        <v>19937988.940000001</v>
      </c>
      <c r="O133">
        <v>20909953.510000002</v>
      </c>
      <c r="P133">
        <v>21581951.649999999</v>
      </c>
      <c r="Q133">
        <v>22334909.550000001</v>
      </c>
      <c r="R133">
        <v>22551378.199999999</v>
      </c>
      <c r="S133">
        <v>22675222.079999998</v>
      </c>
      <c r="T133">
        <v>23379820.460000001</v>
      </c>
      <c r="U133">
        <v>24135375.609999999</v>
      </c>
      <c r="V133">
        <v>24212594.039999999</v>
      </c>
      <c r="W133">
        <v>24375242.82</v>
      </c>
      <c r="X133">
        <v>24385168.82</v>
      </c>
      <c r="Y133">
        <v>24385288.82</v>
      </c>
      <c r="Z133">
        <v>24385288.82</v>
      </c>
    </row>
    <row r="134" spans="1:30" x14ac:dyDescent="0.25">
      <c r="A134" s="28" t="s">
        <v>54</v>
      </c>
      <c r="B134" t="s">
        <v>80</v>
      </c>
      <c r="C134" t="s">
        <v>77</v>
      </c>
      <c r="D134" t="s">
        <v>82</v>
      </c>
      <c r="E134" t="s">
        <v>78</v>
      </c>
      <c r="F134" s="71">
        <v>39083</v>
      </c>
      <c r="G134">
        <v>44724.95</v>
      </c>
      <c r="H134" s="3">
        <v>872141.48</v>
      </c>
      <c r="I134" s="3">
        <v>3652389.48</v>
      </c>
      <c r="J134" s="3">
        <v>10188003.9</v>
      </c>
      <c r="K134">
        <v>13861091.48</v>
      </c>
      <c r="L134">
        <v>19177644.239999998</v>
      </c>
      <c r="M134">
        <v>22650504.309999999</v>
      </c>
      <c r="N134">
        <v>25112844.91</v>
      </c>
      <c r="O134">
        <v>25481381.129999999</v>
      </c>
      <c r="P134">
        <v>25936064.600000001</v>
      </c>
      <c r="Q134">
        <v>26009870.210000001</v>
      </c>
      <c r="R134">
        <v>27072873.319999989</v>
      </c>
      <c r="S134">
        <v>27143113.18</v>
      </c>
      <c r="T134">
        <v>27155213.179999989</v>
      </c>
      <c r="U134">
        <v>27160893.43</v>
      </c>
      <c r="V134">
        <v>27105484.280000001</v>
      </c>
      <c r="W134">
        <v>27119997.74000001</v>
      </c>
      <c r="X134">
        <v>27205772.25</v>
      </c>
      <c r="Y134">
        <v>27806585.140000001</v>
      </c>
    </row>
    <row r="135" spans="1:30" x14ac:dyDescent="0.25">
      <c r="A135" s="28" t="s">
        <v>54</v>
      </c>
      <c r="B135" t="s">
        <v>80</v>
      </c>
      <c r="C135" t="s">
        <v>77</v>
      </c>
      <c r="D135" t="s">
        <v>82</v>
      </c>
      <c r="E135" t="s">
        <v>78</v>
      </c>
      <c r="F135" s="71">
        <v>39448</v>
      </c>
      <c r="G135">
        <v>96068.78</v>
      </c>
      <c r="H135" s="3">
        <v>1383984.84</v>
      </c>
      <c r="I135" s="3">
        <v>3481721.24</v>
      </c>
      <c r="J135" s="3">
        <v>7172805.7300000004</v>
      </c>
      <c r="K135">
        <v>13631885.26</v>
      </c>
      <c r="L135">
        <v>15934608.27</v>
      </c>
      <c r="M135">
        <v>18366418.780000001</v>
      </c>
      <c r="N135">
        <v>19848566.469999999</v>
      </c>
      <c r="O135">
        <v>19973538.41</v>
      </c>
      <c r="P135">
        <v>21014239.18</v>
      </c>
      <c r="Q135">
        <v>21025783.32</v>
      </c>
      <c r="R135">
        <v>21194325.629999999</v>
      </c>
      <c r="S135">
        <v>21197821.850000001</v>
      </c>
      <c r="T135">
        <v>21203931.91</v>
      </c>
      <c r="U135">
        <v>21250759.899999999</v>
      </c>
      <c r="V135">
        <v>21271706.93</v>
      </c>
      <c r="W135">
        <v>21271706.93</v>
      </c>
      <c r="X135">
        <v>21272419.93</v>
      </c>
    </row>
    <row r="136" spans="1:30" x14ac:dyDescent="0.25">
      <c r="A136" s="28" t="s">
        <v>54</v>
      </c>
      <c r="B136" t="s">
        <v>80</v>
      </c>
      <c r="C136" t="s">
        <v>77</v>
      </c>
      <c r="D136" t="s">
        <v>82</v>
      </c>
      <c r="E136" t="s">
        <v>78</v>
      </c>
      <c r="F136" s="71">
        <v>39814</v>
      </c>
      <c r="G136">
        <v>33254.600000000013</v>
      </c>
      <c r="H136" s="3">
        <v>1350203.57</v>
      </c>
      <c r="I136" s="3">
        <v>3333382.39</v>
      </c>
      <c r="J136" s="3">
        <v>4860747.5199999996</v>
      </c>
      <c r="K136">
        <v>6858880.1699999999</v>
      </c>
      <c r="L136">
        <v>8325012.9400000004</v>
      </c>
      <c r="M136">
        <v>8655320.7200000007</v>
      </c>
      <c r="N136">
        <v>10397864.67</v>
      </c>
      <c r="O136">
        <v>12026170.74</v>
      </c>
      <c r="P136">
        <v>13402469.85</v>
      </c>
      <c r="Q136">
        <v>13536182.560000001</v>
      </c>
      <c r="R136">
        <v>13350265.51</v>
      </c>
      <c r="S136">
        <v>13355322.01</v>
      </c>
      <c r="T136">
        <v>13698738.439999999</v>
      </c>
      <c r="U136">
        <v>13712787.939999999</v>
      </c>
      <c r="V136">
        <v>13757034.98</v>
      </c>
      <c r="W136">
        <v>13824122.529999999</v>
      </c>
    </row>
    <row r="137" spans="1:30" x14ac:dyDescent="0.25">
      <c r="A137" s="28" t="s">
        <v>54</v>
      </c>
      <c r="B137" t="s">
        <v>80</v>
      </c>
      <c r="C137" t="s">
        <v>77</v>
      </c>
      <c r="D137" t="s">
        <v>82</v>
      </c>
      <c r="E137" t="s">
        <v>78</v>
      </c>
      <c r="F137" s="71">
        <v>40179</v>
      </c>
      <c r="G137">
        <v>23851.43</v>
      </c>
      <c r="H137" s="3">
        <v>614666.00999999989</v>
      </c>
      <c r="I137" s="3">
        <v>1688714.99</v>
      </c>
      <c r="J137" s="3">
        <v>4270352.2000000011</v>
      </c>
      <c r="K137">
        <v>6504682.620000001</v>
      </c>
      <c r="L137">
        <v>7179220.6500000004</v>
      </c>
      <c r="M137">
        <v>8874505.7300000004</v>
      </c>
      <c r="N137">
        <v>9012857.6500000004</v>
      </c>
      <c r="O137">
        <v>9047175.8000000007</v>
      </c>
      <c r="P137">
        <v>9113189.5299999993</v>
      </c>
      <c r="Q137">
        <v>9155849.2199999988</v>
      </c>
      <c r="R137">
        <v>9394414.6400000006</v>
      </c>
      <c r="S137">
        <v>9396275.6400000006</v>
      </c>
      <c r="T137">
        <v>11529577.35</v>
      </c>
      <c r="U137">
        <v>11521727.050000001</v>
      </c>
      <c r="V137">
        <v>11521727.050000001</v>
      </c>
    </row>
    <row r="138" spans="1:30" x14ac:dyDescent="0.25">
      <c r="A138" s="28" t="s">
        <v>54</v>
      </c>
      <c r="B138" t="s">
        <v>80</v>
      </c>
      <c r="C138" t="s">
        <v>77</v>
      </c>
      <c r="D138" t="s">
        <v>82</v>
      </c>
      <c r="E138" t="s">
        <v>78</v>
      </c>
      <c r="F138" s="71">
        <v>40544</v>
      </c>
      <c r="G138">
        <v>12650.65</v>
      </c>
      <c r="H138" s="3">
        <v>465042.94000000012</v>
      </c>
      <c r="I138" s="3">
        <v>875927.45</v>
      </c>
      <c r="J138" s="3">
        <v>3415193.19</v>
      </c>
      <c r="K138">
        <v>8477201.0399999991</v>
      </c>
      <c r="L138">
        <v>10065627.289999999</v>
      </c>
      <c r="M138">
        <v>11525815.310000001</v>
      </c>
      <c r="N138">
        <v>11959031.359999999</v>
      </c>
      <c r="O138">
        <v>12022386.640000001</v>
      </c>
      <c r="P138">
        <v>12039821.91</v>
      </c>
      <c r="Q138">
        <v>12093927.77</v>
      </c>
      <c r="R138">
        <v>12111762.43</v>
      </c>
      <c r="S138">
        <v>13171681.800000001</v>
      </c>
      <c r="T138">
        <v>13579924.800000001</v>
      </c>
      <c r="U138">
        <v>13632204.18</v>
      </c>
    </row>
    <row r="139" spans="1:30" x14ac:dyDescent="0.25">
      <c r="A139" s="28" t="s">
        <v>54</v>
      </c>
      <c r="B139" t="s">
        <v>80</v>
      </c>
      <c r="C139" t="s">
        <v>77</v>
      </c>
      <c r="D139" t="s">
        <v>82</v>
      </c>
      <c r="E139" t="s">
        <v>78</v>
      </c>
      <c r="F139" s="71">
        <v>40909</v>
      </c>
      <c r="G139">
        <v>44021.099999999991</v>
      </c>
      <c r="H139" s="3">
        <v>560021</v>
      </c>
      <c r="I139" s="3">
        <v>2306154.9</v>
      </c>
      <c r="J139" s="3">
        <v>4353675.7300000004</v>
      </c>
      <c r="K139">
        <v>5938554.0600000015</v>
      </c>
      <c r="L139">
        <v>6833401.3300000001</v>
      </c>
      <c r="M139">
        <v>7165236.5600000015</v>
      </c>
      <c r="N139">
        <v>8442972.7300000004</v>
      </c>
      <c r="O139">
        <v>8719685</v>
      </c>
      <c r="P139">
        <v>8907863.5199999996</v>
      </c>
      <c r="Q139">
        <v>8954240.209999999</v>
      </c>
      <c r="R139">
        <v>9201807.9100000001</v>
      </c>
      <c r="S139">
        <v>9342077.1499999985</v>
      </c>
      <c r="T139">
        <v>9400829.75</v>
      </c>
    </row>
    <row r="140" spans="1:30" x14ac:dyDescent="0.25">
      <c r="A140" s="28" t="s">
        <v>54</v>
      </c>
      <c r="B140" t="s">
        <v>80</v>
      </c>
      <c r="C140" t="s">
        <v>77</v>
      </c>
      <c r="D140" t="s">
        <v>82</v>
      </c>
      <c r="E140" t="s">
        <v>78</v>
      </c>
      <c r="F140" s="71">
        <v>41275</v>
      </c>
      <c r="G140">
        <v>3297.07</v>
      </c>
      <c r="H140" s="3">
        <v>382233.35</v>
      </c>
      <c r="I140" s="3">
        <v>3309672.66</v>
      </c>
      <c r="J140" s="3">
        <v>5726566.4800000004</v>
      </c>
      <c r="K140">
        <v>8241845.9199999999</v>
      </c>
      <c r="L140">
        <v>10083937.76</v>
      </c>
      <c r="M140">
        <v>13108855.08</v>
      </c>
      <c r="N140">
        <v>13666431.35</v>
      </c>
      <c r="O140">
        <v>13806142.289999999</v>
      </c>
      <c r="P140">
        <v>14065542.49</v>
      </c>
      <c r="Q140">
        <v>14082220.09</v>
      </c>
      <c r="R140">
        <v>14085245.01</v>
      </c>
      <c r="S140">
        <v>14096092.890000001</v>
      </c>
    </row>
    <row r="141" spans="1:30" x14ac:dyDescent="0.25">
      <c r="A141" s="28" t="s">
        <v>54</v>
      </c>
      <c r="B141" t="s">
        <v>80</v>
      </c>
      <c r="C141" t="s">
        <v>77</v>
      </c>
      <c r="D141" t="s">
        <v>82</v>
      </c>
      <c r="E141" t="s">
        <v>78</v>
      </c>
      <c r="F141" s="71">
        <v>41640</v>
      </c>
      <c r="G141">
        <v>28699.94</v>
      </c>
      <c r="H141" s="3">
        <v>901036.41</v>
      </c>
      <c r="I141" s="3">
        <v>3030218.46</v>
      </c>
      <c r="J141" s="3">
        <v>6429225.6699999999</v>
      </c>
      <c r="K141">
        <v>9948584.6400000006</v>
      </c>
      <c r="L141">
        <v>11671589.41</v>
      </c>
      <c r="M141">
        <v>14076986.630000001</v>
      </c>
      <c r="N141">
        <v>15533764.039999999</v>
      </c>
      <c r="O141">
        <v>16383623.880000001</v>
      </c>
      <c r="P141">
        <v>17184196.140000001</v>
      </c>
      <c r="Q141">
        <v>17264657.469999999</v>
      </c>
      <c r="R141">
        <v>17853881.219999999</v>
      </c>
    </row>
    <row r="142" spans="1:30" x14ac:dyDescent="0.25">
      <c r="A142" s="28" t="s">
        <v>54</v>
      </c>
      <c r="B142" t="s">
        <v>80</v>
      </c>
      <c r="C142" t="s">
        <v>77</v>
      </c>
      <c r="D142" t="s">
        <v>82</v>
      </c>
      <c r="E142" t="s">
        <v>78</v>
      </c>
      <c r="F142" s="71">
        <v>42005</v>
      </c>
      <c r="G142">
        <v>88993.72</v>
      </c>
      <c r="H142" s="3">
        <v>1682910.23</v>
      </c>
      <c r="I142" s="3">
        <v>4553528.24</v>
      </c>
      <c r="J142" s="3">
        <v>9539684.0899999999</v>
      </c>
      <c r="K142">
        <v>18839856.199999999</v>
      </c>
      <c r="L142">
        <v>23480425.120000001</v>
      </c>
      <c r="M142">
        <v>27775963.23</v>
      </c>
      <c r="N142">
        <v>29759678.359999999</v>
      </c>
      <c r="O142">
        <v>30562694.489999998</v>
      </c>
      <c r="P142">
        <v>30723424.370000001</v>
      </c>
      <c r="Q142">
        <v>31496089.47000001</v>
      </c>
    </row>
    <row r="143" spans="1:30" x14ac:dyDescent="0.25">
      <c r="A143" s="28" t="s">
        <v>54</v>
      </c>
      <c r="B143" t="s">
        <v>80</v>
      </c>
      <c r="C143" t="s">
        <v>77</v>
      </c>
      <c r="D143" t="s">
        <v>82</v>
      </c>
      <c r="E143" t="s">
        <v>78</v>
      </c>
      <c r="F143" s="71">
        <v>42370</v>
      </c>
      <c r="G143">
        <v>119398.41</v>
      </c>
      <c r="H143" s="3">
        <v>1256720.3799999999</v>
      </c>
      <c r="I143" s="3">
        <v>3591810.27</v>
      </c>
      <c r="J143" s="3">
        <v>9162310.3800000008</v>
      </c>
      <c r="K143">
        <v>14208861.859999999</v>
      </c>
      <c r="L143">
        <v>20677445.190000001</v>
      </c>
      <c r="M143">
        <v>24635333.539999999</v>
      </c>
      <c r="N143">
        <v>28936126.030000001</v>
      </c>
      <c r="O143">
        <v>30000551.77</v>
      </c>
      <c r="P143">
        <v>32364572.91</v>
      </c>
    </row>
    <row r="144" spans="1:30" x14ac:dyDescent="0.25">
      <c r="A144" s="28" t="s">
        <v>54</v>
      </c>
      <c r="B144" t="s">
        <v>80</v>
      </c>
      <c r="C144" t="s">
        <v>77</v>
      </c>
      <c r="D144" t="s">
        <v>82</v>
      </c>
      <c r="E144" t="s">
        <v>78</v>
      </c>
      <c r="F144" s="71">
        <v>42736</v>
      </c>
      <c r="G144">
        <v>258606.38</v>
      </c>
      <c r="H144" s="3">
        <v>2098675.38</v>
      </c>
      <c r="I144" s="3">
        <v>8343610.0634757727</v>
      </c>
      <c r="J144" s="3">
        <v>19321086.93</v>
      </c>
      <c r="K144">
        <v>30886586.800000001</v>
      </c>
      <c r="L144">
        <v>38427891.009999998</v>
      </c>
      <c r="M144">
        <v>50124081.519999988</v>
      </c>
      <c r="N144">
        <v>54169374.819999978</v>
      </c>
      <c r="O144">
        <v>56107736.929999992</v>
      </c>
    </row>
    <row r="145" spans="1:31" x14ac:dyDescent="0.25">
      <c r="A145" s="28" t="s">
        <v>54</v>
      </c>
      <c r="B145" t="s">
        <v>80</v>
      </c>
      <c r="C145" t="s">
        <v>77</v>
      </c>
      <c r="D145" t="s">
        <v>82</v>
      </c>
      <c r="E145" t="s">
        <v>78</v>
      </c>
      <c r="F145" s="71">
        <v>43101</v>
      </c>
      <c r="G145">
        <v>114842.7</v>
      </c>
      <c r="H145" s="3">
        <v>7451172.8900118852</v>
      </c>
      <c r="I145" s="3">
        <v>19235895.97000001</v>
      </c>
      <c r="J145" s="3">
        <v>32182325.440000009</v>
      </c>
      <c r="K145">
        <v>46028865.190000013</v>
      </c>
      <c r="L145">
        <v>62644932.799999982</v>
      </c>
      <c r="M145">
        <v>76458613.75999999</v>
      </c>
      <c r="N145">
        <v>84338741.24999997</v>
      </c>
    </row>
    <row r="146" spans="1:31" x14ac:dyDescent="0.25">
      <c r="A146" s="28" t="s">
        <v>54</v>
      </c>
      <c r="B146" t="s">
        <v>80</v>
      </c>
      <c r="C146" t="s">
        <v>77</v>
      </c>
      <c r="D146" t="s">
        <v>82</v>
      </c>
      <c r="E146" t="s">
        <v>78</v>
      </c>
      <c r="F146" s="71">
        <v>43466</v>
      </c>
      <c r="G146">
        <v>329469.83651234477</v>
      </c>
      <c r="H146" s="3">
        <v>7659940.0999999996</v>
      </c>
      <c r="I146" s="3">
        <v>20774482.84</v>
      </c>
      <c r="J146" s="3">
        <v>38874351.149999999</v>
      </c>
      <c r="K146">
        <v>59583247.239999987</v>
      </c>
      <c r="L146">
        <v>87578104.329999998</v>
      </c>
      <c r="M146">
        <v>108017309.65000001</v>
      </c>
    </row>
    <row r="147" spans="1:31" x14ac:dyDescent="0.25">
      <c r="A147" s="28" t="s">
        <v>54</v>
      </c>
      <c r="B147" t="s">
        <v>80</v>
      </c>
      <c r="C147" t="s">
        <v>77</v>
      </c>
      <c r="D147" t="s">
        <v>82</v>
      </c>
      <c r="E147" t="s">
        <v>78</v>
      </c>
      <c r="F147" s="71">
        <v>43831</v>
      </c>
      <c r="G147">
        <v>579925.20000000007</v>
      </c>
      <c r="H147" s="3">
        <v>6515702.450000002</v>
      </c>
      <c r="I147" s="3">
        <v>17040296.379999999</v>
      </c>
      <c r="J147" s="3">
        <v>40045457.880000003</v>
      </c>
      <c r="K147">
        <v>64891437.670000017</v>
      </c>
      <c r="L147">
        <v>97408951.26000002</v>
      </c>
    </row>
    <row r="148" spans="1:31" x14ac:dyDescent="0.25">
      <c r="A148" s="28" t="s">
        <v>54</v>
      </c>
      <c r="B148" t="s">
        <v>80</v>
      </c>
      <c r="C148" t="s">
        <v>77</v>
      </c>
      <c r="D148" t="s">
        <v>82</v>
      </c>
      <c r="E148" t="s">
        <v>78</v>
      </c>
      <c r="F148" s="71">
        <v>44197</v>
      </c>
      <c r="G148">
        <v>220358.49</v>
      </c>
      <c r="H148" s="3">
        <v>5942761.6099999994</v>
      </c>
      <c r="I148" s="3">
        <v>26066244.899999991</v>
      </c>
      <c r="J148" s="3">
        <v>58616917.340000004</v>
      </c>
      <c r="K148">
        <v>106983469.38</v>
      </c>
    </row>
    <row r="149" spans="1:31" x14ac:dyDescent="0.25">
      <c r="A149" s="28" t="s">
        <v>54</v>
      </c>
      <c r="B149" t="s">
        <v>80</v>
      </c>
      <c r="C149" t="s">
        <v>77</v>
      </c>
      <c r="D149" t="s">
        <v>82</v>
      </c>
      <c r="E149" t="s">
        <v>78</v>
      </c>
      <c r="F149" s="71">
        <v>44562</v>
      </c>
      <c r="G149">
        <v>157738.37999999989</v>
      </c>
      <c r="H149" s="3">
        <v>8954992.7100000009</v>
      </c>
      <c r="I149" s="3">
        <v>37806448.359999999</v>
      </c>
      <c r="J149" s="3">
        <v>91770515.060000002</v>
      </c>
    </row>
    <row r="150" spans="1:31" x14ac:dyDescent="0.25">
      <c r="A150" s="28" t="s">
        <v>54</v>
      </c>
      <c r="B150" t="s">
        <v>80</v>
      </c>
      <c r="C150" t="s">
        <v>77</v>
      </c>
      <c r="D150" t="s">
        <v>82</v>
      </c>
      <c r="E150" t="s">
        <v>78</v>
      </c>
      <c r="F150" s="71">
        <v>44927</v>
      </c>
      <c r="G150">
        <v>323165.75</v>
      </c>
      <c r="H150" s="3">
        <v>13550379.93</v>
      </c>
      <c r="I150" s="3">
        <v>50446786.140000008</v>
      </c>
      <c r="J150" s="3"/>
    </row>
    <row r="151" spans="1:31" x14ac:dyDescent="0.25">
      <c r="A151" s="28" t="s">
        <v>54</v>
      </c>
      <c r="B151" t="s">
        <v>80</v>
      </c>
      <c r="C151" t="s">
        <v>77</v>
      </c>
      <c r="D151" t="s">
        <v>82</v>
      </c>
      <c r="E151" t="s">
        <v>78</v>
      </c>
      <c r="F151" s="71">
        <v>45292</v>
      </c>
      <c r="G151">
        <v>292549.83</v>
      </c>
      <c r="H151" s="3">
        <v>9751755.799999997</v>
      </c>
      <c r="I151" s="3"/>
      <c r="J151" s="3"/>
    </row>
    <row r="152" spans="1:31" x14ac:dyDescent="0.25">
      <c r="A152" s="28" t="s">
        <v>54</v>
      </c>
      <c r="B152" t="s">
        <v>80</v>
      </c>
      <c r="C152" t="s">
        <v>77</v>
      </c>
      <c r="D152" t="s">
        <v>82</v>
      </c>
      <c r="E152" t="s">
        <v>78</v>
      </c>
      <c r="F152" s="71">
        <v>45658</v>
      </c>
      <c r="G152">
        <v>283976.09999999992</v>
      </c>
      <c r="H152" s="3"/>
      <c r="I152" s="3"/>
      <c r="J152" s="3"/>
    </row>
    <row r="153" spans="1:31" x14ac:dyDescent="0.25">
      <c r="A153" s="28" t="s">
        <v>55</v>
      </c>
      <c r="B153" t="s">
        <v>76</v>
      </c>
      <c r="C153" t="s">
        <v>77</v>
      </c>
      <c r="D153" t="s">
        <v>82</v>
      </c>
      <c r="E153" t="s">
        <v>78</v>
      </c>
      <c r="F153" s="71">
        <v>36892</v>
      </c>
      <c r="G153">
        <v>0</v>
      </c>
      <c r="H153" s="3">
        <v>0</v>
      </c>
      <c r="I153" s="3">
        <v>0</v>
      </c>
      <c r="J153" s="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25">
      <c r="A154" s="28" t="s">
        <v>55</v>
      </c>
      <c r="B154" t="s">
        <v>76</v>
      </c>
      <c r="C154" t="s">
        <v>77</v>
      </c>
      <c r="D154" t="s">
        <v>82</v>
      </c>
      <c r="E154" t="s">
        <v>78</v>
      </c>
      <c r="F154" s="71">
        <v>37257</v>
      </c>
      <c r="G154">
        <v>0</v>
      </c>
      <c r="H154" s="3">
        <v>0</v>
      </c>
      <c r="I154" s="3">
        <v>0</v>
      </c>
      <c r="J154" s="3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1" x14ac:dyDescent="0.25">
      <c r="A155" s="28" t="s">
        <v>55</v>
      </c>
      <c r="B155" t="s">
        <v>76</v>
      </c>
      <c r="C155" t="s">
        <v>77</v>
      </c>
      <c r="D155" t="s">
        <v>82</v>
      </c>
      <c r="E155" t="s">
        <v>78</v>
      </c>
      <c r="F155" s="71">
        <v>37622</v>
      </c>
      <c r="G155">
        <v>0</v>
      </c>
      <c r="H155" s="3">
        <v>0</v>
      </c>
      <c r="I155" s="3">
        <v>0</v>
      </c>
      <c r="J155" s="3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31" x14ac:dyDescent="0.25">
      <c r="A156" s="28" t="s">
        <v>55</v>
      </c>
      <c r="B156" t="s">
        <v>76</v>
      </c>
      <c r="C156" t="s">
        <v>77</v>
      </c>
      <c r="D156" t="s">
        <v>82</v>
      </c>
      <c r="E156" t="s">
        <v>78</v>
      </c>
      <c r="F156" s="71">
        <v>37987</v>
      </c>
      <c r="G156">
        <v>0</v>
      </c>
      <c r="H156" s="3">
        <v>0</v>
      </c>
      <c r="I156" s="3">
        <v>0</v>
      </c>
      <c r="J156" s="3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31" x14ac:dyDescent="0.25">
      <c r="A157" s="28" t="s">
        <v>55</v>
      </c>
      <c r="B157" t="s">
        <v>76</v>
      </c>
      <c r="C157" t="s">
        <v>77</v>
      </c>
      <c r="D157" t="s">
        <v>82</v>
      </c>
      <c r="E157" t="s">
        <v>78</v>
      </c>
      <c r="F157" s="71">
        <v>38353</v>
      </c>
      <c r="G157">
        <v>0</v>
      </c>
      <c r="H157" s="3">
        <v>0</v>
      </c>
      <c r="I157" s="3">
        <v>0</v>
      </c>
      <c r="J157" s="3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31" x14ac:dyDescent="0.25">
      <c r="A158" s="28" t="s">
        <v>55</v>
      </c>
      <c r="B158" t="s">
        <v>76</v>
      </c>
      <c r="C158" t="s">
        <v>77</v>
      </c>
      <c r="D158" t="s">
        <v>82</v>
      </c>
      <c r="E158" t="s">
        <v>78</v>
      </c>
      <c r="F158" s="71">
        <v>38718</v>
      </c>
      <c r="G158">
        <v>0</v>
      </c>
      <c r="H158" s="3">
        <v>0</v>
      </c>
      <c r="I158" s="3">
        <v>0</v>
      </c>
      <c r="J158" s="3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31" x14ac:dyDescent="0.25">
      <c r="A159" s="28" t="s">
        <v>55</v>
      </c>
      <c r="B159" t="s">
        <v>76</v>
      </c>
      <c r="C159" t="s">
        <v>77</v>
      </c>
      <c r="D159" t="s">
        <v>82</v>
      </c>
      <c r="E159" t="s">
        <v>78</v>
      </c>
      <c r="F159" s="71">
        <v>39083</v>
      </c>
      <c r="G159">
        <v>0</v>
      </c>
      <c r="H159" s="3">
        <v>0</v>
      </c>
      <c r="I159" s="3">
        <v>0</v>
      </c>
      <c r="J159" s="3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31" x14ac:dyDescent="0.25">
      <c r="A160" s="28" t="s">
        <v>55</v>
      </c>
      <c r="B160" t="s">
        <v>76</v>
      </c>
      <c r="C160" t="s">
        <v>77</v>
      </c>
      <c r="D160" t="s">
        <v>82</v>
      </c>
      <c r="E160" t="s">
        <v>78</v>
      </c>
      <c r="F160" s="71">
        <v>39448</v>
      </c>
      <c r="G160">
        <v>0</v>
      </c>
      <c r="H160" s="3">
        <v>0</v>
      </c>
      <c r="I160" s="3">
        <v>0</v>
      </c>
      <c r="J160" s="3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3" x14ac:dyDescent="0.25">
      <c r="A161" s="28" t="s">
        <v>55</v>
      </c>
      <c r="B161" t="s">
        <v>76</v>
      </c>
      <c r="C161" t="s">
        <v>77</v>
      </c>
      <c r="D161" t="s">
        <v>82</v>
      </c>
      <c r="E161" t="s">
        <v>78</v>
      </c>
      <c r="F161" s="71">
        <v>39814</v>
      </c>
      <c r="G161">
        <v>0</v>
      </c>
      <c r="H161" s="3">
        <v>0</v>
      </c>
      <c r="I161" s="3">
        <v>0</v>
      </c>
      <c r="J161" s="3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28" t="s">
        <v>55</v>
      </c>
      <c r="B162" t="s">
        <v>76</v>
      </c>
      <c r="C162" t="s">
        <v>77</v>
      </c>
      <c r="D162" t="s">
        <v>82</v>
      </c>
      <c r="E162" t="s">
        <v>78</v>
      </c>
      <c r="F162" s="71">
        <v>40179</v>
      </c>
      <c r="G162">
        <v>0</v>
      </c>
      <c r="H162" s="3">
        <v>0</v>
      </c>
      <c r="I162" s="3">
        <v>0</v>
      </c>
      <c r="J162" s="3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3" x14ac:dyDescent="0.25">
      <c r="A163" s="28" t="s">
        <v>55</v>
      </c>
      <c r="B163" t="s">
        <v>76</v>
      </c>
      <c r="C163" t="s">
        <v>77</v>
      </c>
      <c r="D163" t="s">
        <v>82</v>
      </c>
      <c r="E163" t="s">
        <v>78</v>
      </c>
      <c r="F163" s="71">
        <v>40544</v>
      </c>
      <c r="G163">
        <v>0</v>
      </c>
      <c r="H163" s="3">
        <v>0</v>
      </c>
      <c r="I163" s="3">
        <v>0</v>
      </c>
      <c r="J163" s="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3" x14ac:dyDescent="0.25">
      <c r="A164" s="28" t="s">
        <v>55</v>
      </c>
      <c r="B164" t="s">
        <v>76</v>
      </c>
      <c r="C164" t="s">
        <v>77</v>
      </c>
      <c r="D164" t="s">
        <v>82</v>
      </c>
      <c r="E164" t="s">
        <v>78</v>
      </c>
      <c r="F164" s="71">
        <v>40909</v>
      </c>
      <c r="G164">
        <v>0</v>
      </c>
      <c r="H164" s="3">
        <v>0</v>
      </c>
      <c r="I164" s="3">
        <v>0</v>
      </c>
      <c r="J164" s="3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3" x14ac:dyDescent="0.25">
      <c r="A165" s="28" t="s">
        <v>55</v>
      </c>
      <c r="B165" t="s">
        <v>76</v>
      </c>
      <c r="C165" t="s">
        <v>77</v>
      </c>
      <c r="D165" t="s">
        <v>82</v>
      </c>
      <c r="E165" t="s">
        <v>78</v>
      </c>
      <c r="F165" s="71">
        <v>41275</v>
      </c>
      <c r="G165">
        <v>0</v>
      </c>
      <c r="H165" s="3">
        <v>0</v>
      </c>
      <c r="I165" s="3">
        <v>0</v>
      </c>
      <c r="J165" s="3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23" x14ac:dyDescent="0.25">
      <c r="A166" s="28" t="s">
        <v>55</v>
      </c>
      <c r="B166" t="s">
        <v>76</v>
      </c>
      <c r="C166" t="s">
        <v>77</v>
      </c>
      <c r="D166" t="s">
        <v>82</v>
      </c>
      <c r="E166" t="s">
        <v>78</v>
      </c>
      <c r="F166" s="71">
        <v>41640</v>
      </c>
      <c r="G166">
        <v>0</v>
      </c>
      <c r="H166" s="3">
        <v>0</v>
      </c>
      <c r="I166" s="3">
        <v>0</v>
      </c>
      <c r="J166" s="3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23" x14ac:dyDescent="0.25">
      <c r="A167" s="28" t="s">
        <v>55</v>
      </c>
      <c r="B167" t="s">
        <v>76</v>
      </c>
      <c r="C167" t="s">
        <v>77</v>
      </c>
      <c r="D167" t="s">
        <v>82</v>
      </c>
      <c r="E167" t="s">
        <v>78</v>
      </c>
      <c r="F167" s="71">
        <v>42005</v>
      </c>
      <c r="G167">
        <v>0</v>
      </c>
      <c r="H167" s="3">
        <v>0</v>
      </c>
      <c r="I167" s="3">
        <v>0</v>
      </c>
      <c r="J167" s="3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23" x14ac:dyDescent="0.25">
      <c r="A168" s="28" t="s">
        <v>55</v>
      </c>
      <c r="B168" t="s">
        <v>76</v>
      </c>
      <c r="C168" t="s">
        <v>77</v>
      </c>
      <c r="D168" t="s">
        <v>82</v>
      </c>
      <c r="E168" t="s">
        <v>78</v>
      </c>
      <c r="F168" s="71">
        <v>42370</v>
      </c>
      <c r="G168">
        <v>0</v>
      </c>
      <c r="H168" s="3">
        <v>0</v>
      </c>
      <c r="I168" s="3">
        <v>0</v>
      </c>
      <c r="J168" s="3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23" x14ac:dyDescent="0.25">
      <c r="A169" s="28" t="s">
        <v>55</v>
      </c>
      <c r="B169" t="s">
        <v>76</v>
      </c>
      <c r="C169" t="s">
        <v>77</v>
      </c>
      <c r="D169" t="s">
        <v>82</v>
      </c>
      <c r="E169" t="s">
        <v>78</v>
      </c>
      <c r="F169" s="71">
        <v>42736</v>
      </c>
      <c r="G169">
        <v>0</v>
      </c>
      <c r="H169" s="3">
        <v>0</v>
      </c>
      <c r="I169" s="3">
        <v>0</v>
      </c>
      <c r="J169" s="3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23" x14ac:dyDescent="0.25">
      <c r="A170" s="28" t="s">
        <v>55</v>
      </c>
      <c r="B170" t="s">
        <v>76</v>
      </c>
      <c r="C170" t="s">
        <v>77</v>
      </c>
      <c r="D170" t="s">
        <v>82</v>
      </c>
      <c r="E170" t="s">
        <v>78</v>
      </c>
      <c r="F170" s="71">
        <v>43101</v>
      </c>
      <c r="G170">
        <v>0</v>
      </c>
      <c r="H170" s="3">
        <v>0</v>
      </c>
      <c r="I170" s="3">
        <v>0</v>
      </c>
      <c r="J170" s="3">
        <v>0</v>
      </c>
      <c r="K170">
        <v>0</v>
      </c>
      <c r="L170">
        <v>0</v>
      </c>
      <c r="M170">
        <v>0</v>
      </c>
      <c r="N170">
        <v>0</v>
      </c>
    </row>
    <row r="171" spans="1:23" x14ac:dyDescent="0.25">
      <c r="A171" s="28" t="s">
        <v>55</v>
      </c>
      <c r="B171" t="s">
        <v>76</v>
      </c>
      <c r="C171" t="s">
        <v>77</v>
      </c>
      <c r="D171" t="s">
        <v>82</v>
      </c>
      <c r="E171" t="s">
        <v>78</v>
      </c>
      <c r="F171" s="71">
        <v>43466</v>
      </c>
      <c r="G171">
        <v>0</v>
      </c>
      <c r="H171" s="3">
        <v>0</v>
      </c>
      <c r="I171" s="3">
        <v>0</v>
      </c>
      <c r="J171" s="3">
        <v>0</v>
      </c>
      <c r="K171">
        <v>0</v>
      </c>
      <c r="L171">
        <v>0</v>
      </c>
      <c r="M171">
        <v>0</v>
      </c>
    </row>
    <row r="172" spans="1:23" x14ac:dyDescent="0.25">
      <c r="A172" s="28" t="s">
        <v>55</v>
      </c>
      <c r="B172" t="s">
        <v>76</v>
      </c>
      <c r="C172" t="s">
        <v>77</v>
      </c>
      <c r="D172" t="s">
        <v>82</v>
      </c>
      <c r="E172" t="s">
        <v>78</v>
      </c>
      <c r="F172" s="71">
        <v>43831</v>
      </c>
      <c r="G172">
        <v>0</v>
      </c>
      <c r="H172" s="3">
        <v>0</v>
      </c>
      <c r="I172" s="3">
        <v>0</v>
      </c>
      <c r="J172" s="3">
        <v>0</v>
      </c>
      <c r="K172">
        <v>0</v>
      </c>
      <c r="L172">
        <v>0</v>
      </c>
    </row>
    <row r="173" spans="1:23" x14ac:dyDescent="0.25">
      <c r="A173" s="28" t="s">
        <v>55</v>
      </c>
      <c r="B173" t="s">
        <v>76</v>
      </c>
      <c r="C173" t="s">
        <v>77</v>
      </c>
      <c r="D173" t="s">
        <v>82</v>
      </c>
      <c r="E173" t="s">
        <v>78</v>
      </c>
      <c r="F173" s="71">
        <v>44197</v>
      </c>
      <c r="G173">
        <v>0</v>
      </c>
      <c r="H173" s="3">
        <v>0</v>
      </c>
      <c r="I173" s="3">
        <v>0</v>
      </c>
      <c r="J173" s="3">
        <v>0</v>
      </c>
      <c r="K173">
        <v>0</v>
      </c>
    </row>
    <row r="174" spans="1:23" x14ac:dyDescent="0.25">
      <c r="A174" s="28" t="s">
        <v>55</v>
      </c>
      <c r="B174" t="s">
        <v>76</v>
      </c>
      <c r="C174" t="s">
        <v>77</v>
      </c>
      <c r="D174" t="s">
        <v>82</v>
      </c>
      <c r="E174" t="s">
        <v>78</v>
      </c>
      <c r="F174" s="71">
        <v>44562</v>
      </c>
      <c r="G174">
        <v>0</v>
      </c>
      <c r="H174" s="3">
        <v>0</v>
      </c>
      <c r="I174" s="3">
        <v>0</v>
      </c>
      <c r="J174" s="3">
        <v>0</v>
      </c>
    </row>
    <row r="175" spans="1:23" x14ac:dyDescent="0.25">
      <c r="A175" s="28" t="s">
        <v>55</v>
      </c>
      <c r="B175" t="s">
        <v>76</v>
      </c>
      <c r="C175" t="s">
        <v>77</v>
      </c>
      <c r="D175" t="s">
        <v>82</v>
      </c>
      <c r="E175" t="s">
        <v>78</v>
      </c>
      <c r="F175" s="71">
        <v>44927</v>
      </c>
      <c r="G175">
        <v>0</v>
      </c>
      <c r="H175" s="3">
        <v>0</v>
      </c>
      <c r="I175" s="3">
        <v>0</v>
      </c>
      <c r="J175" s="3"/>
    </row>
    <row r="176" spans="1:23" x14ac:dyDescent="0.25">
      <c r="A176" s="28" t="s">
        <v>55</v>
      </c>
      <c r="B176" t="s">
        <v>76</v>
      </c>
      <c r="C176" t="s">
        <v>77</v>
      </c>
      <c r="D176" t="s">
        <v>82</v>
      </c>
      <c r="E176" t="s">
        <v>78</v>
      </c>
      <c r="F176" s="71">
        <v>45292</v>
      </c>
      <c r="G176">
        <v>0</v>
      </c>
      <c r="H176" s="3">
        <v>0</v>
      </c>
      <c r="I176" s="3"/>
      <c r="J176" s="3"/>
    </row>
    <row r="177" spans="1:31" x14ac:dyDescent="0.25">
      <c r="A177" s="28" t="s">
        <v>55</v>
      </c>
      <c r="B177" t="s">
        <v>76</v>
      </c>
      <c r="C177" t="s">
        <v>77</v>
      </c>
      <c r="D177" t="s">
        <v>82</v>
      </c>
      <c r="E177" t="s">
        <v>78</v>
      </c>
      <c r="F177" s="71">
        <v>45658</v>
      </c>
      <c r="G177">
        <v>0</v>
      </c>
      <c r="H177" s="3"/>
      <c r="I177" s="3"/>
      <c r="J177" s="3"/>
    </row>
    <row r="178" spans="1:31" x14ac:dyDescent="0.25">
      <c r="A178" s="28" t="s">
        <v>55</v>
      </c>
      <c r="B178" t="s">
        <v>79</v>
      </c>
      <c r="C178" t="s">
        <v>77</v>
      </c>
      <c r="D178" t="s">
        <v>82</v>
      </c>
      <c r="E178" t="s">
        <v>78</v>
      </c>
      <c r="F178" s="71">
        <v>36892</v>
      </c>
      <c r="G178">
        <v>82193.61</v>
      </c>
      <c r="H178" s="3">
        <v>571333.99</v>
      </c>
      <c r="I178" s="3">
        <v>2655006.15</v>
      </c>
      <c r="J178" s="3">
        <v>7029321.6400000006</v>
      </c>
      <c r="K178">
        <v>7597224.7300000004</v>
      </c>
      <c r="L178">
        <v>8451944.2800000012</v>
      </c>
      <c r="M178">
        <v>8536662.2699999996</v>
      </c>
      <c r="N178">
        <v>7691990.0600000015</v>
      </c>
      <c r="O178">
        <v>7729481.7300000004</v>
      </c>
      <c r="P178">
        <v>8122428.7800000012</v>
      </c>
      <c r="Q178">
        <v>7999574.040000001</v>
      </c>
      <c r="R178">
        <v>7886445.8800000008</v>
      </c>
      <c r="S178">
        <v>7869713.3000000007</v>
      </c>
      <c r="T178">
        <v>7841213.3000000007</v>
      </c>
      <c r="U178">
        <v>7841213.3000000007</v>
      </c>
      <c r="V178">
        <v>7841449.5000000009</v>
      </c>
      <c r="W178">
        <v>7841449.5000000009</v>
      </c>
      <c r="X178">
        <v>7841449.5000000009</v>
      </c>
      <c r="Y178">
        <v>7841449.5000000009</v>
      </c>
      <c r="Z178">
        <v>7841449.5000000009</v>
      </c>
      <c r="AA178">
        <v>7851448.5000000009</v>
      </c>
      <c r="AB178">
        <v>7881289.4600000009</v>
      </c>
      <c r="AC178">
        <v>7882849.4600000009</v>
      </c>
      <c r="AD178">
        <v>7870210.0300000003</v>
      </c>
      <c r="AE178">
        <v>8040662.9199999999</v>
      </c>
    </row>
    <row r="179" spans="1:31" x14ac:dyDescent="0.25">
      <c r="A179" s="28" t="s">
        <v>55</v>
      </c>
      <c r="B179" t="s">
        <v>79</v>
      </c>
      <c r="C179" t="s">
        <v>77</v>
      </c>
      <c r="D179" t="s">
        <v>82</v>
      </c>
      <c r="E179" t="s">
        <v>78</v>
      </c>
      <c r="F179" s="71">
        <v>37257</v>
      </c>
      <c r="G179">
        <v>103850</v>
      </c>
      <c r="H179" s="3">
        <v>679809.04999999993</v>
      </c>
      <c r="I179" s="3">
        <v>2567135.5699999998</v>
      </c>
      <c r="J179" s="3">
        <v>3860551.33</v>
      </c>
      <c r="K179">
        <v>4174052.28</v>
      </c>
      <c r="L179">
        <v>4418304.2699999996</v>
      </c>
      <c r="M179">
        <v>5188851.6100000003</v>
      </c>
      <c r="N179">
        <v>5524883.0800000001</v>
      </c>
      <c r="O179">
        <v>5643827.0499999998</v>
      </c>
      <c r="P179">
        <v>5684617.5899999999</v>
      </c>
      <c r="Q179">
        <v>6244478.9299999997</v>
      </c>
      <c r="R179">
        <v>6918561.8599999994</v>
      </c>
      <c r="S179">
        <v>6919618.3599999994</v>
      </c>
      <c r="T179">
        <v>6920217.3599999994</v>
      </c>
      <c r="U179">
        <v>6920217.3599999994</v>
      </c>
      <c r="V179">
        <v>6970317.3599999994</v>
      </c>
      <c r="W179">
        <v>6970317.3599999994</v>
      </c>
      <c r="X179">
        <v>7100273.6399999997</v>
      </c>
      <c r="Y179">
        <v>7100273.6399999997</v>
      </c>
      <c r="Z179">
        <v>7100273.6399999997</v>
      </c>
      <c r="AA179">
        <v>7059121.6899999985</v>
      </c>
      <c r="AB179">
        <v>7059121.6899999985</v>
      </c>
      <c r="AC179">
        <v>7059121.6899999985</v>
      </c>
      <c r="AD179">
        <v>7224675.6600000001</v>
      </c>
    </row>
    <row r="180" spans="1:31" x14ac:dyDescent="0.25">
      <c r="A180" s="28" t="s">
        <v>55</v>
      </c>
      <c r="B180" t="s">
        <v>79</v>
      </c>
      <c r="C180" t="s">
        <v>77</v>
      </c>
      <c r="D180" t="s">
        <v>82</v>
      </c>
      <c r="E180" t="s">
        <v>78</v>
      </c>
      <c r="F180" s="71">
        <v>37622</v>
      </c>
      <c r="G180">
        <v>104520.74</v>
      </c>
      <c r="H180" s="3">
        <v>2613768.48</v>
      </c>
      <c r="I180" s="3">
        <v>4220174.08</v>
      </c>
      <c r="J180" s="3">
        <v>7246642.7499999991</v>
      </c>
      <c r="K180">
        <v>6925224.5599999996</v>
      </c>
      <c r="L180">
        <v>8442849.2400000002</v>
      </c>
      <c r="M180">
        <v>8606808.3300000001</v>
      </c>
      <c r="N180">
        <v>8468757.0099999998</v>
      </c>
      <c r="O180">
        <v>8454817.1300000008</v>
      </c>
      <c r="P180">
        <v>8415297.1300000008</v>
      </c>
      <c r="Q180">
        <v>8406150.6300000008</v>
      </c>
      <c r="R180">
        <v>8407129.6300000008</v>
      </c>
      <c r="S180">
        <v>8407128.6300000008</v>
      </c>
      <c r="T180">
        <v>8407128.6300000008</v>
      </c>
      <c r="U180">
        <v>8407128.6300000008</v>
      </c>
      <c r="V180">
        <v>8407128.6300000008</v>
      </c>
      <c r="W180">
        <v>8407128.6300000008</v>
      </c>
      <c r="X180">
        <v>8407128.6300000008</v>
      </c>
      <c r="Y180">
        <v>8407128.6300000008</v>
      </c>
      <c r="Z180">
        <v>8333806.8800000008</v>
      </c>
      <c r="AA180">
        <v>8333806.8800000008</v>
      </c>
      <c r="AB180">
        <v>8333806.8800000008</v>
      </c>
      <c r="AC180">
        <v>8333806.8800000008</v>
      </c>
    </row>
    <row r="181" spans="1:31" x14ac:dyDescent="0.25">
      <c r="A181" s="28" t="s">
        <v>55</v>
      </c>
      <c r="B181" t="s">
        <v>79</v>
      </c>
      <c r="C181" t="s">
        <v>77</v>
      </c>
      <c r="D181" t="s">
        <v>82</v>
      </c>
      <c r="E181" t="s">
        <v>78</v>
      </c>
      <c r="F181" s="71">
        <v>37987</v>
      </c>
      <c r="G181">
        <v>511178.17</v>
      </c>
      <c r="H181" s="3">
        <v>4545962.84</v>
      </c>
      <c r="I181" s="3">
        <v>8807684.3200000003</v>
      </c>
      <c r="J181" s="3">
        <v>17145348.91</v>
      </c>
      <c r="K181">
        <v>25035163.539999999</v>
      </c>
      <c r="L181">
        <v>28602210.84</v>
      </c>
      <c r="M181">
        <v>31373820.609999999</v>
      </c>
      <c r="N181">
        <v>31352225.609999999</v>
      </c>
      <c r="O181">
        <v>31185129.48</v>
      </c>
      <c r="P181">
        <v>31146466.510000002</v>
      </c>
      <c r="Q181">
        <v>30950568.420000002</v>
      </c>
      <c r="R181">
        <v>30766545.629999999</v>
      </c>
      <c r="S181">
        <v>30765240.989999998</v>
      </c>
      <c r="T181">
        <v>30765240.989999998</v>
      </c>
      <c r="U181">
        <v>30765240.989999998</v>
      </c>
      <c r="V181">
        <v>30765240.989999998</v>
      </c>
      <c r="W181">
        <v>30765240.989999998</v>
      </c>
      <c r="X181">
        <v>30765241.989999998</v>
      </c>
      <c r="Y181">
        <v>30768969.539999999</v>
      </c>
      <c r="Z181">
        <v>30772971.039999999</v>
      </c>
      <c r="AA181">
        <v>30774143.539999999</v>
      </c>
      <c r="AB181">
        <v>30775385.539999999</v>
      </c>
    </row>
    <row r="182" spans="1:31" x14ac:dyDescent="0.25">
      <c r="A182" s="28" t="s">
        <v>55</v>
      </c>
      <c r="B182" t="s">
        <v>79</v>
      </c>
      <c r="C182" t="s">
        <v>77</v>
      </c>
      <c r="D182" t="s">
        <v>82</v>
      </c>
      <c r="E182" t="s">
        <v>78</v>
      </c>
      <c r="F182" s="71">
        <v>38353</v>
      </c>
      <c r="G182">
        <v>676217.64999999991</v>
      </c>
      <c r="H182" s="3">
        <v>9193721.4100000001</v>
      </c>
      <c r="I182" s="3">
        <v>19325309.719999999</v>
      </c>
      <c r="J182" s="3">
        <v>27956807.219999999</v>
      </c>
      <c r="K182">
        <v>43766646.079999998</v>
      </c>
      <c r="L182">
        <v>48815091.709999993</v>
      </c>
      <c r="M182">
        <v>48117767.449999988</v>
      </c>
      <c r="N182">
        <v>47875207.139999993</v>
      </c>
      <c r="O182">
        <v>48718048.659999996</v>
      </c>
      <c r="P182">
        <v>48287856.339999989</v>
      </c>
      <c r="Q182">
        <v>48620820.849999987</v>
      </c>
      <c r="R182">
        <v>48653141.469999991</v>
      </c>
      <c r="S182">
        <v>48394777.339999989</v>
      </c>
      <c r="T182">
        <v>48674246.29999999</v>
      </c>
      <c r="U182">
        <v>48757973.169999987</v>
      </c>
      <c r="V182">
        <v>48703281.169999987</v>
      </c>
      <c r="W182">
        <v>48713190.169999987</v>
      </c>
      <c r="X182">
        <v>48690672.270000003</v>
      </c>
      <c r="Y182">
        <v>48690672.270000011</v>
      </c>
      <c r="Z182">
        <v>48690672.270000011</v>
      </c>
      <c r="AA182">
        <v>48690672.270000011</v>
      </c>
    </row>
    <row r="183" spans="1:31" x14ac:dyDescent="0.25">
      <c r="A183" s="28" t="s">
        <v>55</v>
      </c>
      <c r="B183" t="s">
        <v>79</v>
      </c>
      <c r="C183" t="s">
        <v>77</v>
      </c>
      <c r="D183" t="s">
        <v>82</v>
      </c>
      <c r="E183" t="s">
        <v>78</v>
      </c>
      <c r="F183" s="71">
        <v>38718</v>
      </c>
      <c r="G183">
        <v>494110.65</v>
      </c>
      <c r="H183" s="3">
        <v>3397680.31</v>
      </c>
      <c r="I183" s="3">
        <v>6264094.8499999996</v>
      </c>
      <c r="J183" s="3">
        <v>17378366.66</v>
      </c>
      <c r="K183">
        <v>20780856.02</v>
      </c>
      <c r="L183">
        <v>22037258.25</v>
      </c>
      <c r="M183">
        <v>20948728.600000001</v>
      </c>
      <c r="N183">
        <v>21957849.800000001</v>
      </c>
      <c r="O183">
        <v>22928617.239999998</v>
      </c>
      <c r="P183">
        <v>22843690.489999998</v>
      </c>
      <c r="Q183">
        <v>23441530.390000001</v>
      </c>
      <c r="R183">
        <v>23139013.199999999</v>
      </c>
      <c r="S183">
        <v>23175519.079999998</v>
      </c>
      <c r="T183">
        <v>23702149.460000001</v>
      </c>
      <c r="U183">
        <v>24658892.859999999</v>
      </c>
      <c r="V183">
        <v>24640926.039999999</v>
      </c>
      <c r="W183">
        <v>24689584.82</v>
      </c>
      <c r="X183">
        <v>24658246.82</v>
      </c>
      <c r="Y183">
        <v>24657617.82</v>
      </c>
      <c r="Z183">
        <v>24657616.82</v>
      </c>
    </row>
    <row r="184" spans="1:31" x14ac:dyDescent="0.25">
      <c r="A184" s="28" t="s">
        <v>55</v>
      </c>
      <c r="B184" t="s">
        <v>79</v>
      </c>
      <c r="C184" t="s">
        <v>77</v>
      </c>
      <c r="D184" t="s">
        <v>82</v>
      </c>
      <c r="E184" t="s">
        <v>78</v>
      </c>
      <c r="F184" s="71">
        <v>39083</v>
      </c>
      <c r="G184">
        <v>378636.31000000011</v>
      </c>
      <c r="H184" s="3">
        <v>2722394.48</v>
      </c>
      <c r="I184" s="3">
        <v>11157084.52</v>
      </c>
      <c r="J184" s="3">
        <v>16715478.380000001</v>
      </c>
      <c r="K184">
        <v>20934768.52</v>
      </c>
      <c r="L184">
        <v>24240395.010000002</v>
      </c>
      <c r="M184">
        <v>25789053.16</v>
      </c>
      <c r="N184">
        <v>27010374.93</v>
      </c>
      <c r="O184">
        <v>27263633.390000001</v>
      </c>
      <c r="P184">
        <v>27517142.170000002</v>
      </c>
      <c r="Q184">
        <v>27114467.149999991</v>
      </c>
      <c r="R184">
        <v>27367600.569999989</v>
      </c>
      <c r="S184">
        <v>27344760.18</v>
      </c>
      <c r="T184">
        <v>27356860.179999989</v>
      </c>
      <c r="U184">
        <v>27362541.43</v>
      </c>
      <c r="V184">
        <v>27307131.280000001</v>
      </c>
      <c r="W184">
        <v>27321644.74000001</v>
      </c>
      <c r="X184">
        <v>27928945.100000009</v>
      </c>
      <c r="Y184">
        <v>28257631.29000001</v>
      </c>
    </row>
    <row r="185" spans="1:31" x14ac:dyDescent="0.25">
      <c r="A185" s="28" t="s">
        <v>55</v>
      </c>
      <c r="B185" t="s">
        <v>79</v>
      </c>
      <c r="C185" t="s">
        <v>77</v>
      </c>
      <c r="D185" t="s">
        <v>82</v>
      </c>
      <c r="E185" t="s">
        <v>78</v>
      </c>
      <c r="F185" s="71">
        <v>39448</v>
      </c>
      <c r="G185">
        <v>794147.46</v>
      </c>
      <c r="H185" s="3">
        <v>4831267.07</v>
      </c>
      <c r="I185" s="3">
        <v>9616364.8999999985</v>
      </c>
      <c r="J185" s="3">
        <v>15922715.09</v>
      </c>
      <c r="K185">
        <v>18490226.989999998</v>
      </c>
      <c r="L185">
        <v>19860901.719999999</v>
      </c>
      <c r="M185">
        <v>20952737.800000001</v>
      </c>
      <c r="N185">
        <v>21661073.449999999</v>
      </c>
      <c r="O185">
        <v>21044330.149999999</v>
      </c>
      <c r="P185">
        <v>21049616.920000002</v>
      </c>
      <c r="Q185">
        <v>21063302.32</v>
      </c>
      <c r="R185">
        <v>21300581.629999999</v>
      </c>
      <c r="S185">
        <v>21403967.850000001</v>
      </c>
      <c r="T185">
        <v>21408238.91</v>
      </c>
      <c r="U185">
        <v>21306914.899999999</v>
      </c>
      <c r="V185">
        <v>21327860.93</v>
      </c>
      <c r="W185">
        <v>21327860.93</v>
      </c>
      <c r="X185">
        <v>21328578.93</v>
      </c>
    </row>
    <row r="186" spans="1:31" x14ac:dyDescent="0.25">
      <c r="A186" s="28" t="s">
        <v>55</v>
      </c>
      <c r="B186" t="s">
        <v>79</v>
      </c>
      <c r="C186" t="s">
        <v>77</v>
      </c>
      <c r="D186" t="s">
        <v>82</v>
      </c>
      <c r="E186" t="s">
        <v>78</v>
      </c>
      <c r="F186" s="71">
        <v>39814</v>
      </c>
      <c r="G186">
        <v>528184.37</v>
      </c>
      <c r="H186" s="3">
        <v>3238623.36</v>
      </c>
      <c r="I186" s="3">
        <v>5715477.54</v>
      </c>
      <c r="J186" s="3">
        <v>7743276.5800000001</v>
      </c>
      <c r="K186">
        <v>10307608.92</v>
      </c>
      <c r="L186">
        <v>10023343.76</v>
      </c>
      <c r="M186">
        <v>9678584.75</v>
      </c>
      <c r="N186">
        <v>11072866.67</v>
      </c>
      <c r="O186">
        <v>12270013.74</v>
      </c>
      <c r="P186">
        <v>13920435.33</v>
      </c>
      <c r="Q186">
        <v>13847251.560000001</v>
      </c>
      <c r="R186">
        <v>13643836.51</v>
      </c>
      <c r="S186">
        <v>13695893.01</v>
      </c>
      <c r="T186">
        <v>13923309.439999999</v>
      </c>
      <c r="U186">
        <v>13893124.439999999</v>
      </c>
      <c r="V186">
        <v>13937372.48</v>
      </c>
      <c r="W186">
        <v>14004460.029999999</v>
      </c>
    </row>
    <row r="187" spans="1:31" x14ac:dyDescent="0.25">
      <c r="A187" s="28" t="s">
        <v>55</v>
      </c>
      <c r="B187" t="s">
        <v>79</v>
      </c>
      <c r="C187" t="s">
        <v>77</v>
      </c>
      <c r="D187" t="s">
        <v>82</v>
      </c>
      <c r="E187" t="s">
        <v>78</v>
      </c>
      <c r="F187" s="71">
        <v>40179</v>
      </c>
      <c r="G187">
        <v>453681.5</v>
      </c>
      <c r="H187" s="3">
        <v>2329337.7000000002</v>
      </c>
      <c r="I187" s="3">
        <v>5103599.12</v>
      </c>
      <c r="J187" s="3">
        <v>7784742.96</v>
      </c>
      <c r="K187">
        <v>9097079.959999999</v>
      </c>
      <c r="L187">
        <v>9075417.209999999</v>
      </c>
      <c r="M187">
        <v>9200867.5</v>
      </c>
      <c r="N187">
        <v>9327526.709999999</v>
      </c>
      <c r="O187">
        <v>9766571.5199999996</v>
      </c>
      <c r="P187">
        <v>9396541.3099999987</v>
      </c>
      <c r="Q187">
        <v>9427891.0999999996</v>
      </c>
      <c r="R187">
        <v>9465218.3000000007</v>
      </c>
      <c r="S187">
        <v>9451767.8900000006</v>
      </c>
      <c r="T187">
        <v>14044975.210000001</v>
      </c>
      <c r="U187">
        <v>14034547.710000001</v>
      </c>
      <c r="V187">
        <v>14034545.710000001</v>
      </c>
    </row>
    <row r="188" spans="1:31" x14ac:dyDescent="0.25">
      <c r="A188" s="28" t="s">
        <v>55</v>
      </c>
      <c r="B188" t="s">
        <v>79</v>
      </c>
      <c r="C188" t="s">
        <v>77</v>
      </c>
      <c r="D188" t="s">
        <v>82</v>
      </c>
      <c r="E188" t="s">
        <v>78</v>
      </c>
      <c r="F188" s="71">
        <v>40544</v>
      </c>
      <c r="G188">
        <v>244536.93</v>
      </c>
      <c r="H188" s="3">
        <v>1849495.5</v>
      </c>
      <c r="I188" s="3">
        <v>5060826.55</v>
      </c>
      <c r="J188" s="3">
        <v>9077816.9399999995</v>
      </c>
      <c r="K188">
        <v>10634867.08</v>
      </c>
      <c r="L188">
        <v>11683529.51</v>
      </c>
      <c r="M188">
        <v>11922572.060000001</v>
      </c>
      <c r="N188">
        <v>12042058.359999999</v>
      </c>
      <c r="O188">
        <v>12097490.640000001</v>
      </c>
      <c r="P188">
        <v>12114928.91</v>
      </c>
      <c r="Q188">
        <v>12289033.77</v>
      </c>
      <c r="R188">
        <v>14196766.43</v>
      </c>
      <c r="S188">
        <v>14216578.800000001</v>
      </c>
      <c r="T188">
        <v>13824825.800000001</v>
      </c>
      <c r="U188">
        <v>13683431.67</v>
      </c>
    </row>
    <row r="189" spans="1:31" x14ac:dyDescent="0.25">
      <c r="A189" s="28" t="s">
        <v>55</v>
      </c>
      <c r="B189" t="s">
        <v>79</v>
      </c>
      <c r="C189" t="s">
        <v>77</v>
      </c>
      <c r="D189" t="s">
        <v>82</v>
      </c>
      <c r="E189" t="s">
        <v>78</v>
      </c>
      <c r="F189" s="71">
        <v>40909</v>
      </c>
      <c r="G189">
        <v>183696.37</v>
      </c>
      <c r="H189" s="3">
        <v>1521375.15</v>
      </c>
      <c r="I189" s="3">
        <v>4960750.2699999996</v>
      </c>
      <c r="J189" s="3">
        <v>6645716.1400000006</v>
      </c>
      <c r="K189">
        <v>7419751.4800000004</v>
      </c>
      <c r="L189">
        <v>7591870.3000000007</v>
      </c>
      <c r="M189">
        <v>8618179.8499999996</v>
      </c>
      <c r="N189">
        <v>9005558.2100000009</v>
      </c>
      <c r="O189">
        <v>9649741.9900000002</v>
      </c>
      <c r="P189">
        <v>9701642.4299999997</v>
      </c>
      <c r="Q189">
        <v>9743642.4299999997</v>
      </c>
      <c r="R189">
        <v>9782236.1199999992</v>
      </c>
      <c r="S189">
        <v>9916024.6099999994</v>
      </c>
      <c r="T189">
        <v>10168024.58</v>
      </c>
    </row>
    <row r="190" spans="1:31" x14ac:dyDescent="0.25">
      <c r="A190" s="28" t="s">
        <v>55</v>
      </c>
      <c r="B190" t="s">
        <v>79</v>
      </c>
      <c r="C190" t="s">
        <v>77</v>
      </c>
      <c r="D190" t="s">
        <v>82</v>
      </c>
      <c r="E190" t="s">
        <v>78</v>
      </c>
      <c r="F190" s="71">
        <v>41275</v>
      </c>
      <c r="G190">
        <v>210324.08</v>
      </c>
      <c r="H190" s="3">
        <v>2929817.22</v>
      </c>
      <c r="I190" s="3">
        <v>6524119.7400000002</v>
      </c>
      <c r="J190" s="3">
        <v>9584088.6799999978</v>
      </c>
      <c r="K190">
        <v>12694524.58</v>
      </c>
      <c r="L190">
        <v>13564736.380000001</v>
      </c>
      <c r="M190">
        <v>14303859.16</v>
      </c>
      <c r="N190">
        <v>14425000.720000001</v>
      </c>
      <c r="O190">
        <v>14437591.1</v>
      </c>
      <c r="P190">
        <v>14173969.09</v>
      </c>
      <c r="Q190">
        <v>14185372.279999999</v>
      </c>
      <c r="R190">
        <v>14171283.08</v>
      </c>
      <c r="S190">
        <v>14182133.960000001</v>
      </c>
    </row>
    <row r="191" spans="1:31" x14ac:dyDescent="0.25">
      <c r="A191" s="28" t="s">
        <v>55</v>
      </c>
      <c r="B191" t="s">
        <v>79</v>
      </c>
      <c r="C191" t="s">
        <v>77</v>
      </c>
      <c r="D191" t="s">
        <v>82</v>
      </c>
      <c r="E191" t="s">
        <v>78</v>
      </c>
      <c r="F191" s="71">
        <v>41640</v>
      </c>
      <c r="G191">
        <v>488080.94</v>
      </c>
      <c r="H191" s="3">
        <v>3988717.1400000011</v>
      </c>
      <c r="I191" s="3">
        <v>7732861.8699999992</v>
      </c>
      <c r="J191" s="3">
        <v>10979420.880000001</v>
      </c>
      <c r="K191">
        <v>12286663.26</v>
      </c>
      <c r="L191">
        <v>14379263.74</v>
      </c>
      <c r="M191">
        <v>15970371.619999999</v>
      </c>
      <c r="N191">
        <v>16915819.800000001</v>
      </c>
      <c r="O191">
        <v>17861355.59</v>
      </c>
      <c r="P191">
        <v>17691165.66</v>
      </c>
      <c r="Q191">
        <v>17632704.68</v>
      </c>
      <c r="R191">
        <v>17871325.640000001</v>
      </c>
    </row>
    <row r="192" spans="1:31" x14ac:dyDescent="0.25">
      <c r="A192" s="28" t="s">
        <v>55</v>
      </c>
      <c r="B192" t="s">
        <v>79</v>
      </c>
      <c r="C192" t="s">
        <v>77</v>
      </c>
      <c r="D192" t="s">
        <v>82</v>
      </c>
      <c r="E192" t="s">
        <v>78</v>
      </c>
      <c r="F192" s="71">
        <v>42005</v>
      </c>
      <c r="G192">
        <v>426047.8</v>
      </c>
      <c r="H192" s="3">
        <v>4574783.75</v>
      </c>
      <c r="I192" s="3">
        <v>11134380.75</v>
      </c>
      <c r="J192" s="3">
        <v>18295840.629999999</v>
      </c>
      <c r="K192">
        <v>25349568.48</v>
      </c>
      <c r="L192">
        <v>28437273.68</v>
      </c>
      <c r="M192">
        <v>29143867.25</v>
      </c>
      <c r="N192">
        <v>30721007.059999999</v>
      </c>
      <c r="O192">
        <v>31505457.440000001</v>
      </c>
      <c r="P192">
        <v>31382184.620000001</v>
      </c>
      <c r="Q192">
        <v>32207671.080000009</v>
      </c>
    </row>
    <row r="193" spans="1:31" x14ac:dyDescent="0.25">
      <c r="A193" s="28" t="s">
        <v>55</v>
      </c>
      <c r="B193" t="s">
        <v>79</v>
      </c>
      <c r="C193" t="s">
        <v>77</v>
      </c>
      <c r="D193" t="s">
        <v>82</v>
      </c>
      <c r="E193" t="s">
        <v>78</v>
      </c>
      <c r="F193" s="71">
        <v>42370</v>
      </c>
      <c r="G193">
        <v>946702.03</v>
      </c>
      <c r="H193" s="3">
        <v>5240124.34</v>
      </c>
      <c r="I193" s="3">
        <v>9595458.5</v>
      </c>
      <c r="J193" s="3">
        <v>19465276.550000001</v>
      </c>
      <c r="K193">
        <v>23348772.870000001</v>
      </c>
      <c r="L193">
        <v>26778603.949999999</v>
      </c>
      <c r="M193">
        <v>30114454.97000001</v>
      </c>
      <c r="N193">
        <v>31396667.84</v>
      </c>
      <c r="O193">
        <v>32661135.989999998</v>
      </c>
      <c r="P193">
        <v>34951859.770000003</v>
      </c>
    </row>
    <row r="194" spans="1:31" x14ac:dyDescent="0.25">
      <c r="A194" s="28" t="s">
        <v>55</v>
      </c>
      <c r="B194" t="s">
        <v>79</v>
      </c>
      <c r="C194" t="s">
        <v>77</v>
      </c>
      <c r="D194" t="s">
        <v>82</v>
      </c>
      <c r="E194" t="s">
        <v>78</v>
      </c>
      <c r="F194" s="71">
        <v>42736</v>
      </c>
      <c r="G194">
        <v>841792.77999999991</v>
      </c>
      <c r="H194" s="3">
        <v>7623961.6099999994</v>
      </c>
      <c r="I194" s="3">
        <v>16402691.73547578</v>
      </c>
      <c r="J194" s="3">
        <v>30561412.460000008</v>
      </c>
      <c r="K194">
        <v>39630840.389999993</v>
      </c>
      <c r="L194">
        <v>48937407.509999998</v>
      </c>
      <c r="M194">
        <v>55004436.069999993</v>
      </c>
      <c r="N194">
        <v>55866223.799999997</v>
      </c>
      <c r="O194">
        <v>58468399.949999988</v>
      </c>
    </row>
    <row r="195" spans="1:31" x14ac:dyDescent="0.25">
      <c r="A195" s="28" t="s">
        <v>55</v>
      </c>
      <c r="B195" t="s">
        <v>79</v>
      </c>
      <c r="C195" t="s">
        <v>77</v>
      </c>
      <c r="D195" t="s">
        <v>82</v>
      </c>
      <c r="E195" t="s">
        <v>78</v>
      </c>
      <c r="F195" s="71">
        <v>43101</v>
      </c>
      <c r="G195">
        <v>1276328.05</v>
      </c>
      <c r="H195" s="3">
        <v>16314211.19601188</v>
      </c>
      <c r="I195" s="3">
        <v>32854267.260000002</v>
      </c>
      <c r="J195" s="3">
        <v>47309499.840000004</v>
      </c>
      <c r="K195">
        <v>61944412.479999982</v>
      </c>
      <c r="L195">
        <v>74156466.269999996</v>
      </c>
      <c r="M195">
        <v>82579024.289999992</v>
      </c>
      <c r="N195">
        <v>89884487.599999994</v>
      </c>
    </row>
    <row r="196" spans="1:31" x14ac:dyDescent="0.25">
      <c r="A196" s="28" t="s">
        <v>55</v>
      </c>
      <c r="B196" t="s">
        <v>79</v>
      </c>
      <c r="C196" t="s">
        <v>77</v>
      </c>
      <c r="D196" t="s">
        <v>82</v>
      </c>
      <c r="E196" t="s">
        <v>78</v>
      </c>
      <c r="F196" s="71">
        <v>43466</v>
      </c>
      <c r="G196">
        <v>1886797.5440123449</v>
      </c>
      <c r="H196" s="3">
        <v>18370247.550000001</v>
      </c>
      <c r="I196" s="3">
        <v>37902352.669999987</v>
      </c>
      <c r="J196" s="3">
        <v>60393914.130000003</v>
      </c>
      <c r="K196">
        <v>86519731.899999991</v>
      </c>
      <c r="L196">
        <v>107987165.48</v>
      </c>
      <c r="M196">
        <v>121566838.75</v>
      </c>
    </row>
    <row r="197" spans="1:31" x14ac:dyDescent="0.25">
      <c r="A197" s="28" t="s">
        <v>55</v>
      </c>
      <c r="B197" t="s">
        <v>79</v>
      </c>
      <c r="C197" t="s">
        <v>77</v>
      </c>
      <c r="D197" t="s">
        <v>82</v>
      </c>
      <c r="E197" t="s">
        <v>78</v>
      </c>
      <c r="F197" s="71">
        <v>43831</v>
      </c>
      <c r="G197">
        <v>2063962.04</v>
      </c>
      <c r="H197" s="3">
        <v>15458820.25</v>
      </c>
      <c r="I197" s="3">
        <v>34164600.270000003</v>
      </c>
      <c r="J197" s="3">
        <v>63424750.969999999</v>
      </c>
      <c r="K197">
        <v>93007337.700000003</v>
      </c>
      <c r="L197">
        <v>113239246.94</v>
      </c>
    </row>
    <row r="198" spans="1:31" x14ac:dyDescent="0.25">
      <c r="A198" s="28" t="s">
        <v>55</v>
      </c>
      <c r="B198" t="s">
        <v>79</v>
      </c>
      <c r="C198" t="s">
        <v>77</v>
      </c>
      <c r="D198" t="s">
        <v>82</v>
      </c>
      <c r="E198" t="s">
        <v>78</v>
      </c>
      <c r="F198" s="71">
        <v>44197</v>
      </c>
      <c r="G198">
        <v>2414244.63</v>
      </c>
      <c r="H198" s="3">
        <v>18416556.82</v>
      </c>
      <c r="I198" s="3">
        <v>51775066.450000018</v>
      </c>
      <c r="J198" s="3">
        <v>95387855.520000011</v>
      </c>
      <c r="K198">
        <v>140980790.52000001</v>
      </c>
    </row>
    <row r="199" spans="1:31" x14ac:dyDescent="0.25">
      <c r="A199" s="28" t="s">
        <v>55</v>
      </c>
      <c r="B199" t="s">
        <v>79</v>
      </c>
      <c r="C199" t="s">
        <v>77</v>
      </c>
      <c r="D199" t="s">
        <v>82</v>
      </c>
      <c r="E199" t="s">
        <v>78</v>
      </c>
      <c r="F199" s="71">
        <v>44562</v>
      </c>
      <c r="G199">
        <v>2843816.56</v>
      </c>
      <c r="H199" s="3">
        <v>31723679.690000001</v>
      </c>
      <c r="I199" s="3">
        <v>84208159.049999997</v>
      </c>
      <c r="J199" s="3">
        <v>148960274.99000001</v>
      </c>
    </row>
    <row r="200" spans="1:31" x14ac:dyDescent="0.25">
      <c r="A200" s="28" t="s">
        <v>55</v>
      </c>
      <c r="B200" t="s">
        <v>79</v>
      </c>
      <c r="C200" t="s">
        <v>77</v>
      </c>
      <c r="D200" t="s">
        <v>82</v>
      </c>
      <c r="E200" t="s">
        <v>78</v>
      </c>
      <c r="F200" s="71">
        <v>44927</v>
      </c>
      <c r="G200">
        <v>2992623.1800000011</v>
      </c>
      <c r="H200" s="3">
        <v>39270135.400000013</v>
      </c>
      <c r="I200" s="3">
        <v>95707323.039999992</v>
      </c>
      <c r="J200" s="3"/>
    </row>
    <row r="201" spans="1:31" x14ac:dyDescent="0.25">
      <c r="A201" s="28" t="s">
        <v>55</v>
      </c>
      <c r="B201" t="s">
        <v>79</v>
      </c>
      <c r="C201" t="s">
        <v>77</v>
      </c>
      <c r="D201" t="s">
        <v>82</v>
      </c>
      <c r="E201" t="s">
        <v>78</v>
      </c>
      <c r="F201" s="71">
        <v>45292</v>
      </c>
      <c r="G201">
        <v>4931479.6300000008</v>
      </c>
      <c r="H201" s="3">
        <v>37946521.080000013</v>
      </c>
      <c r="I201" s="3"/>
      <c r="J201" s="3"/>
    </row>
    <row r="202" spans="1:31" x14ac:dyDescent="0.25">
      <c r="A202" s="28" t="s">
        <v>55</v>
      </c>
      <c r="B202" t="s">
        <v>79</v>
      </c>
      <c r="C202" t="s">
        <v>77</v>
      </c>
      <c r="D202" t="s">
        <v>82</v>
      </c>
      <c r="E202" t="s">
        <v>78</v>
      </c>
      <c r="F202" s="71">
        <v>45658</v>
      </c>
      <c r="G202">
        <v>4113154.6700000009</v>
      </c>
      <c r="H202" s="3"/>
      <c r="I202" s="3"/>
      <c r="J202" s="3"/>
    </row>
    <row r="203" spans="1:31" x14ac:dyDescent="0.25">
      <c r="A203" s="28" t="s">
        <v>55</v>
      </c>
      <c r="B203" t="s">
        <v>80</v>
      </c>
      <c r="C203" t="s">
        <v>77</v>
      </c>
      <c r="D203" t="s">
        <v>82</v>
      </c>
      <c r="E203" t="s">
        <v>78</v>
      </c>
      <c r="F203" s="71">
        <v>36892</v>
      </c>
      <c r="G203">
        <v>10243.61</v>
      </c>
      <c r="H203" s="3">
        <v>281358.88</v>
      </c>
      <c r="I203" s="3">
        <v>1033618.96</v>
      </c>
      <c r="J203" s="3">
        <v>3385796.53</v>
      </c>
      <c r="K203">
        <v>6348889.0800000001</v>
      </c>
      <c r="L203">
        <v>6853686.1100000013</v>
      </c>
      <c r="M203">
        <v>7063637.8500000006</v>
      </c>
      <c r="N203">
        <v>7341449.4400000004</v>
      </c>
      <c r="O203">
        <v>7373592.0500000007</v>
      </c>
      <c r="P203">
        <v>7764156.0600000015</v>
      </c>
      <c r="Q203">
        <v>7793454.8800000008</v>
      </c>
      <c r="R203">
        <v>7838695.8800000008</v>
      </c>
      <c r="S203">
        <v>7841212.3000000007</v>
      </c>
      <c r="T203">
        <v>7841212.3000000007</v>
      </c>
      <c r="U203">
        <v>7841212.3000000007</v>
      </c>
      <c r="V203">
        <v>7841447.5000000009</v>
      </c>
      <c r="W203">
        <v>7841447.5000000009</v>
      </c>
      <c r="X203">
        <v>7841447.5000000009</v>
      </c>
      <c r="Y203">
        <v>7841447.5000000009</v>
      </c>
      <c r="Z203">
        <v>7841447.5000000009</v>
      </c>
      <c r="AA203">
        <v>7841447.5000000009</v>
      </c>
      <c r="AB203">
        <v>7861775.7699999996</v>
      </c>
      <c r="AC203">
        <v>7870210.0300000003</v>
      </c>
      <c r="AD203">
        <v>7870210.0300000003</v>
      </c>
      <c r="AE203">
        <v>8040662.9199999999</v>
      </c>
    </row>
    <row r="204" spans="1:31" x14ac:dyDescent="0.25">
      <c r="A204" s="28" t="s">
        <v>55</v>
      </c>
      <c r="B204" t="s">
        <v>80</v>
      </c>
      <c r="C204" t="s">
        <v>77</v>
      </c>
      <c r="D204" t="s">
        <v>82</v>
      </c>
      <c r="E204" t="s">
        <v>78</v>
      </c>
      <c r="F204" s="71">
        <v>37257</v>
      </c>
      <c r="G204">
        <v>39884.57</v>
      </c>
      <c r="H204" s="3">
        <v>196452.39</v>
      </c>
      <c r="I204" s="3">
        <v>833236.41</v>
      </c>
      <c r="J204" s="3">
        <v>1815381.18</v>
      </c>
      <c r="K204">
        <v>2994808.7</v>
      </c>
      <c r="L204">
        <v>3248280.5299999989</v>
      </c>
      <c r="M204">
        <v>4611029.24</v>
      </c>
      <c r="N204">
        <v>5130800.13</v>
      </c>
      <c r="O204">
        <v>5555911.5800000001</v>
      </c>
      <c r="P204">
        <v>5588898.8699999992</v>
      </c>
      <c r="Q204">
        <v>5675963.5599999996</v>
      </c>
      <c r="R204">
        <v>6918561.8599999994</v>
      </c>
      <c r="S204">
        <v>6919517.3599999994</v>
      </c>
      <c r="T204">
        <v>6920217.3599999994</v>
      </c>
      <c r="U204">
        <v>6920217.3599999994</v>
      </c>
      <c r="V204">
        <v>6920976.3599999994</v>
      </c>
      <c r="W204">
        <v>6920976.3599999994</v>
      </c>
      <c r="X204">
        <v>7100273.6399999997</v>
      </c>
      <c r="Y204">
        <v>7100273.6399999997</v>
      </c>
      <c r="Z204">
        <v>7100273.6399999997</v>
      </c>
      <c r="AA204">
        <v>7059121.6899999985</v>
      </c>
      <c r="AB204">
        <v>7059121.6899999985</v>
      </c>
      <c r="AC204">
        <v>7059121.6899999985</v>
      </c>
      <c r="AD204">
        <v>7224675.6600000001</v>
      </c>
    </row>
    <row r="205" spans="1:31" x14ac:dyDescent="0.25">
      <c r="A205" s="28" t="s">
        <v>55</v>
      </c>
      <c r="B205" t="s">
        <v>80</v>
      </c>
      <c r="C205" t="s">
        <v>77</v>
      </c>
      <c r="D205" t="s">
        <v>82</v>
      </c>
      <c r="E205" t="s">
        <v>78</v>
      </c>
      <c r="F205" s="71">
        <v>37622</v>
      </c>
      <c r="G205">
        <v>8979.34</v>
      </c>
      <c r="H205" s="3">
        <v>222694.34</v>
      </c>
      <c r="I205" s="3">
        <v>977053.8600000001</v>
      </c>
      <c r="J205" s="3">
        <v>2334950.7999999998</v>
      </c>
      <c r="K205">
        <v>4047072.0899999989</v>
      </c>
      <c r="L205">
        <v>7272036.5199999996</v>
      </c>
      <c r="M205">
        <v>7605168.2100000009</v>
      </c>
      <c r="N205">
        <v>8368708.5099999998</v>
      </c>
      <c r="O205">
        <v>8379697.6300000008</v>
      </c>
      <c r="P205">
        <v>8400907.6300000008</v>
      </c>
      <c r="Q205">
        <v>8402128.6300000008</v>
      </c>
      <c r="R205">
        <v>8402128.6300000008</v>
      </c>
      <c r="S205">
        <v>8407128.6300000008</v>
      </c>
      <c r="T205">
        <v>8407128.6300000008</v>
      </c>
      <c r="U205">
        <v>8407128.6300000008</v>
      </c>
      <c r="V205">
        <v>8407128.6300000008</v>
      </c>
      <c r="W205">
        <v>8407128.6300000008</v>
      </c>
      <c r="X205">
        <v>8407128.6300000008</v>
      </c>
      <c r="Y205">
        <v>8407128.6300000008</v>
      </c>
      <c r="Z205">
        <v>8333806.8800000008</v>
      </c>
      <c r="AA205">
        <v>8333806.8800000008</v>
      </c>
      <c r="AB205">
        <v>8333806.8800000008</v>
      </c>
      <c r="AC205">
        <v>8333806.8800000008</v>
      </c>
    </row>
    <row r="206" spans="1:31" x14ac:dyDescent="0.25">
      <c r="A206" s="28" t="s">
        <v>55</v>
      </c>
      <c r="B206" t="s">
        <v>80</v>
      </c>
      <c r="C206" t="s">
        <v>77</v>
      </c>
      <c r="D206" t="s">
        <v>82</v>
      </c>
      <c r="E206" t="s">
        <v>78</v>
      </c>
      <c r="F206" s="71">
        <v>37987</v>
      </c>
      <c r="G206">
        <v>16523.32</v>
      </c>
      <c r="H206" s="3">
        <v>944119.23</v>
      </c>
      <c r="I206" s="3">
        <v>3512907</v>
      </c>
      <c r="J206" s="3">
        <v>10273618.300000001</v>
      </c>
      <c r="K206">
        <v>18797035</v>
      </c>
      <c r="L206">
        <v>24911685.16</v>
      </c>
      <c r="M206">
        <v>27945040.84</v>
      </c>
      <c r="N206">
        <v>29823838.77</v>
      </c>
      <c r="O206">
        <v>30682081.640000001</v>
      </c>
      <c r="P206">
        <v>30684633.580000009</v>
      </c>
      <c r="Q206">
        <v>30708465.760000009</v>
      </c>
      <c r="R206">
        <v>30747470.65000001</v>
      </c>
      <c r="S206">
        <v>30765240.989999998</v>
      </c>
      <c r="T206">
        <v>30765240.989999998</v>
      </c>
      <c r="U206">
        <v>30765240.989999998</v>
      </c>
      <c r="V206">
        <v>30765240.989999998</v>
      </c>
      <c r="W206">
        <v>30765240.989999998</v>
      </c>
      <c r="X206">
        <v>30765240.989999998</v>
      </c>
      <c r="Y206">
        <v>30759246.539999999</v>
      </c>
      <c r="Z206">
        <v>30770563.539999999</v>
      </c>
      <c r="AA206">
        <v>30774143.539999999</v>
      </c>
      <c r="AB206">
        <v>30775385.539999999</v>
      </c>
    </row>
    <row r="207" spans="1:31" x14ac:dyDescent="0.25">
      <c r="A207" s="28" t="s">
        <v>55</v>
      </c>
      <c r="B207" t="s">
        <v>80</v>
      </c>
      <c r="C207" t="s">
        <v>77</v>
      </c>
      <c r="D207" t="s">
        <v>82</v>
      </c>
      <c r="E207" t="s">
        <v>78</v>
      </c>
      <c r="F207" s="71">
        <v>38353</v>
      </c>
      <c r="G207">
        <v>45357.62</v>
      </c>
      <c r="H207" s="3">
        <v>1648177.11</v>
      </c>
      <c r="I207" s="3">
        <v>6258399.7699999996</v>
      </c>
      <c r="J207" s="3">
        <v>16818468.010000002</v>
      </c>
      <c r="K207">
        <v>35472729.539999992</v>
      </c>
      <c r="L207">
        <v>43168799.82</v>
      </c>
      <c r="M207">
        <v>46290403.75999999</v>
      </c>
      <c r="N207">
        <v>46687579.159999996</v>
      </c>
      <c r="O207">
        <v>47830927.789999992</v>
      </c>
      <c r="P207">
        <v>47926924.75999999</v>
      </c>
      <c r="Q207">
        <v>47972735.43999999</v>
      </c>
      <c r="R207">
        <v>48030025.209999993</v>
      </c>
      <c r="S207">
        <v>48054564.659999989</v>
      </c>
      <c r="T207">
        <v>48078619.159999989</v>
      </c>
      <c r="U207">
        <v>48080441.029999986</v>
      </c>
      <c r="V207">
        <v>48087849.029999986</v>
      </c>
      <c r="W207">
        <v>48117739.130000003</v>
      </c>
      <c r="X207">
        <v>48095239.130000003</v>
      </c>
      <c r="Y207">
        <v>48095239.13000001</v>
      </c>
      <c r="Z207">
        <v>48095239.13000001</v>
      </c>
      <c r="AA207">
        <v>48095239.13000001</v>
      </c>
    </row>
    <row r="208" spans="1:31" x14ac:dyDescent="0.25">
      <c r="A208" s="28" t="s">
        <v>55</v>
      </c>
      <c r="B208" t="s">
        <v>80</v>
      </c>
      <c r="C208" t="s">
        <v>77</v>
      </c>
      <c r="D208" t="s">
        <v>82</v>
      </c>
      <c r="E208" t="s">
        <v>78</v>
      </c>
      <c r="F208" s="71">
        <v>38718</v>
      </c>
      <c r="G208">
        <v>25240.03</v>
      </c>
      <c r="H208" s="3">
        <v>760337.52</v>
      </c>
      <c r="I208" s="3">
        <v>2689411.94</v>
      </c>
      <c r="J208" s="3">
        <v>8850721.879999999</v>
      </c>
      <c r="K208">
        <v>14475058.609999999</v>
      </c>
      <c r="L208">
        <v>18187156.75</v>
      </c>
      <c r="M208">
        <v>19005818.530000001</v>
      </c>
      <c r="N208">
        <v>19937988.940000001</v>
      </c>
      <c r="O208">
        <v>20909953.510000002</v>
      </c>
      <c r="P208">
        <v>21581951.649999999</v>
      </c>
      <c r="Q208">
        <v>22334909.550000001</v>
      </c>
      <c r="R208">
        <v>22551378.199999999</v>
      </c>
      <c r="S208">
        <v>22675222.079999998</v>
      </c>
      <c r="T208">
        <v>23379820.460000001</v>
      </c>
      <c r="U208">
        <v>24135375.609999999</v>
      </c>
      <c r="V208">
        <v>24212594.039999999</v>
      </c>
      <c r="W208">
        <v>24375242.82</v>
      </c>
      <c r="X208">
        <v>24385168.82</v>
      </c>
      <c r="Y208">
        <v>24385288.82</v>
      </c>
      <c r="Z208">
        <v>24385288.82</v>
      </c>
    </row>
    <row r="209" spans="1:26" x14ac:dyDescent="0.25">
      <c r="A209" s="28" t="s">
        <v>55</v>
      </c>
      <c r="B209" t="s">
        <v>80</v>
      </c>
      <c r="C209" t="s">
        <v>77</v>
      </c>
      <c r="D209" t="s">
        <v>82</v>
      </c>
      <c r="E209" t="s">
        <v>78</v>
      </c>
      <c r="F209" s="71">
        <v>39083</v>
      </c>
      <c r="G209">
        <v>44724.95</v>
      </c>
      <c r="H209" s="3">
        <v>872141.48</v>
      </c>
      <c r="I209" s="3">
        <v>3652389.48</v>
      </c>
      <c r="J209" s="3">
        <v>10188003.9</v>
      </c>
      <c r="K209">
        <v>13861091.48</v>
      </c>
      <c r="L209">
        <v>19177644.239999998</v>
      </c>
      <c r="M209">
        <v>22650504.309999999</v>
      </c>
      <c r="N209">
        <v>25112844.91</v>
      </c>
      <c r="O209">
        <v>25481381.129999999</v>
      </c>
      <c r="P209">
        <v>25936064.600000001</v>
      </c>
      <c r="Q209">
        <v>26009870.210000001</v>
      </c>
      <c r="R209">
        <v>27072873.319999989</v>
      </c>
      <c r="S209">
        <v>27143113.18</v>
      </c>
      <c r="T209">
        <v>27155213.179999989</v>
      </c>
      <c r="U209">
        <v>27160893.43</v>
      </c>
      <c r="V209">
        <v>27105484.280000001</v>
      </c>
      <c r="W209">
        <v>27119997.74000001</v>
      </c>
      <c r="X209">
        <v>27205772.25</v>
      </c>
      <c r="Y209">
        <v>27806585.140000001</v>
      </c>
    </row>
    <row r="210" spans="1:26" x14ac:dyDescent="0.25">
      <c r="A210" s="28" t="s">
        <v>55</v>
      </c>
      <c r="B210" t="s">
        <v>80</v>
      </c>
      <c r="C210" t="s">
        <v>77</v>
      </c>
      <c r="D210" t="s">
        <v>82</v>
      </c>
      <c r="E210" t="s">
        <v>78</v>
      </c>
      <c r="F210" s="71">
        <v>39448</v>
      </c>
      <c r="G210">
        <v>96068.78</v>
      </c>
      <c r="H210" s="3">
        <v>1383984.84</v>
      </c>
      <c r="I210" s="3">
        <v>3481721.24</v>
      </c>
      <c r="J210" s="3">
        <v>7172805.7300000004</v>
      </c>
      <c r="K210">
        <v>13631885.26</v>
      </c>
      <c r="L210">
        <v>15934608.27</v>
      </c>
      <c r="M210">
        <v>18366418.780000001</v>
      </c>
      <c r="N210">
        <v>19848566.469999999</v>
      </c>
      <c r="O210">
        <v>19973538.41</v>
      </c>
      <c r="P210">
        <v>21014239.18</v>
      </c>
      <c r="Q210">
        <v>21025783.32</v>
      </c>
      <c r="R210">
        <v>21194325.629999999</v>
      </c>
      <c r="S210">
        <v>21197821.850000001</v>
      </c>
      <c r="T210">
        <v>21203931.91</v>
      </c>
      <c r="U210">
        <v>21250759.899999999</v>
      </c>
      <c r="V210">
        <v>21271706.93</v>
      </c>
      <c r="W210">
        <v>21271706.93</v>
      </c>
      <c r="X210">
        <v>21272419.93</v>
      </c>
    </row>
    <row r="211" spans="1:26" x14ac:dyDescent="0.25">
      <c r="A211" s="28" t="s">
        <v>55</v>
      </c>
      <c r="B211" t="s">
        <v>80</v>
      </c>
      <c r="C211" t="s">
        <v>77</v>
      </c>
      <c r="D211" t="s">
        <v>82</v>
      </c>
      <c r="E211" t="s">
        <v>78</v>
      </c>
      <c r="F211" s="71">
        <v>39814</v>
      </c>
      <c r="G211">
        <v>33254.600000000013</v>
      </c>
      <c r="H211" s="3">
        <v>1350203.57</v>
      </c>
      <c r="I211" s="3">
        <v>3333382.39</v>
      </c>
      <c r="J211" s="3">
        <v>4860747.5199999996</v>
      </c>
      <c r="K211">
        <v>6858880.1699999999</v>
      </c>
      <c r="L211">
        <v>8325012.9400000004</v>
      </c>
      <c r="M211">
        <v>8655320.7200000007</v>
      </c>
      <c r="N211">
        <v>10397864.67</v>
      </c>
      <c r="O211">
        <v>12026170.74</v>
      </c>
      <c r="P211">
        <v>13402469.85</v>
      </c>
      <c r="Q211">
        <v>13536182.560000001</v>
      </c>
      <c r="R211">
        <v>13350265.51</v>
      </c>
      <c r="S211">
        <v>13355322.01</v>
      </c>
      <c r="T211">
        <v>13698738.439999999</v>
      </c>
      <c r="U211">
        <v>13712787.939999999</v>
      </c>
      <c r="V211">
        <v>13757034.98</v>
      </c>
      <c r="W211">
        <v>13824122.529999999</v>
      </c>
    </row>
    <row r="212" spans="1:26" x14ac:dyDescent="0.25">
      <c r="A212" s="28" t="s">
        <v>55</v>
      </c>
      <c r="B212" t="s">
        <v>80</v>
      </c>
      <c r="C212" t="s">
        <v>77</v>
      </c>
      <c r="D212" t="s">
        <v>82</v>
      </c>
      <c r="E212" t="s">
        <v>78</v>
      </c>
      <c r="F212" s="71">
        <v>40179</v>
      </c>
      <c r="G212" s="12">
        <v>23851.43</v>
      </c>
      <c r="H212" s="12">
        <v>614666.00999999989</v>
      </c>
      <c r="I212" s="12">
        <v>1688714.99</v>
      </c>
      <c r="J212" s="12">
        <v>4270352.2000000011</v>
      </c>
      <c r="K212" s="12">
        <v>6504682.620000001</v>
      </c>
      <c r="L212" s="12">
        <v>7179220.6500000004</v>
      </c>
      <c r="M212" s="12">
        <v>8874505.7300000004</v>
      </c>
      <c r="N212" s="12">
        <v>9012857.6500000004</v>
      </c>
      <c r="O212" s="12">
        <v>9047175.8000000007</v>
      </c>
      <c r="P212" s="12">
        <v>9113189.5299999993</v>
      </c>
      <c r="Q212" s="12">
        <v>9155849.2199999988</v>
      </c>
      <c r="R212" s="12">
        <v>9394414.6400000006</v>
      </c>
      <c r="S212" s="12">
        <v>9396275.6400000006</v>
      </c>
      <c r="T212" s="12">
        <v>11529577.35</v>
      </c>
      <c r="U212" s="12">
        <v>11521727.050000001</v>
      </c>
      <c r="V212" s="12">
        <v>11521727.050000001</v>
      </c>
      <c r="W212" s="12"/>
      <c r="X212" s="12"/>
      <c r="Y212" s="12"/>
      <c r="Z212" s="12"/>
    </row>
    <row r="213" spans="1:26" x14ac:dyDescent="0.25">
      <c r="A213" s="28" t="s">
        <v>55</v>
      </c>
      <c r="B213" t="s">
        <v>80</v>
      </c>
      <c r="C213" t="s">
        <v>77</v>
      </c>
      <c r="D213" t="s">
        <v>82</v>
      </c>
      <c r="E213" t="s">
        <v>78</v>
      </c>
      <c r="F213" s="71">
        <v>40544</v>
      </c>
      <c r="G213">
        <v>12650.65</v>
      </c>
      <c r="H213" s="3">
        <v>465042.94000000012</v>
      </c>
      <c r="I213" s="3">
        <v>875927.45</v>
      </c>
      <c r="J213" s="3">
        <v>3415193.19</v>
      </c>
      <c r="K213">
        <v>8477201.0399999991</v>
      </c>
      <c r="L213">
        <v>10065627.289999999</v>
      </c>
      <c r="M213">
        <v>11525815.310000001</v>
      </c>
      <c r="N213">
        <v>11959031.359999999</v>
      </c>
      <c r="O213">
        <v>12022386.640000001</v>
      </c>
      <c r="P213">
        <v>12039821.91</v>
      </c>
      <c r="Q213">
        <v>12093927.77</v>
      </c>
      <c r="R213">
        <v>12111762.43</v>
      </c>
      <c r="S213">
        <v>13171681.800000001</v>
      </c>
      <c r="T213">
        <v>13579924.800000001</v>
      </c>
      <c r="U213">
        <v>13632204.18</v>
      </c>
    </row>
    <row r="214" spans="1:26" x14ac:dyDescent="0.25">
      <c r="A214" s="28" t="s">
        <v>55</v>
      </c>
      <c r="B214" t="s">
        <v>80</v>
      </c>
      <c r="C214" t="s">
        <v>77</v>
      </c>
      <c r="D214" t="s">
        <v>82</v>
      </c>
      <c r="E214" t="s">
        <v>78</v>
      </c>
      <c r="F214" s="71">
        <v>40909</v>
      </c>
      <c r="G214">
        <v>44021.099999999991</v>
      </c>
      <c r="H214" s="3">
        <v>560021</v>
      </c>
      <c r="I214" s="3">
        <v>2306154.9</v>
      </c>
      <c r="J214" s="3">
        <v>4353675.7300000004</v>
      </c>
      <c r="K214">
        <v>5938554.0600000015</v>
      </c>
      <c r="L214">
        <v>6833401.3300000001</v>
      </c>
      <c r="M214">
        <v>7165236.5600000015</v>
      </c>
      <c r="N214">
        <v>8442972.7300000004</v>
      </c>
      <c r="O214">
        <v>8719685</v>
      </c>
      <c r="P214">
        <v>8907863.5199999996</v>
      </c>
      <c r="Q214">
        <v>8954240.209999999</v>
      </c>
      <c r="R214">
        <v>9201807.9100000001</v>
      </c>
      <c r="S214">
        <v>9342077.1499999985</v>
      </c>
      <c r="T214">
        <v>9400829.75</v>
      </c>
    </row>
    <row r="215" spans="1:26" x14ac:dyDescent="0.25">
      <c r="A215" s="28" t="s">
        <v>55</v>
      </c>
      <c r="B215" t="s">
        <v>80</v>
      </c>
      <c r="C215" t="s">
        <v>77</v>
      </c>
      <c r="D215" t="s">
        <v>82</v>
      </c>
      <c r="E215" t="s">
        <v>78</v>
      </c>
      <c r="F215" s="71">
        <v>41275</v>
      </c>
      <c r="G215">
        <v>3297.07</v>
      </c>
      <c r="H215" s="3">
        <v>382233.35</v>
      </c>
      <c r="I215" s="3">
        <v>3309672.66</v>
      </c>
      <c r="J215" s="3">
        <v>5726566.4800000004</v>
      </c>
      <c r="K215">
        <v>8241845.9199999999</v>
      </c>
      <c r="L215">
        <v>10083937.76</v>
      </c>
      <c r="M215">
        <v>13108855.08</v>
      </c>
      <c r="N215">
        <v>13666431.35</v>
      </c>
      <c r="O215">
        <v>13806142.289999999</v>
      </c>
      <c r="P215">
        <v>14065542.49</v>
      </c>
      <c r="Q215">
        <v>14082220.09</v>
      </c>
      <c r="R215">
        <v>14085245.01</v>
      </c>
      <c r="S215">
        <v>14096092.890000001</v>
      </c>
    </row>
    <row r="216" spans="1:26" x14ac:dyDescent="0.25">
      <c r="A216" s="28" t="s">
        <v>55</v>
      </c>
      <c r="B216" t="s">
        <v>80</v>
      </c>
      <c r="C216" t="s">
        <v>77</v>
      </c>
      <c r="D216" t="s">
        <v>82</v>
      </c>
      <c r="E216" t="s">
        <v>78</v>
      </c>
      <c r="F216" s="71">
        <v>41640</v>
      </c>
      <c r="G216">
        <v>28699.94</v>
      </c>
      <c r="H216" s="3">
        <v>901036.41</v>
      </c>
      <c r="I216" s="3">
        <v>3030218.46</v>
      </c>
      <c r="J216" s="3">
        <v>6429225.6699999999</v>
      </c>
      <c r="K216">
        <v>9948584.6400000006</v>
      </c>
      <c r="L216">
        <v>11671589.41</v>
      </c>
      <c r="M216">
        <v>14076986.630000001</v>
      </c>
      <c r="N216">
        <v>15533764.039999999</v>
      </c>
      <c r="O216">
        <v>16383623.880000001</v>
      </c>
      <c r="P216">
        <v>17184196.140000001</v>
      </c>
      <c r="Q216">
        <v>17264657.469999999</v>
      </c>
      <c r="R216">
        <v>17853881.219999999</v>
      </c>
    </row>
    <row r="217" spans="1:26" x14ac:dyDescent="0.25">
      <c r="A217" s="28" t="s">
        <v>55</v>
      </c>
      <c r="B217" t="s">
        <v>80</v>
      </c>
      <c r="C217" t="s">
        <v>77</v>
      </c>
      <c r="D217" t="s">
        <v>82</v>
      </c>
      <c r="E217" t="s">
        <v>78</v>
      </c>
      <c r="F217" s="71">
        <v>42005</v>
      </c>
      <c r="G217">
        <v>88993.72</v>
      </c>
      <c r="H217" s="3">
        <v>1682910.23</v>
      </c>
      <c r="I217" s="3">
        <v>4553528.24</v>
      </c>
      <c r="J217" s="3">
        <v>9539684.0899999999</v>
      </c>
      <c r="K217">
        <v>18839856.199999999</v>
      </c>
      <c r="L217">
        <v>23480425.120000001</v>
      </c>
      <c r="M217">
        <v>27775963.23</v>
      </c>
      <c r="N217">
        <v>29759678.359999999</v>
      </c>
      <c r="O217">
        <v>30562694.489999998</v>
      </c>
      <c r="P217">
        <v>30723424.370000001</v>
      </c>
      <c r="Q217">
        <v>31496089.47000001</v>
      </c>
    </row>
    <row r="218" spans="1:26" x14ac:dyDescent="0.25">
      <c r="A218" s="28" t="s">
        <v>55</v>
      </c>
      <c r="B218" t="s">
        <v>80</v>
      </c>
      <c r="C218" t="s">
        <v>77</v>
      </c>
      <c r="D218" t="s">
        <v>82</v>
      </c>
      <c r="E218" t="s">
        <v>78</v>
      </c>
      <c r="F218" s="71">
        <v>42370</v>
      </c>
      <c r="G218">
        <v>119398.41</v>
      </c>
      <c r="H218" s="3">
        <v>1256720.3799999999</v>
      </c>
      <c r="I218" s="3">
        <v>3591810.27</v>
      </c>
      <c r="J218" s="3">
        <v>9162310.3800000008</v>
      </c>
      <c r="K218">
        <v>14208861.859999999</v>
      </c>
      <c r="L218">
        <v>20677445.190000001</v>
      </c>
      <c r="M218">
        <v>24635333.539999999</v>
      </c>
      <c r="N218">
        <v>28936126.030000001</v>
      </c>
      <c r="O218">
        <v>30000551.77</v>
      </c>
      <c r="P218">
        <v>32364572.91</v>
      </c>
    </row>
    <row r="219" spans="1:26" x14ac:dyDescent="0.25">
      <c r="A219" s="28" t="s">
        <v>55</v>
      </c>
      <c r="B219" t="s">
        <v>80</v>
      </c>
      <c r="C219" t="s">
        <v>77</v>
      </c>
      <c r="D219" t="s">
        <v>82</v>
      </c>
      <c r="E219" t="s">
        <v>78</v>
      </c>
      <c r="F219" s="71">
        <v>42736</v>
      </c>
      <c r="G219">
        <v>258606.38</v>
      </c>
      <c r="H219" s="3">
        <v>2098675.38</v>
      </c>
      <c r="I219" s="3">
        <v>8343610.0634757727</v>
      </c>
      <c r="J219" s="3">
        <v>19321086.93</v>
      </c>
      <c r="K219">
        <v>30886586.800000001</v>
      </c>
      <c r="L219">
        <v>38427891.009999998</v>
      </c>
      <c r="M219">
        <v>50124081.519999988</v>
      </c>
      <c r="N219">
        <v>54169374.819999978</v>
      </c>
      <c r="O219">
        <v>56107736.929999992</v>
      </c>
    </row>
    <row r="220" spans="1:26" x14ac:dyDescent="0.25">
      <c r="A220" s="28" t="s">
        <v>55</v>
      </c>
      <c r="B220" t="s">
        <v>80</v>
      </c>
      <c r="C220" t="s">
        <v>77</v>
      </c>
      <c r="D220" t="s">
        <v>82</v>
      </c>
      <c r="E220" t="s">
        <v>78</v>
      </c>
      <c r="F220" s="71">
        <v>43101</v>
      </c>
      <c r="G220">
        <v>114842.7</v>
      </c>
      <c r="H220" s="3">
        <v>7451172.8900118852</v>
      </c>
      <c r="I220" s="3">
        <v>19235895.97000001</v>
      </c>
      <c r="J220" s="3">
        <v>32182325.440000009</v>
      </c>
      <c r="K220">
        <v>46028865.190000013</v>
      </c>
      <c r="L220">
        <v>62644932.799999982</v>
      </c>
      <c r="M220">
        <v>76458613.75999999</v>
      </c>
      <c r="N220">
        <v>84338741.24999997</v>
      </c>
    </row>
    <row r="221" spans="1:26" x14ac:dyDescent="0.25">
      <c r="A221" s="28" t="s">
        <v>55</v>
      </c>
      <c r="B221" t="s">
        <v>80</v>
      </c>
      <c r="C221" t="s">
        <v>77</v>
      </c>
      <c r="D221" t="s">
        <v>82</v>
      </c>
      <c r="E221" t="s">
        <v>78</v>
      </c>
      <c r="F221" s="71">
        <v>43466</v>
      </c>
      <c r="G221">
        <v>329469.83651234477</v>
      </c>
      <c r="H221" s="3">
        <v>7659940.0999999996</v>
      </c>
      <c r="I221" s="3">
        <v>20774482.84</v>
      </c>
      <c r="J221" s="3">
        <v>38874351.149999999</v>
      </c>
      <c r="K221">
        <v>59583247.239999987</v>
      </c>
      <c r="L221">
        <v>87578104.329999998</v>
      </c>
      <c r="M221">
        <v>108017309.65000001</v>
      </c>
    </row>
    <row r="222" spans="1:26" x14ac:dyDescent="0.25">
      <c r="A222" s="28" t="s">
        <v>55</v>
      </c>
      <c r="B222" t="s">
        <v>80</v>
      </c>
      <c r="C222" t="s">
        <v>77</v>
      </c>
      <c r="D222" t="s">
        <v>82</v>
      </c>
      <c r="E222" t="s">
        <v>78</v>
      </c>
      <c r="F222" s="71">
        <v>43831</v>
      </c>
      <c r="G222">
        <v>579925.20000000007</v>
      </c>
      <c r="H222" s="3">
        <v>6515702.450000002</v>
      </c>
      <c r="I222" s="3">
        <v>17040296.379999999</v>
      </c>
      <c r="J222" s="3">
        <v>40045457.880000003</v>
      </c>
      <c r="K222">
        <v>64891437.670000017</v>
      </c>
      <c r="L222">
        <v>97408951.26000002</v>
      </c>
    </row>
    <row r="223" spans="1:26" x14ac:dyDescent="0.25">
      <c r="A223" s="28" t="s">
        <v>55</v>
      </c>
      <c r="B223" t="s">
        <v>80</v>
      </c>
      <c r="C223" t="s">
        <v>77</v>
      </c>
      <c r="D223" t="s">
        <v>82</v>
      </c>
      <c r="E223" t="s">
        <v>78</v>
      </c>
      <c r="F223" s="71">
        <v>44197</v>
      </c>
      <c r="G223">
        <v>220358.49</v>
      </c>
      <c r="H223" s="3">
        <v>5942761.6099999994</v>
      </c>
      <c r="I223" s="3">
        <v>26066244.899999991</v>
      </c>
      <c r="J223" s="3">
        <v>58616917.340000004</v>
      </c>
      <c r="K223">
        <v>106983469.38</v>
      </c>
    </row>
    <row r="224" spans="1:26" x14ac:dyDescent="0.25">
      <c r="A224" s="28" t="s">
        <v>55</v>
      </c>
      <c r="B224" t="s">
        <v>80</v>
      </c>
      <c r="C224" t="s">
        <v>77</v>
      </c>
      <c r="D224" t="s">
        <v>82</v>
      </c>
      <c r="E224" t="s">
        <v>78</v>
      </c>
      <c r="F224" s="71">
        <v>44562</v>
      </c>
      <c r="G224">
        <v>157738.37999999989</v>
      </c>
      <c r="H224" s="3">
        <v>8954992.7100000009</v>
      </c>
      <c r="I224" s="3">
        <v>37806448.359999999</v>
      </c>
      <c r="J224" s="3">
        <v>91770515.060000002</v>
      </c>
    </row>
    <row r="225" spans="1:31" x14ac:dyDescent="0.25">
      <c r="A225" s="28" t="s">
        <v>55</v>
      </c>
      <c r="B225" t="s">
        <v>80</v>
      </c>
      <c r="C225" t="s">
        <v>77</v>
      </c>
      <c r="D225" t="s">
        <v>82</v>
      </c>
      <c r="E225" t="s">
        <v>78</v>
      </c>
      <c r="F225" s="71">
        <v>44927</v>
      </c>
      <c r="G225">
        <v>323165.75</v>
      </c>
      <c r="H225" s="3">
        <v>13550379.93</v>
      </c>
      <c r="I225" s="3">
        <v>50446786.140000008</v>
      </c>
      <c r="J225" s="3"/>
    </row>
    <row r="226" spans="1:31" x14ac:dyDescent="0.25">
      <c r="A226" s="28" t="s">
        <v>55</v>
      </c>
      <c r="B226" t="s">
        <v>80</v>
      </c>
      <c r="C226" t="s">
        <v>77</v>
      </c>
      <c r="D226" t="s">
        <v>82</v>
      </c>
      <c r="E226" t="s">
        <v>78</v>
      </c>
      <c r="F226" s="71">
        <v>45292</v>
      </c>
      <c r="G226">
        <v>292549.83</v>
      </c>
      <c r="H226" s="3">
        <v>9751755.799999997</v>
      </c>
      <c r="I226" s="3"/>
      <c r="J226" s="3"/>
    </row>
    <row r="227" spans="1:31" x14ac:dyDescent="0.25">
      <c r="A227" s="28" t="s">
        <v>55</v>
      </c>
      <c r="B227" t="s">
        <v>80</v>
      </c>
      <c r="C227" t="s">
        <v>77</v>
      </c>
      <c r="D227" t="s">
        <v>82</v>
      </c>
      <c r="E227" t="s">
        <v>78</v>
      </c>
      <c r="F227" s="71">
        <v>45658</v>
      </c>
      <c r="G227">
        <v>283976.09999999992</v>
      </c>
      <c r="H227" s="3"/>
      <c r="I227" s="3"/>
      <c r="J227" s="3"/>
    </row>
    <row r="228" spans="1:31" x14ac:dyDescent="0.25">
      <c r="A228" s="28" t="s">
        <v>56</v>
      </c>
      <c r="B228" t="s">
        <v>76</v>
      </c>
      <c r="C228" t="s">
        <v>77</v>
      </c>
      <c r="D228" t="s">
        <v>82</v>
      </c>
      <c r="E228" t="s">
        <v>78</v>
      </c>
      <c r="F228" s="71">
        <v>36892</v>
      </c>
      <c r="G228">
        <v>8136688.9099999899</v>
      </c>
      <c r="H228" s="3">
        <v>8136688.9099999899</v>
      </c>
      <c r="I228" s="3">
        <v>8136688.9099999899</v>
      </c>
      <c r="J228" s="3">
        <v>8136688.9099999899</v>
      </c>
      <c r="K228">
        <v>8136688.9099999899</v>
      </c>
      <c r="L228">
        <v>8136688.9099999899</v>
      </c>
      <c r="M228">
        <v>8136688.9099999899</v>
      </c>
      <c r="N228">
        <v>8136688.9099999899</v>
      </c>
      <c r="O228">
        <v>8136688.9099999899</v>
      </c>
      <c r="P228">
        <v>8136688.9099999899</v>
      </c>
      <c r="Q228">
        <v>8136688.9099999899</v>
      </c>
      <c r="R228">
        <v>8136688.9099999899</v>
      </c>
      <c r="S228">
        <v>8136688.9099999899</v>
      </c>
      <c r="T228">
        <v>8136688.9099999899</v>
      </c>
      <c r="U228">
        <v>8136688.9099999899</v>
      </c>
      <c r="V228">
        <v>8136688.9099999899</v>
      </c>
      <c r="W228">
        <v>8136688.9099999899</v>
      </c>
      <c r="X228">
        <v>8136688.9099999899</v>
      </c>
      <c r="Y228">
        <v>8136688.9099999899</v>
      </c>
      <c r="Z228">
        <v>8136688.9099999899</v>
      </c>
      <c r="AA228">
        <v>8136688.9099999899</v>
      </c>
      <c r="AB228">
        <v>8136688.9099999899</v>
      </c>
      <c r="AC228">
        <v>8136688.9099999899</v>
      </c>
      <c r="AD228">
        <v>8136688.9099999899</v>
      </c>
      <c r="AE228">
        <v>8136688.9099999899</v>
      </c>
    </row>
    <row r="229" spans="1:31" x14ac:dyDescent="0.25">
      <c r="A229" s="28" t="s">
        <v>56</v>
      </c>
      <c r="B229" t="s">
        <v>76</v>
      </c>
      <c r="C229" t="s">
        <v>77</v>
      </c>
      <c r="D229" t="s">
        <v>82</v>
      </c>
      <c r="E229" t="s">
        <v>78</v>
      </c>
      <c r="F229" s="71">
        <v>37257</v>
      </c>
      <c r="G229">
        <v>8048438.4499999993</v>
      </c>
      <c r="H229" s="3">
        <v>8048438.4499999993</v>
      </c>
      <c r="I229" s="3">
        <v>8048438.4499999993</v>
      </c>
      <c r="J229" s="3">
        <v>8048438.4499999993</v>
      </c>
      <c r="K229">
        <v>8048438.4499999993</v>
      </c>
      <c r="L229">
        <v>8048438.4499999993</v>
      </c>
      <c r="M229">
        <v>8048438.4499999993</v>
      </c>
      <c r="N229">
        <v>8048438.4499999993</v>
      </c>
      <c r="O229">
        <v>8048438.4499999993</v>
      </c>
      <c r="P229">
        <v>8048438.4499999993</v>
      </c>
      <c r="Q229">
        <v>8048438.4499999993</v>
      </c>
      <c r="R229">
        <v>8048438.4499999993</v>
      </c>
      <c r="S229">
        <v>8048438.4499999993</v>
      </c>
      <c r="T229">
        <v>8048438.4499999993</v>
      </c>
      <c r="U229">
        <v>8048438.4499999993</v>
      </c>
      <c r="V229">
        <v>8048438.4499999993</v>
      </c>
      <c r="W229">
        <v>8048438.4499999993</v>
      </c>
      <c r="X229">
        <v>8048438.4499999993</v>
      </c>
      <c r="Y229">
        <v>8048438.4499999993</v>
      </c>
      <c r="Z229">
        <v>8048438.4499999993</v>
      </c>
      <c r="AA229">
        <v>8048438.4499999993</v>
      </c>
      <c r="AB229">
        <v>8048438.4499999993</v>
      </c>
      <c r="AC229">
        <v>8048438.4499999993</v>
      </c>
      <c r="AD229">
        <v>8048438.4499999993</v>
      </c>
    </row>
    <row r="230" spans="1:31" x14ac:dyDescent="0.25">
      <c r="A230" s="28" t="s">
        <v>56</v>
      </c>
      <c r="B230" t="s">
        <v>76</v>
      </c>
      <c r="C230" t="s">
        <v>77</v>
      </c>
      <c r="D230" t="s">
        <v>82</v>
      </c>
      <c r="E230" t="s">
        <v>78</v>
      </c>
      <c r="F230" s="71">
        <v>37622</v>
      </c>
      <c r="G230">
        <v>11940716.380000001</v>
      </c>
      <c r="H230" s="3">
        <v>11940716.380000001</v>
      </c>
      <c r="I230" s="3">
        <v>11940716.380000001</v>
      </c>
      <c r="J230" s="3">
        <v>11940716.380000001</v>
      </c>
      <c r="K230">
        <v>11940716.380000001</v>
      </c>
      <c r="L230">
        <v>11940716.380000001</v>
      </c>
      <c r="M230">
        <v>11940716.380000001</v>
      </c>
      <c r="N230">
        <v>11940716.380000001</v>
      </c>
      <c r="O230">
        <v>11940716.380000001</v>
      </c>
      <c r="P230">
        <v>11940716.380000001</v>
      </c>
      <c r="Q230">
        <v>11940716.380000001</v>
      </c>
      <c r="R230">
        <v>11940716.380000001</v>
      </c>
      <c r="S230">
        <v>11940716.380000001</v>
      </c>
      <c r="T230">
        <v>11940716.380000001</v>
      </c>
      <c r="U230">
        <v>11940716.380000001</v>
      </c>
      <c r="V230">
        <v>11940716.380000001</v>
      </c>
      <c r="W230">
        <v>11940716.380000001</v>
      </c>
      <c r="X230">
        <v>11940716.380000001</v>
      </c>
      <c r="Y230">
        <v>11940716.380000001</v>
      </c>
      <c r="Z230">
        <v>11940716.380000001</v>
      </c>
      <c r="AA230">
        <v>11940716.380000001</v>
      </c>
      <c r="AB230">
        <v>11940716.380000001</v>
      </c>
      <c r="AC230">
        <v>11940716.380000001</v>
      </c>
    </row>
    <row r="231" spans="1:31" x14ac:dyDescent="0.25">
      <c r="A231" s="28" t="s">
        <v>56</v>
      </c>
      <c r="B231" t="s">
        <v>76</v>
      </c>
      <c r="C231" t="s">
        <v>77</v>
      </c>
      <c r="D231" t="s">
        <v>82</v>
      </c>
      <c r="E231" t="s">
        <v>78</v>
      </c>
      <c r="F231" s="71">
        <v>37987</v>
      </c>
      <c r="G231">
        <v>16579210.59</v>
      </c>
      <c r="H231" s="3">
        <v>16579210.59</v>
      </c>
      <c r="I231" s="3">
        <v>16579210.59</v>
      </c>
      <c r="J231" s="3">
        <v>16579210.59</v>
      </c>
      <c r="K231">
        <v>16579210.59</v>
      </c>
      <c r="L231">
        <v>16579210.59</v>
      </c>
      <c r="M231">
        <v>16579210.59</v>
      </c>
      <c r="N231">
        <v>16579210.59</v>
      </c>
      <c r="O231">
        <v>16579210.59</v>
      </c>
      <c r="P231">
        <v>16579210.59</v>
      </c>
      <c r="Q231">
        <v>16579210.59</v>
      </c>
      <c r="R231">
        <v>16579210.59</v>
      </c>
      <c r="S231">
        <v>16579210.59</v>
      </c>
      <c r="T231">
        <v>16579210.59</v>
      </c>
      <c r="U231">
        <v>16579210.59</v>
      </c>
      <c r="V231">
        <v>16579210.59</v>
      </c>
      <c r="W231">
        <v>16579210.59</v>
      </c>
      <c r="X231">
        <v>16579210.59</v>
      </c>
      <c r="Y231">
        <v>16579210.59</v>
      </c>
      <c r="Z231">
        <v>16579210.59</v>
      </c>
      <c r="AA231">
        <v>16579210.59</v>
      </c>
      <c r="AB231">
        <v>16579210.59</v>
      </c>
    </row>
    <row r="232" spans="1:31" x14ac:dyDescent="0.25">
      <c r="A232" s="28" t="s">
        <v>56</v>
      </c>
      <c r="B232" t="s">
        <v>76</v>
      </c>
      <c r="C232" t="s">
        <v>77</v>
      </c>
      <c r="D232" t="s">
        <v>82</v>
      </c>
      <c r="E232" t="s">
        <v>78</v>
      </c>
      <c r="F232" s="71">
        <v>38353</v>
      </c>
      <c r="G232">
        <v>18825765.039999999</v>
      </c>
      <c r="H232" s="3">
        <v>18825765.039999999</v>
      </c>
      <c r="I232" s="3">
        <v>18825765.039999999</v>
      </c>
      <c r="J232" s="3">
        <v>18825765.039999999</v>
      </c>
      <c r="K232">
        <v>18825765.039999999</v>
      </c>
      <c r="L232">
        <v>18825765.039999999</v>
      </c>
      <c r="M232">
        <v>18825765.039999999</v>
      </c>
      <c r="N232">
        <v>18825765.039999999</v>
      </c>
      <c r="O232">
        <v>18825765.039999999</v>
      </c>
      <c r="P232">
        <v>18825765.039999999</v>
      </c>
      <c r="Q232">
        <v>18825765.039999999</v>
      </c>
      <c r="R232">
        <v>18825765.039999999</v>
      </c>
      <c r="S232">
        <v>18825765.039999999</v>
      </c>
      <c r="T232">
        <v>18825765.039999999</v>
      </c>
      <c r="U232">
        <v>18825765.039999999</v>
      </c>
      <c r="V232">
        <v>18825765.039999999</v>
      </c>
      <c r="W232">
        <v>18825765.039999999</v>
      </c>
      <c r="X232">
        <v>18825765.039999999</v>
      </c>
      <c r="Y232">
        <v>18825765.039999999</v>
      </c>
      <c r="Z232">
        <v>18825765.039999999</v>
      </c>
      <c r="AA232">
        <v>18825765.039999999</v>
      </c>
    </row>
    <row r="233" spans="1:31" x14ac:dyDescent="0.25">
      <c r="A233" s="28" t="s">
        <v>56</v>
      </c>
      <c r="B233" t="s">
        <v>76</v>
      </c>
      <c r="C233" t="s">
        <v>77</v>
      </c>
      <c r="D233" t="s">
        <v>82</v>
      </c>
      <c r="E233" t="s">
        <v>78</v>
      </c>
      <c r="F233" s="71">
        <v>38718</v>
      </c>
      <c r="G233">
        <v>19523391.84</v>
      </c>
      <c r="H233" s="3">
        <v>19523391.84</v>
      </c>
      <c r="I233" s="3">
        <v>19523391.84</v>
      </c>
      <c r="J233" s="3">
        <v>19523391.84</v>
      </c>
      <c r="K233">
        <v>19523391.84</v>
      </c>
      <c r="L233">
        <v>19523391.84</v>
      </c>
      <c r="M233">
        <v>19523391.84</v>
      </c>
      <c r="N233">
        <v>19523391.84</v>
      </c>
      <c r="O233">
        <v>19523391.84</v>
      </c>
      <c r="P233">
        <v>19523391.84</v>
      </c>
      <c r="Q233">
        <v>19523391.84</v>
      </c>
      <c r="R233">
        <v>19523391.84</v>
      </c>
      <c r="S233">
        <v>19523391.84</v>
      </c>
      <c r="T233">
        <v>19523391.84</v>
      </c>
      <c r="U233">
        <v>19523391.84</v>
      </c>
      <c r="V233">
        <v>19523391.84</v>
      </c>
      <c r="W233">
        <v>19523391.84</v>
      </c>
      <c r="X233">
        <v>19523391.84</v>
      </c>
      <c r="Y233">
        <v>19523391.84</v>
      </c>
      <c r="Z233">
        <v>19523391.84</v>
      </c>
    </row>
    <row r="234" spans="1:31" x14ac:dyDescent="0.25">
      <c r="A234" s="28" t="s">
        <v>56</v>
      </c>
      <c r="B234" t="s">
        <v>76</v>
      </c>
      <c r="C234" t="s">
        <v>77</v>
      </c>
      <c r="D234" t="s">
        <v>82</v>
      </c>
      <c r="E234" t="s">
        <v>78</v>
      </c>
      <c r="F234" s="71">
        <v>39083</v>
      </c>
      <c r="G234">
        <v>20315469.370000001</v>
      </c>
      <c r="H234" s="3">
        <v>20315469.370000001</v>
      </c>
      <c r="I234" s="3">
        <v>20315469.370000001</v>
      </c>
      <c r="J234" s="3">
        <v>20315469.370000001</v>
      </c>
      <c r="K234">
        <v>20315469.370000001</v>
      </c>
      <c r="L234">
        <v>20315469.370000001</v>
      </c>
      <c r="M234">
        <v>20315469.370000001</v>
      </c>
      <c r="N234">
        <v>20315469.370000001</v>
      </c>
      <c r="O234">
        <v>20315469.370000001</v>
      </c>
      <c r="P234">
        <v>20315469.370000001</v>
      </c>
      <c r="Q234">
        <v>20315469.370000001</v>
      </c>
      <c r="R234">
        <v>20315469.370000001</v>
      </c>
      <c r="S234">
        <v>20315469.370000001</v>
      </c>
      <c r="T234">
        <v>20315469.370000001</v>
      </c>
      <c r="U234">
        <v>20315469.370000001</v>
      </c>
      <c r="V234">
        <v>20315469.370000001</v>
      </c>
      <c r="W234">
        <v>20315469.370000001</v>
      </c>
      <c r="X234">
        <v>20315469.370000001</v>
      </c>
      <c r="Y234">
        <v>20315469.370000001</v>
      </c>
    </row>
    <row r="235" spans="1:31" x14ac:dyDescent="0.25">
      <c r="A235" s="28" t="s">
        <v>56</v>
      </c>
      <c r="B235" t="s">
        <v>76</v>
      </c>
      <c r="C235" t="s">
        <v>77</v>
      </c>
      <c r="D235" t="s">
        <v>82</v>
      </c>
      <c r="E235" t="s">
        <v>78</v>
      </c>
      <c r="F235" s="71">
        <v>39448</v>
      </c>
      <c r="G235">
        <v>34469559.539999999</v>
      </c>
      <c r="H235" s="3">
        <v>34469559.539999999</v>
      </c>
      <c r="I235" s="3">
        <v>34469559.539999999</v>
      </c>
      <c r="J235" s="3">
        <v>34469559.539999999</v>
      </c>
      <c r="K235">
        <v>34469559.539999999</v>
      </c>
      <c r="L235">
        <v>34469559.539999999</v>
      </c>
      <c r="M235">
        <v>34469559.539999999</v>
      </c>
      <c r="N235">
        <v>34469559.539999999</v>
      </c>
      <c r="O235">
        <v>34469559.539999999</v>
      </c>
      <c r="P235">
        <v>34469559.539999999</v>
      </c>
      <c r="Q235">
        <v>34469559.539999999</v>
      </c>
      <c r="R235">
        <v>34469559.539999999</v>
      </c>
      <c r="S235">
        <v>34469559.539999999</v>
      </c>
      <c r="T235">
        <v>34469559.539999999</v>
      </c>
      <c r="U235">
        <v>34469559.539999999</v>
      </c>
      <c r="V235">
        <v>34469559.539999999</v>
      </c>
      <c r="W235">
        <v>34469559.539999999</v>
      </c>
      <c r="X235">
        <v>34469559.539999999</v>
      </c>
    </row>
    <row r="236" spans="1:31" x14ac:dyDescent="0.25">
      <c r="A236" s="28" t="s">
        <v>56</v>
      </c>
      <c r="B236" t="s">
        <v>76</v>
      </c>
      <c r="C236" t="s">
        <v>77</v>
      </c>
      <c r="D236" t="s">
        <v>82</v>
      </c>
      <c r="E236" t="s">
        <v>78</v>
      </c>
      <c r="F236" s="71">
        <v>39814</v>
      </c>
      <c r="G236">
        <v>32611351.350000001</v>
      </c>
      <c r="H236" s="3">
        <v>32611351.350000001</v>
      </c>
      <c r="I236" s="3">
        <v>32611351.350000001</v>
      </c>
      <c r="J236" s="3">
        <v>32611351.350000001</v>
      </c>
      <c r="K236">
        <v>32611351.350000001</v>
      </c>
      <c r="L236">
        <v>32611351.350000001</v>
      </c>
      <c r="M236">
        <v>32611351.350000001</v>
      </c>
      <c r="N236">
        <v>32611351.350000001</v>
      </c>
      <c r="O236">
        <v>32611351.350000001</v>
      </c>
      <c r="P236">
        <v>32611351.350000001</v>
      </c>
      <c r="Q236">
        <v>32611351.350000001</v>
      </c>
      <c r="R236">
        <v>32611351.350000001</v>
      </c>
      <c r="S236">
        <v>32611351.350000001</v>
      </c>
      <c r="T236">
        <v>32611351.350000001</v>
      </c>
      <c r="U236">
        <v>32611351.350000001</v>
      </c>
      <c r="V236">
        <v>32611351.350000001</v>
      </c>
      <c r="W236">
        <v>32611351.350000001</v>
      </c>
    </row>
    <row r="237" spans="1:31" x14ac:dyDescent="0.25">
      <c r="A237" s="28" t="s">
        <v>56</v>
      </c>
      <c r="B237" t="s">
        <v>76</v>
      </c>
      <c r="C237" t="s">
        <v>77</v>
      </c>
      <c r="D237" t="s">
        <v>82</v>
      </c>
      <c r="E237" t="s">
        <v>78</v>
      </c>
      <c r="F237" s="71">
        <v>40179</v>
      </c>
      <c r="G237">
        <v>23565427.18</v>
      </c>
      <c r="H237" s="3">
        <v>23565427.18</v>
      </c>
      <c r="I237" s="3">
        <v>23565427.18</v>
      </c>
      <c r="J237" s="3">
        <v>23565427.18</v>
      </c>
      <c r="K237">
        <v>23565427.18</v>
      </c>
      <c r="L237">
        <v>23565427.18</v>
      </c>
      <c r="M237">
        <v>23565427.18</v>
      </c>
      <c r="N237">
        <v>23565427.18</v>
      </c>
      <c r="O237">
        <v>23565427.18</v>
      </c>
      <c r="P237">
        <v>23565427.18</v>
      </c>
      <c r="Q237">
        <v>23565427.18</v>
      </c>
      <c r="R237">
        <v>23565427.18</v>
      </c>
      <c r="S237">
        <v>23565427.18</v>
      </c>
      <c r="T237">
        <v>23565427.18</v>
      </c>
      <c r="U237">
        <v>23565427.18</v>
      </c>
      <c r="V237">
        <v>23565427.18</v>
      </c>
    </row>
    <row r="238" spans="1:31" x14ac:dyDescent="0.25">
      <c r="A238" s="28" t="s">
        <v>56</v>
      </c>
      <c r="B238" t="s">
        <v>76</v>
      </c>
      <c r="C238" t="s">
        <v>77</v>
      </c>
      <c r="D238" t="s">
        <v>82</v>
      </c>
      <c r="E238" t="s">
        <v>78</v>
      </c>
      <c r="F238" s="71">
        <v>40544</v>
      </c>
      <c r="G238">
        <v>17298425.550000001</v>
      </c>
      <c r="H238" s="3">
        <v>17298425.550000001</v>
      </c>
      <c r="I238" s="3">
        <v>17298425.550000001</v>
      </c>
      <c r="J238" s="3">
        <v>17298425.550000001</v>
      </c>
      <c r="K238">
        <v>17298425.550000001</v>
      </c>
      <c r="L238">
        <v>17298425.550000001</v>
      </c>
      <c r="M238">
        <v>17298425.550000001</v>
      </c>
      <c r="N238">
        <v>17298425.550000001</v>
      </c>
      <c r="O238">
        <v>17298425.550000001</v>
      </c>
      <c r="P238">
        <v>17298425.550000001</v>
      </c>
      <c r="Q238">
        <v>17298425.550000001</v>
      </c>
      <c r="R238">
        <v>17298425.550000001</v>
      </c>
      <c r="S238">
        <v>17298425.550000001</v>
      </c>
      <c r="T238">
        <v>17298425.550000001</v>
      </c>
      <c r="U238">
        <v>17298425.550000001</v>
      </c>
    </row>
    <row r="239" spans="1:31" x14ac:dyDescent="0.25">
      <c r="A239" s="28" t="s">
        <v>56</v>
      </c>
      <c r="B239" t="s">
        <v>76</v>
      </c>
      <c r="C239" t="s">
        <v>77</v>
      </c>
      <c r="D239" t="s">
        <v>82</v>
      </c>
      <c r="E239" t="s">
        <v>78</v>
      </c>
      <c r="F239" s="71">
        <v>40909</v>
      </c>
      <c r="G239">
        <v>9398751.9199999999</v>
      </c>
      <c r="H239" s="3">
        <v>9398751.9199999999</v>
      </c>
      <c r="I239" s="3">
        <v>9398751.9199999999</v>
      </c>
      <c r="J239" s="3">
        <v>9398751.9199999999</v>
      </c>
      <c r="K239">
        <v>9398751.9199999999</v>
      </c>
      <c r="L239">
        <v>9398751.9199999999</v>
      </c>
      <c r="M239">
        <v>9398751.9199999999</v>
      </c>
      <c r="N239">
        <v>9398751.9199999999</v>
      </c>
      <c r="O239">
        <v>9398751.9199999999</v>
      </c>
      <c r="P239">
        <v>9398751.9199999999</v>
      </c>
      <c r="Q239">
        <v>9398751.9199999999</v>
      </c>
      <c r="R239">
        <v>9398751.9199999999</v>
      </c>
      <c r="S239">
        <v>9398751.9199999999</v>
      </c>
      <c r="T239">
        <v>9398751.9199999999</v>
      </c>
    </row>
    <row r="240" spans="1:31" x14ac:dyDescent="0.25">
      <c r="A240" s="28" t="s">
        <v>56</v>
      </c>
      <c r="B240" t="s">
        <v>76</v>
      </c>
      <c r="C240" t="s">
        <v>77</v>
      </c>
      <c r="D240" t="s">
        <v>82</v>
      </c>
      <c r="E240" t="s">
        <v>78</v>
      </c>
      <c r="F240" s="71">
        <v>41275</v>
      </c>
      <c r="G240">
        <v>11234086</v>
      </c>
      <c r="H240" s="3">
        <v>11234086</v>
      </c>
      <c r="I240" s="3">
        <v>11234086</v>
      </c>
      <c r="J240" s="3">
        <v>11234086</v>
      </c>
      <c r="K240">
        <v>11234086</v>
      </c>
      <c r="L240">
        <v>11234086</v>
      </c>
      <c r="M240">
        <v>11234086</v>
      </c>
      <c r="N240">
        <v>11234086</v>
      </c>
      <c r="O240">
        <v>11234086</v>
      </c>
      <c r="P240">
        <v>11234086</v>
      </c>
      <c r="Q240">
        <v>11234086</v>
      </c>
      <c r="R240">
        <v>11234086</v>
      </c>
      <c r="S240">
        <v>11234086</v>
      </c>
    </row>
    <row r="241" spans="1:31" x14ac:dyDescent="0.25">
      <c r="A241" s="28" t="s">
        <v>56</v>
      </c>
      <c r="B241" t="s">
        <v>76</v>
      </c>
      <c r="C241" t="s">
        <v>77</v>
      </c>
      <c r="D241" t="s">
        <v>82</v>
      </c>
      <c r="E241" t="s">
        <v>78</v>
      </c>
      <c r="F241" s="71">
        <v>41640</v>
      </c>
      <c r="G241">
        <v>19154308.743999999</v>
      </c>
      <c r="H241" s="3">
        <v>19154308.743999999</v>
      </c>
      <c r="I241" s="3">
        <v>19154308.743999999</v>
      </c>
      <c r="J241" s="3">
        <v>19154308.743999999</v>
      </c>
      <c r="K241">
        <v>19154308.743999999</v>
      </c>
      <c r="L241">
        <v>19154308.743999999</v>
      </c>
      <c r="M241">
        <v>19154308.743999999</v>
      </c>
      <c r="N241">
        <v>19154308.743999999</v>
      </c>
      <c r="O241">
        <v>19154308.743999999</v>
      </c>
      <c r="P241">
        <v>19154308.743999999</v>
      </c>
      <c r="Q241">
        <v>19154308.743999999</v>
      </c>
      <c r="R241">
        <v>19154308.743999999</v>
      </c>
    </row>
    <row r="242" spans="1:31" x14ac:dyDescent="0.25">
      <c r="A242" s="28" t="s">
        <v>56</v>
      </c>
      <c r="B242" t="s">
        <v>76</v>
      </c>
      <c r="C242" t="s">
        <v>77</v>
      </c>
      <c r="D242" t="s">
        <v>82</v>
      </c>
      <c r="E242" t="s">
        <v>78</v>
      </c>
      <c r="F242" s="71">
        <v>42005</v>
      </c>
      <c r="G242">
        <v>29321087.569999989</v>
      </c>
      <c r="H242" s="3">
        <v>29321087.569999989</v>
      </c>
      <c r="I242" s="3">
        <v>29321087.569999989</v>
      </c>
      <c r="J242" s="3">
        <v>29321087.569999989</v>
      </c>
      <c r="K242">
        <v>29321087.569999989</v>
      </c>
      <c r="L242">
        <v>29321087.569999989</v>
      </c>
      <c r="M242">
        <v>29321087.569999989</v>
      </c>
      <c r="N242">
        <v>29321087.569999989</v>
      </c>
      <c r="O242">
        <v>29321087.569999989</v>
      </c>
      <c r="P242">
        <v>29321087.569999989</v>
      </c>
      <c r="Q242">
        <v>29321087.569999989</v>
      </c>
    </row>
    <row r="243" spans="1:31" x14ac:dyDescent="0.25">
      <c r="A243" s="28" t="s">
        <v>56</v>
      </c>
      <c r="B243" t="s">
        <v>76</v>
      </c>
      <c r="C243" t="s">
        <v>77</v>
      </c>
      <c r="D243" t="s">
        <v>82</v>
      </c>
      <c r="E243" t="s">
        <v>78</v>
      </c>
      <c r="F243" s="71">
        <v>42370</v>
      </c>
      <c r="G243">
        <v>34072388.434529983</v>
      </c>
      <c r="H243" s="3">
        <v>34072388.434529983</v>
      </c>
      <c r="I243" s="3">
        <v>34072388.434529983</v>
      </c>
      <c r="J243" s="3">
        <v>34072388.434529983</v>
      </c>
      <c r="K243">
        <v>34072388.434529983</v>
      </c>
      <c r="L243">
        <v>34072388.434529983</v>
      </c>
      <c r="M243">
        <v>34072388.434529983</v>
      </c>
      <c r="N243">
        <v>34072388.434529983</v>
      </c>
      <c r="O243">
        <v>34072388.434529983</v>
      </c>
      <c r="P243">
        <v>34072388.434529983</v>
      </c>
    </row>
    <row r="244" spans="1:31" x14ac:dyDescent="0.25">
      <c r="A244" s="28" t="s">
        <v>56</v>
      </c>
      <c r="B244" t="s">
        <v>76</v>
      </c>
      <c r="C244" t="s">
        <v>77</v>
      </c>
      <c r="D244" t="s">
        <v>82</v>
      </c>
      <c r="E244" t="s">
        <v>78</v>
      </c>
      <c r="F244" s="71">
        <v>42736</v>
      </c>
      <c r="G244">
        <v>52802136.187343627</v>
      </c>
      <c r="H244" s="3">
        <v>52802136.187343627</v>
      </c>
      <c r="I244" s="3">
        <v>52802136.187343627</v>
      </c>
      <c r="J244" s="3">
        <v>52802136.187343627</v>
      </c>
      <c r="K244">
        <v>52802136.187343627</v>
      </c>
      <c r="L244">
        <v>52802136.187343627</v>
      </c>
      <c r="M244">
        <v>52802136.187343627</v>
      </c>
      <c r="N244">
        <v>52802136.187343627</v>
      </c>
      <c r="O244">
        <v>52802136.187343627</v>
      </c>
    </row>
    <row r="245" spans="1:31" x14ac:dyDescent="0.25">
      <c r="A245" s="28" t="s">
        <v>56</v>
      </c>
      <c r="B245" t="s">
        <v>76</v>
      </c>
      <c r="C245" t="s">
        <v>77</v>
      </c>
      <c r="D245" t="s">
        <v>82</v>
      </c>
      <c r="E245" t="s">
        <v>78</v>
      </c>
      <c r="F245" s="71">
        <v>43101</v>
      </c>
      <c r="G245">
        <v>89615987.30813694</v>
      </c>
      <c r="H245" s="3">
        <v>89615987.30813694</v>
      </c>
      <c r="I245" s="3">
        <v>89615987.30813694</v>
      </c>
      <c r="J245" s="3">
        <v>89615987.30813694</v>
      </c>
      <c r="K245">
        <v>89615987.30813694</v>
      </c>
      <c r="L245">
        <v>89615987.30813694</v>
      </c>
      <c r="M245">
        <v>89615987.30813694</v>
      </c>
      <c r="N245">
        <v>89615987.30813694</v>
      </c>
    </row>
    <row r="246" spans="1:31" x14ac:dyDescent="0.25">
      <c r="A246" s="28" t="s">
        <v>56</v>
      </c>
      <c r="B246" t="s">
        <v>76</v>
      </c>
      <c r="C246" t="s">
        <v>77</v>
      </c>
      <c r="D246" t="s">
        <v>82</v>
      </c>
      <c r="E246" t="s">
        <v>78</v>
      </c>
      <c r="F246" s="71">
        <v>43466</v>
      </c>
      <c r="G246">
        <v>142454012.9170512</v>
      </c>
      <c r="H246" s="3">
        <v>142454012.9170512</v>
      </c>
      <c r="I246" s="3">
        <v>142454012.9170512</v>
      </c>
      <c r="J246" s="3">
        <v>142454012.9170512</v>
      </c>
      <c r="K246">
        <v>142454012.9170512</v>
      </c>
      <c r="L246">
        <v>142454012.9170512</v>
      </c>
      <c r="M246">
        <v>142454012.9170512</v>
      </c>
    </row>
    <row r="247" spans="1:31" x14ac:dyDescent="0.25">
      <c r="A247" s="28" t="s">
        <v>56</v>
      </c>
      <c r="B247" t="s">
        <v>76</v>
      </c>
      <c r="C247" t="s">
        <v>77</v>
      </c>
      <c r="D247" t="s">
        <v>82</v>
      </c>
      <c r="E247" t="s">
        <v>78</v>
      </c>
      <c r="F247" s="71">
        <v>43831</v>
      </c>
      <c r="G247">
        <v>178970096.83204231</v>
      </c>
      <c r="H247" s="3">
        <v>178970096.83204231</v>
      </c>
      <c r="I247" s="3">
        <v>178970096.83204231</v>
      </c>
      <c r="J247" s="3">
        <v>178970096.83204231</v>
      </c>
      <c r="K247">
        <v>178970096.83204231</v>
      </c>
      <c r="L247">
        <v>178970096.83204231</v>
      </c>
    </row>
    <row r="248" spans="1:31" x14ac:dyDescent="0.25">
      <c r="A248" s="28" t="s">
        <v>56</v>
      </c>
      <c r="B248" t="s">
        <v>76</v>
      </c>
      <c r="C248" t="s">
        <v>77</v>
      </c>
      <c r="D248" t="s">
        <v>82</v>
      </c>
      <c r="E248" t="s">
        <v>78</v>
      </c>
      <c r="F248" s="71">
        <v>44197</v>
      </c>
      <c r="G248">
        <v>191706510.18235829</v>
      </c>
      <c r="H248" s="3">
        <v>191706510.18235829</v>
      </c>
      <c r="I248" s="3">
        <v>191706510.18235829</v>
      </c>
      <c r="J248" s="3">
        <v>191706510.18235829</v>
      </c>
      <c r="K248">
        <v>191706510.18235829</v>
      </c>
    </row>
    <row r="249" spans="1:31" x14ac:dyDescent="0.25">
      <c r="A249" s="28" t="s">
        <v>56</v>
      </c>
      <c r="B249" t="s">
        <v>76</v>
      </c>
      <c r="C249" t="s">
        <v>77</v>
      </c>
      <c r="D249" t="s">
        <v>82</v>
      </c>
      <c r="E249" t="s">
        <v>78</v>
      </c>
      <c r="F249" s="71">
        <v>44562</v>
      </c>
      <c r="G249">
        <v>203308535.30456939</v>
      </c>
      <c r="H249" s="3">
        <v>203308535.30456939</v>
      </c>
      <c r="I249" s="3">
        <v>203308535.30456939</v>
      </c>
      <c r="J249" s="3">
        <v>203308535.30456939</v>
      </c>
    </row>
    <row r="250" spans="1:31" x14ac:dyDescent="0.25">
      <c r="A250" s="28" t="s">
        <v>56</v>
      </c>
      <c r="B250" t="s">
        <v>76</v>
      </c>
      <c r="C250" t="s">
        <v>77</v>
      </c>
      <c r="D250" t="s">
        <v>82</v>
      </c>
      <c r="E250" t="s">
        <v>78</v>
      </c>
      <c r="F250" s="71">
        <v>44927</v>
      </c>
      <c r="G250">
        <v>239729171.66999999</v>
      </c>
      <c r="H250" s="3">
        <v>239729171.66999999</v>
      </c>
      <c r="I250" s="3">
        <v>239729171.66999999</v>
      </c>
      <c r="J250" s="3"/>
    </row>
    <row r="251" spans="1:31" x14ac:dyDescent="0.25">
      <c r="A251" s="28" t="s">
        <v>56</v>
      </c>
      <c r="B251" t="s">
        <v>76</v>
      </c>
      <c r="C251" t="s">
        <v>77</v>
      </c>
      <c r="D251" t="s">
        <v>82</v>
      </c>
      <c r="E251" t="s">
        <v>78</v>
      </c>
      <c r="F251" s="71">
        <v>45292</v>
      </c>
      <c r="G251">
        <v>262548376.65000001</v>
      </c>
      <c r="H251" s="3">
        <v>262548376.65000001</v>
      </c>
      <c r="I251" s="3"/>
      <c r="J251" s="3"/>
    </row>
    <row r="252" spans="1:31" x14ac:dyDescent="0.25">
      <c r="A252" s="28" t="s">
        <v>56</v>
      </c>
      <c r="B252" t="s">
        <v>76</v>
      </c>
      <c r="C252" t="s">
        <v>77</v>
      </c>
      <c r="D252" t="s">
        <v>82</v>
      </c>
      <c r="E252" t="s">
        <v>78</v>
      </c>
      <c r="F252" s="71">
        <v>45658</v>
      </c>
      <c r="G252">
        <v>106468041.8745538</v>
      </c>
      <c r="H252" s="3"/>
      <c r="I252" s="3"/>
      <c r="J252" s="3"/>
    </row>
    <row r="253" spans="1:31" x14ac:dyDescent="0.25">
      <c r="A253" s="28" t="s">
        <v>56</v>
      </c>
      <c r="B253" t="s">
        <v>79</v>
      </c>
      <c r="C253" t="s">
        <v>77</v>
      </c>
      <c r="D253" t="s">
        <v>82</v>
      </c>
      <c r="E253" t="s">
        <v>78</v>
      </c>
      <c r="F253" s="71">
        <v>36892</v>
      </c>
      <c r="G253">
        <v>296572.81000000011</v>
      </c>
      <c r="H253" s="3">
        <v>4216072.0500000007</v>
      </c>
      <c r="I253" s="3">
        <v>4505995.29</v>
      </c>
      <c r="J253" s="3">
        <v>5223887.03</v>
      </c>
      <c r="K253">
        <v>4112271.94</v>
      </c>
      <c r="L253">
        <v>4116140.53</v>
      </c>
      <c r="M253">
        <v>4116265.67</v>
      </c>
      <c r="N253">
        <v>4118106.47</v>
      </c>
      <c r="O253">
        <v>4102369.36</v>
      </c>
      <c r="P253">
        <v>4107597.1</v>
      </c>
      <c r="Q253">
        <v>4110867.6</v>
      </c>
      <c r="R253">
        <v>4110867.6</v>
      </c>
      <c r="S253">
        <v>4110867.6</v>
      </c>
      <c r="T253">
        <v>4110867.6</v>
      </c>
      <c r="U253">
        <v>4110867.6</v>
      </c>
      <c r="V253">
        <v>4110867.6</v>
      </c>
      <c r="W253">
        <v>4110867.6</v>
      </c>
      <c r="X253">
        <v>4110867.6</v>
      </c>
      <c r="Y253">
        <v>4110867.6</v>
      </c>
      <c r="Z253">
        <v>4110867.6</v>
      </c>
      <c r="AA253">
        <v>4110867.6</v>
      </c>
      <c r="AB253">
        <v>4110867.6</v>
      </c>
      <c r="AC253">
        <v>4110867.6</v>
      </c>
      <c r="AD253">
        <v>4110867.6</v>
      </c>
      <c r="AE253">
        <v>4110867.6</v>
      </c>
    </row>
    <row r="254" spans="1:31" x14ac:dyDescent="0.25">
      <c r="A254" s="28" t="s">
        <v>56</v>
      </c>
      <c r="B254" t="s">
        <v>79</v>
      </c>
      <c r="C254" t="s">
        <v>77</v>
      </c>
      <c r="D254" t="s">
        <v>82</v>
      </c>
      <c r="E254" t="s">
        <v>78</v>
      </c>
      <c r="F254" s="71">
        <v>37257</v>
      </c>
      <c r="G254">
        <v>264568.57</v>
      </c>
      <c r="H254">
        <v>2591798.5499999989</v>
      </c>
      <c r="I254">
        <v>5210150.7</v>
      </c>
      <c r="J254">
        <v>7596115.2699999996</v>
      </c>
      <c r="K254">
        <v>7424147.2699999996</v>
      </c>
      <c r="L254">
        <v>7460165.9800000004</v>
      </c>
      <c r="M254">
        <v>7553553.54</v>
      </c>
      <c r="N254">
        <v>7551928.71</v>
      </c>
      <c r="O254">
        <v>7551928.71</v>
      </c>
      <c r="P254">
        <v>7551928.71</v>
      </c>
      <c r="Q254">
        <v>7551928.71</v>
      </c>
      <c r="R254">
        <v>7551528.71</v>
      </c>
      <c r="S254">
        <v>7551528.71</v>
      </c>
      <c r="T254">
        <v>7567128.71</v>
      </c>
      <c r="U254">
        <v>7567128.71</v>
      </c>
      <c r="V254">
        <v>7567128.71</v>
      </c>
      <c r="W254">
        <v>7562219.6500000004</v>
      </c>
      <c r="X254">
        <v>7562219.6500000004</v>
      </c>
      <c r="Y254">
        <v>7562219.6500000004</v>
      </c>
      <c r="Z254">
        <v>7562219.6500000004</v>
      </c>
      <c r="AA254">
        <v>7562219.6500000004</v>
      </c>
      <c r="AB254">
        <v>7562219.6500000004</v>
      </c>
      <c r="AC254">
        <v>7562219.6500000004</v>
      </c>
      <c r="AD254">
        <v>7562219.6500000004</v>
      </c>
    </row>
    <row r="255" spans="1:31" x14ac:dyDescent="0.25">
      <c r="A255" s="28" t="s">
        <v>56</v>
      </c>
      <c r="B255" t="s">
        <v>79</v>
      </c>
      <c r="C255" t="s">
        <v>77</v>
      </c>
      <c r="D255" t="s">
        <v>82</v>
      </c>
      <c r="E255" t="s">
        <v>78</v>
      </c>
      <c r="F255" s="71">
        <v>37622</v>
      </c>
      <c r="G255">
        <v>17696.810000000001</v>
      </c>
      <c r="H255" s="3">
        <v>3867374.1</v>
      </c>
      <c r="I255" s="3">
        <v>5356892.709999999</v>
      </c>
      <c r="J255" s="3">
        <v>5306964.9999999991</v>
      </c>
      <c r="K255">
        <v>5470971.04</v>
      </c>
      <c r="L255">
        <v>5567014.0099999998</v>
      </c>
      <c r="M255">
        <v>5777389.6499999994</v>
      </c>
      <c r="N255">
        <v>5777429.6499999994</v>
      </c>
      <c r="O255">
        <v>5777429.6499999994</v>
      </c>
      <c r="P255">
        <v>5777429.6499999994</v>
      </c>
      <c r="Q255">
        <v>5777429.6499999994</v>
      </c>
      <c r="R255">
        <v>5777429.6499999994</v>
      </c>
      <c r="S255">
        <v>5777429.6499999994</v>
      </c>
      <c r="T255">
        <v>5770429.6499999994</v>
      </c>
      <c r="U255">
        <v>5770429.6499999994</v>
      </c>
      <c r="V255">
        <v>5770429.6499999994</v>
      </c>
      <c r="W255">
        <v>5770429.6499999994</v>
      </c>
      <c r="X255">
        <v>5777429.6499999994</v>
      </c>
      <c r="Y255">
        <v>5777429.6499999994</v>
      </c>
      <c r="Z255">
        <v>5778429.6499999994</v>
      </c>
      <c r="AA255">
        <v>5778429.6499999994</v>
      </c>
      <c r="AB255">
        <v>5778429.6499999994</v>
      </c>
      <c r="AC255">
        <v>5778429.6499999994</v>
      </c>
    </row>
    <row r="256" spans="1:31" x14ac:dyDescent="0.25">
      <c r="A256" s="28" t="s">
        <v>56</v>
      </c>
      <c r="B256" t="s">
        <v>79</v>
      </c>
      <c r="C256" t="s">
        <v>77</v>
      </c>
      <c r="D256" t="s">
        <v>82</v>
      </c>
      <c r="E256" t="s">
        <v>78</v>
      </c>
      <c r="F256" s="71">
        <v>37987</v>
      </c>
      <c r="G256">
        <v>920873</v>
      </c>
      <c r="H256" s="3">
        <v>4430250.88</v>
      </c>
      <c r="I256" s="3">
        <v>5262835.8500000006</v>
      </c>
      <c r="J256" s="3">
        <v>6581117.6600000001</v>
      </c>
      <c r="K256">
        <v>10515344.310000001</v>
      </c>
      <c r="L256">
        <v>10738526.93</v>
      </c>
      <c r="M256">
        <v>10761356.26</v>
      </c>
      <c r="N256">
        <v>10756355.26</v>
      </c>
      <c r="O256">
        <v>10756329.26</v>
      </c>
      <c r="P256">
        <v>10755928.09</v>
      </c>
      <c r="Q256">
        <v>10755928.09</v>
      </c>
      <c r="R256">
        <v>10755928.09</v>
      </c>
      <c r="S256">
        <v>10753807.09</v>
      </c>
      <c r="T256">
        <v>10753807.09</v>
      </c>
      <c r="U256">
        <v>10753807.09</v>
      </c>
      <c r="V256">
        <v>10753807.09</v>
      </c>
      <c r="W256">
        <v>10753807.09</v>
      </c>
      <c r="X256">
        <v>10753807.09</v>
      </c>
      <c r="Y256">
        <v>10753807.09</v>
      </c>
      <c r="Z256">
        <v>10753807.09</v>
      </c>
      <c r="AA256">
        <v>10753807.09</v>
      </c>
      <c r="AB256">
        <v>10753807.09</v>
      </c>
    </row>
    <row r="257" spans="1:27" x14ac:dyDescent="0.25">
      <c r="A257" s="28" t="s">
        <v>56</v>
      </c>
      <c r="B257" t="s">
        <v>79</v>
      </c>
      <c r="C257" t="s">
        <v>77</v>
      </c>
      <c r="D257" t="s">
        <v>82</v>
      </c>
      <c r="E257" t="s">
        <v>78</v>
      </c>
      <c r="F257" s="71">
        <v>38353</v>
      </c>
      <c r="G257">
        <v>982593</v>
      </c>
      <c r="H257" s="3">
        <v>3895521.8</v>
      </c>
      <c r="I257" s="3">
        <v>4927763.55</v>
      </c>
      <c r="J257" s="3">
        <v>6512162.75</v>
      </c>
      <c r="K257">
        <v>8029659.459999999</v>
      </c>
      <c r="L257">
        <v>8061309.0499999989</v>
      </c>
      <c r="M257">
        <v>8389411.1899999995</v>
      </c>
      <c r="N257">
        <v>8391872.9799999986</v>
      </c>
      <c r="O257">
        <v>8391055.4299999997</v>
      </c>
      <c r="P257">
        <v>8390924.3599999994</v>
      </c>
      <c r="Q257">
        <v>8390557.3099999987</v>
      </c>
      <c r="R257">
        <v>8387006.879999999</v>
      </c>
      <c r="S257">
        <v>8387006.879999999</v>
      </c>
      <c r="T257">
        <v>8387006.879999999</v>
      </c>
      <c r="U257">
        <v>8387006.879999999</v>
      </c>
      <c r="V257">
        <v>8387006.879999999</v>
      </c>
      <c r="W257">
        <v>8387006.879999999</v>
      </c>
      <c r="X257">
        <v>8387013.879999999</v>
      </c>
      <c r="Y257">
        <v>8387013.879999998</v>
      </c>
      <c r="Z257">
        <v>8387013.879999998</v>
      </c>
      <c r="AA257">
        <v>8387013.879999998</v>
      </c>
    </row>
    <row r="258" spans="1:27" x14ac:dyDescent="0.25">
      <c r="A258" s="28" t="s">
        <v>56</v>
      </c>
      <c r="B258" t="s">
        <v>79</v>
      </c>
      <c r="C258" t="s">
        <v>77</v>
      </c>
      <c r="D258" t="s">
        <v>82</v>
      </c>
      <c r="E258" t="s">
        <v>78</v>
      </c>
      <c r="F258" s="71">
        <v>38718</v>
      </c>
      <c r="G258">
        <v>302938.65999999997</v>
      </c>
      <c r="H258" s="3">
        <v>4411944.2</v>
      </c>
      <c r="I258" s="3">
        <v>6674456.4600000009</v>
      </c>
      <c r="J258" s="3">
        <v>8630863.9199999999</v>
      </c>
      <c r="K258">
        <v>8965178.6699999999</v>
      </c>
      <c r="L258">
        <v>9129224.7300000004</v>
      </c>
      <c r="M258">
        <v>9122734.5099999998</v>
      </c>
      <c r="N258">
        <v>9122574.5899999999</v>
      </c>
      <c r="O258">
        <v>9192574.4100000001</v>
      </c>
      <c r="P258">
        <v>9982619.6799999997</v>
      </c>
      <c r="Q258">
        <v>9966437.2699999996</v>
      </c>
      <c r="R258">
        <v>9966437.2699999996</v>
      </c>
      <c r="S258">
        <v>9994897.959999999</v>
      </c>
      <c r="T258">
        <v>9994897.959999999</v>
      </c>
      <c r="U258">
        <v>9994897.959999999</v>
      </c>
      <c r="V258">
        <v>9994897.959999999</v>
      </c>
      <c r="W258">
        <v>9994897.959999999</v>
      </c>
      <c r="X258">
        <v>9994897.959999999</v>
      </c>
      <c r="Y258">
        <v>9994897.959999999</v>
      </c>
      <c r="Z258">
        <v>9994897.959999999</v>
      </c>
    </row>
    <row r="259" spans="1:27" x14ac:dyDescent="0.25">
      <c r="A259" s="28" t="s">
        <v>56</v>
      </c>
      <c r="B259" t="s">
        <v>79</v>
      </c>
      <c r="C259" t="s">
        <v>77</v>
      </c>
      <c r="D259" t="s">
        <v>82</v>
      </c>
      <c r="E259" t="s">
        <v>78</v>
      </c>
      <c r="F259" s="71">
        <v>39083</v>
      </c>
      <c r="G259">
        <v>451726.74</v>
      </c>
      <c r="H259" s="3">
        <v>4852346.7</v>
      </c>
      <c r="I259" s="3">
        <v>7989206.0500000007</v>
      </c>
      <c r="J259" s="3">
        <v>9390344.3299999982</v>
      </c>
      <c r="K259">
        <v>10367277.99</v>
      </c>
      <c r="L259">
        <v>11040909.41</v>
      </c>
      <c r="M259">
        <v>10987590.74</v>
      </c>
      <c r="N259">
        <v>11325058.9</v>
      </c>
      <c r="O259">
        <v>11333970.4</v>
      </c>
      <c r="P259">
        <v>11331170.85</v>
      </c>
      <c r="Q259">
        <v>11002170.4</v>
      </c>
      <c r="R259">
        <v>11181691.77</v>
      </c>
      <c r="S259">
        <v>11181691.77</v>
      </c>
      <c r="T259">
        <v>11181691.77</v>
      </c>
      <c r="U259">
        <v>11181691.77</v>
      </c>
      <c r="V259">
        <v>11181691.77</v>
      </c>
      <c r="W259">
        <v>11181691.77</v>
      </c>
      <c r="X259">
        <v>11181691.77</v>
      </c>
      <c r="Y259">
        <v>11181691.77</v>
      </c>
    </row>
    <row r="260" spans="1:27" x14ac:dyDescent="0.25">
      <c r="A260" s="28" t="s">
        <v>56</v>
      </c>
      <c r="B260" t="s">
        <v>79</v>
      </c>
      <c r="C260" t="s">
        <v>77</v>
      </c>
      <c r="D260" t="s">
        <v>82</v>
      </c>
      <c r="E260" t="s">
        <v>78</v>
      </c>
      <c r="F260" s="71">
        <v>39448</v>
      </c>
      <c r="G260">
        <v>1043278.62</v>
      </c>
      <c r="H260" s="3">
        <v>10218928.08</v>
      </c>
      <c r="I260" s="3">
        <v>24436069.59</v>
      </c>
      <c r="J260" s="3">
        <v>29674804.510000002</v>
      </c>
      <c r="K260">
        <v>31647704.050000001</v>
      </c>
      <c r="L260">
        <v>31913574.870000001</v>
      </c>
      <c r="M260">
        <v>32490920.550000001</v>
      </c>
      <c r="N260">
        <v>31919174.379999999</v>
      </c>
      <c r="O260">
        <v>31964726.84</v>
      </c>
      <c r="P260">
        <v>32980688.460000001</v>
      </c>
      <c r="Q260">
        <v>33072088.789999999</v>
      </c>
      <c r="R260">
        <v>33072088.789999999</v>
      </c>
      <c r="S260">
        <v>33072088.789999999</v>
      </c>
      <c r="T260">
        <v>33072088.789999999</v>
      </c>
      <c r="U260">
        <v>33072589.449999999</v>
      </c>
      <c r="V260">
        <v>33072589.449999999</v>
      </c>
      <c r="W260">
        <v>33072589.449999999</v>
      </c>
      <c r="X260">
        <v>33072589.449999999</v>
      </c>
    </row>
    <row r="261" spans="1:27" x14ac:dyDescent="0.25">
      <c r="A261" s="28" t="s">
        <v>56</v>
      </c>
      <c r="B261" t="s">
        <v>79</v>
      </c>
      <c r="C261" t="s">
        <v>77</v>
      </c>
      <c r="D261" t="s">
        <v>82</v>
      </c>
      <c r="E261" t="s">
        <v>78</v>
      </c>
      <c r="F261" s="71">
        <v>39814</v>
      </c>
      <c r="G261">
        <v>1252322.68</v>
      </c>
      <c r="H261" s="3">
        <v>13223316.08</v>
      </c>
      <c r="I261" s="3">
        <v>19304080.25</v>
      </c>
      <c r="J261" s="3">
        <v>21259245.09</v>
      </c>
      <c r="K261">
        <v>21277609.309999999</v>
      </c>
      <c r="L261">
        <v>21190469.390000001</v>
      </c>
      <c r="M261">
        <v>21366699.640000001</v>
      </c>
      <c r="N261">
        <v>21337330.809999999</v>
      </c>
      <c r="O261">
        <v>21722509.54999999</v>
      </c>
      <c r="P261">
        <v>21723061.579999991</v>
      </c>
      <c r="Q261">
        <v>21723061.579999991</v>
      </c>
      <c r="R261">
        <v>21723061.579999991</v>
      </c>
      <c r="S261">
        <v>21723061.579999991</v>
      </c>
      <c r="T261">
        <v>21723061.579999991</v>
      </c>
      <c r="U261">
        <v>21723061.579999991</v>
      </c>
      <c r="V261">
        <v>21723061.579999991</v>
      </c>
      <c r="W261">
        <v>21723061.579999991</v>
      </c>
    </row>
    <row r="262" spans="1:27" x14ac:dyDescent="0.25">
      <c r="A262" s="28" t="s">
        <v>56</v>
      </c>
      <c r="B262" t="s">
        <v>79</v>
      </c>
      <c r="C262" t="s">
        <v>77</v>
      </c>
      <c r="D262" t="s">
        <v>82</v>
      </c>
      <c r="E262" t="s">
        <v>78</v>
      </c>
      <c r="F262" s="71">
        <v>40179</v>
      </c>
      <c r="G262">
        <v>2576182.16</v>
      </c>
      <c r="H262" s="3">
        <v>12090123.26</v>
      </c>
      <c r="I262" s="3">
        <v>18648835.52</v>
      </c>
      <c r="J262" s="3">
        <v>19911810.879999999</v>
      </c>
      <c r="K262">
        <v>19908016.239999998</v>
      </c>
      <c r="L262">
        <v>20062458.100000001</v>
      </c>
      <c r="M262">
        <v>21761641.780000001</v>
      </c>
      <c r="N262">
        <v>21361188.710000001</v>
      </c>
      <c r="O262">
        <v>21369084.800000001</v>
      </c>
      <c r="P262">
        <v>21369085.5</v>
      </c>
      <c r="Q262">
        <v>21369085.5</v>
      </c>
      <c r="R262">
        <v>21369085.5</v>
      </c>
      <c r="S262">
        <v>21369085.5</v>
      </c>
      <c r="T262">
        <v>21369085.5</v>
      </c>
      <c r="U262">
        <v>21369085.5</v>
      </c>
      <c r="V262">
        <v>21369085.5</v>
      </c>
    </row>
    <row r="263" spans="1:27" x14ac:dyDescent="0.25">
      <c r="A263" s="28" t="s">
        <v>56</v>
      </c>
      <c r="B263" t="s">
        <v>79</v>
      </c>
      <c r="C263" t="s">
        <v>77</v>
      </c>
      <c r="D263" t="s">
        <v>82</v>
      </c>
      <c r="E263" t="s">
        <v>78</v>
      </c>
      <c r="F263" s="71">
        <v>40544</v>
      </c>
      <c r="G263">
        <v>1291079.06</v>
      </c>
      <c r="H263" s="3">
        <v>8180330.7700000014</v>
      </c>
      <c r="I263" s="3">
        <v>11106921.630000001</v>
      </c>
      <c r="J263" s="3">
        <v>10727935.33</v>
      </c>
      <c r="K263">
        <v>11871144.77</v>
      </c>
      <c r="L263">
        <v>12227041.289999999</v>
      </c>
      <c r="M263">
        <v>12339010.33</v>
      </c>
      <c r="N263">
        <v>12387237.18</v>
      </c>
      <c r="O263">
        <v>12402387.619999999</v>
      </c>
      <c r="P263">
        <v>12402386.99</v>
      </c>
      <c r="Q263">
        <v>12492386.99</v>
      </c>
      <c r="R263">
        <v>12536952.76</v>
      </c>
      <c r="S263">
        <v>12829667.66</v>
      </c>
      <c r="T263">
        <v>13375944.810000001</v>
      </c>
      <c r="U263">
        <v>13329594.57</v>
      </c>
    </row>
    <row r="264" spans="1:27" x14ac:dyDescent="0.25">
      <c r="A264" s="28" t="s">
        <v>56</v>
      </c>
      <c r="B264" t="s">
        <v>79</v>
      </c>
      <c r="C264" t="s">
        <v>77</v>
      </c>
      <c r="D264" t="s">
        <v>82</v>
      </c>
      <c r="E264" t="s">
        <v>78</v>
      </c>
      <c r="F264" s="71">
        <v>40909</v>
      </c>
      <c r="G264">
        <v>1526480.25</v>
      </c>
      <c r="H264" s="3">
        <v>4203740.16</v>
      </c>
      <c r="I264" s="3">
        <v>5261660.7300000004</v>
      </c>
      <c r="J264" s="3">
        <v>7924446.8599999975</v>
      </c>
      <c r="K264">
        <v>8563388.8099999987</v>
      </c>
      <c r="L264">
        <v>8560779.1099999975</v>
      </c>
      <c r="M264">
        <v>8570799.5099999979</v>
      </c>
      <c r="N264">
        <v>8573677.9399999995</v>
      </c>
      <c r="O264">
        <v>8673767.5299999993</v>
      </c>
      <c r="P264">
        <v>8684511.4699999988</v>
      </c>
      <c r="Q264">
        <v>8684288.5699999984</v>
      </c>
      <c r="R264">
        <v>8903888.129999999</v>
      </c>
      <c r="S264">
        <v>8903888.129999999</v>
      </c>
      <c r="T264">
        <v>8903888.129999999</v>
      </c>
    </row>
    <row r="265" spans="1:27" x14ac:dyDescent="0.25">
      <c r="A265" s="28" t="s">
        <v>56</v>
      </c>
      <c r="B265" t="s">
        <v>79</v>
      </c>
      <c r="C265" t="s">
        <v>77</v>
      </c>
      <c r="D265" t="s">
        <v>82</v>
      </c>
      <c r="E265" t="s">
        <v>78</v>
      </c>
      <c r="F265" s="71">
        <v>41275</v>
      </c>
      <c r="G265">
        <v>244896.21</v>
      </c>
      <c r="H265" s="3">
        <v>3478338.35</v>
      </c>
      <c r="I265" s="3">
        <v>6084817.75</v>
      </c>
      <c r="J265" s="3">
        <v>6958166.04</v>
      </c>
      <c r="K265">
        <v>8740544.3499999978</v>
      </c>
      <c r="L265">
        <v>9585991.9500000011</v>
      </c>
      <c r="M265">
        <v>9933153.1500000004</v>
      </c>
      <c r="N265">
        <v>9960108.9900000021</v>
      </c>
      <c r="O265">
        <v>9960108.9900000021</v>
      </c>
      <c r="P265">
        <v>9942580.7000000011</v>
      </c>
      <c r="Q265">
        <v>9943465.870000001</v>
      </c>
      <c r="R265">
        <v>9943465.870000001</v>
      </c>
      <c r="S265">
        <v>9943465.870000001</v>
      </c>
    </row>
    <row r="266" spans="1:27" x14ac:dyDescent="0.25">
      <c r="A266" s="28" t="s">
        <v>56</v>
      </c>
      <c r="B266" t="s">
        <v>79</v>
      </c>
      <c r="C266" t="s">
        <v>77</v>
      </c>
      <c r="D266" t="s">
        <v>82</v>
      </c>
      <c r="E266" t="s">
        <v>78</v>
      </c>
      <c r="F266" s="71">
        <v>41640</v>
      </c>
      <c r="G266">
        <v>1444093.33</v>
      </c>
      <c r="H266" s="3">
        <v>6186589.9800000004</v>
      </c>
      <c r="I266" s="3">
        <v>10656889.460000001</v>
      </c>
      <c r="J266" s="3">
        <v>12605528.890000001</v>
      </c>
      <c r="K266">
        <v>13690920.35</v>
      </c>
      <c r="L266">
        <v>14486370.93</v>
      </c>
      <c r="M266">
        <v>14682042.140000001</v>
      </c>
      <c r="N266">
        <v>14857198.310000001</v>
      </c>
      <c r="O266">
        <v>14864068.539999999</v>
      </c>
      <c r="P266">
        <v>14860529.83</v>
      </c>
      <c r="Q266">
        <v>14848967.84</v>
      </c>
      <c r="R266">
        <v>14850123.73</v>
      </c>
    </row>
    <row r="267" spans="1:27" x14ac:dyDescent="0.25">
      <c r="A267" s="28" t="s">
        <v>56</v>
      </c>
      <c r="B267" t="s">
        <v>79</v>
      </c>
      <c r="C267" t="s">
        <v>77</v>
      </c>
      <c r="D267" t="s">
        <v>82</v>
      </c>
      <c r="E267" t="s">
        <v>78</v>
      </c>
      <c r="F267" s="71">
        <v>42005</v>
      </c>
      <c r="G267">
        <v>1656577.48</v>
      </c>
      <c r="H267" s="3">
        <v>12205547.5</v>
      </c>
      <c r="I267" s="3">
        <v>19846974.640000001</v>
      </c>
      <c r="J267" s="3">
        <v>24209026.780000001</v>
      </c>
      <c r="K267">
        <v>26548027.73</v>
      </c>
      <c r="L267">
        <v>29075758</v>
      </c>
      <c r="M267">
        <v>29866805.670000002</v>
      </c>
      <c r="N267">
        <v>29803360.170000002</v>
      </c>
      <c r="O267">
        <v>29958075.32</v>
      </c>
      <c r="P267">
        <v>29940161.050000001</v>
      </c>
      <c r="Q267">
        <v>30113614.870000001</v>
      </c>
    </row>
    <row r="268" spans="1:27" x14ac:dyDescent="0.25">
      <c r="A268" s="28" t="s">
        <v>56</v>
      </c>
      <c r="B268" t="s">
        <v>79</v>
      </c>
      <c r="C268" t="s">
        <v>77</v>
      </c>
      <c r="D268" t="s">
        <v>82</v>
      </c>
      <c r="E268" t="s">
        <v>78</v>
      </c>
      <c r="F268" s="71">
        <v>42370</v>
      </c>
      <c r="G268">
        <v>1927704.41</v>
      </c>
      <c r="H268" s="3">
        <v>13719045.27</v>
      </c>
      <c r="I268" s="3">
        <v>20880359.68</v>
      </c>
      <c r="J268" s="3">
        <v>27999266.50999999</v>
      </c>
      <c r="K268">
        <v>29622976.52</v>
      </c>
      <c r="L268">
        <v>32323453.579999998</v>
      </c>
      <c r="M268">
        <v>33148071.68</v>
      </c>
      <c r="N268">
        <v>33694359.390000001</v>
      </c>
      <c r="O268">
        <v>33704166.649999999</v>
      </c>
      <c r="P268">
        <v>33737006.789999999</v>
      </c>
    </row>
    <row r="269" spans="1:27" x14ac:dyDescent="0.25">
      <c r="A269" s="28" t="s">
        <v>56</v>
      </c>
      <c r="B269" t="s">
        <v>79</v>
      </c>
      <c r="C269" t="s">
        <v>77</v>
      </c>
      <c r="D269" t="s">
        <v>82</v>
      </c>
      <c r="E269" t="s">
        <v>78</v>
      </c>
      <c r="F269" s="71">
        <v>42736</v>
      </c>
      <c r="G269">
        <v>2274212.5299999998</v>
      </c>
      <c r="H269" s="3">
        <v>18123984.649999999</v>
      </c>
      <c r="I269" s="3">
        <v>26384544.800000001</v>
      </c>
      <c r="J269" s="3">
        <v>32291428.69000021</v>
      </c>
      <c r="K269">
        <v>38167488.10000021</v>
      </c>
      <c r="L269">
        <v>46283549.840000197</v>
      </c>
      <c r="M269">
        <v>49650182.320000008</v>
      </c>
      <c r="N269">
        <v>50567867.260000013</v>
      </c>
      <c r="O269">
        <v>50573304.460000001</v>
      </c>
    </row>
    <row r="270" spans="1:27" x14ac:dyDescent="0.25">
      <c r="A270" s="28" t="s">
        <v>56</v>
      </c>
      <c r="B270" t="s">
        <v>79</v>
      </c>
      <c r="C270" t="s">
        <v>77</v>
      </c>
      <c r="D270" t="s">
        <v>82</v>
      </c>
      <c r="E270" t="s">
        <v>78</v>
      </c>
      <c r="F270" s="71">
        <v>43101</v>
      </c>
      <c r="G270">
        <v>3754187.129999999</v>
      </c>
      <c r="H270" s="3">
        <v>27455416.120000001</v>
      </c>
      <c r="I270" s="3">
        <v>44346540.950000003</v>
      </c>
      <c r="J270" s="3">
        <v>58430865.43</v>
      </c>
      <c r="K270">
        <v>71525561.870000005</v>
      </c>
      <c r="L270">
        <v>79798005.750000015</v>
      </c>
      <c r="M270">
        <v>82727104.660000011</v>
      </c>
      <c r="N270">
        <v>82432148.540000007</v>
      </c>
    </row>
    <row r="271" spans="1:27" x14ac:dyDescent="0.25">
      <c r="A271" s="28" t="s">
        <v>56</v>
      </c>
      <c r="B271" t="s">
        <v>79</v>
      </c>
      <c r="C271" t="s">
        <v>77</v>
      </c>
      <c r="D271" t="s">
        <v>82</v>
      </c>
      <c r="E271" t="s">
        <v>78</v>
      </c>
      <c r="F271" s="71">
        <v>43466</v>
      </c>
      <c r="G271">
        <v>6776093.6799999988</v>
      </c>
      <c r="H271" s="3">
        <v>41018638.460000008</v>
      </c>
      <c r="I271" s="3">
        <v>64429183.569999993</v>
      </c>
      <c r="J271" s="3">
        <v>94331498.269999966</v>
      </c>
      <c r="K271">
        <v>123617243.09999999</v>
      </c>
      <c r="L271">
        <v>135137630.13999999</v>
      </c>
      <c r="M271">
        <v>144519449.16999999</v>
      </c>
    </row>
    <row r="272" spans="1:27" x14ac:dyDescent="0.25">
      <c r="A272" s="28" t="s">
        <v>56</v>
      </c>
      <c r="B272" t="s">
        <v>79</v>
      </c>
      <c r="C272" t="s">
        <v>77</v>
      </c>
      <c r="D272" t="s">
        <v>82</v>
      </c>
      <c r="E272" t="s">
        <v>78</v>
      </c>
      <c r="F272" s="71">
        <v>43831</v>
      </c>
      <c r="G272">
        <v>7007212.0800000001</v>
      </c>
      <c r="H272" s="3">
        <v>32086700.23</v>
      </c>
      <c r="I272" s="3">
        <v>60624302.250000007</v>
      </c>
      <c r="J272" s="3">
        <v>82822979.839999989</v>
      </c>
      <c r="K272">
        <v>94296747.37000002</v>
      </c>
      <c r="L272">
        <v>100224092.56</v>
      </c>
    </row>
    <row r="273" spans="1:31" x14ac:dyDescent="0.25">
      <c r="A273" s="28" t="s">
        <v>56</v>
      </c>
      <c r="B273" t="s">
        <v>79</v>
      </c>
      <c r="C273" t="s">
        <v>77</v>
      </c>
      <c r="D273" t="s">
        <v>82</v>
      </c>
      <c r="E273" t="s">
        <v>78</v>
      </c>
      <c r="F273" s="71">
        <v>44197</v>
      </c>
      <c r="G273">
        <v>7124604.3499999996</v>
      </c>
      <c r="H273" s="3">
        <v>52396473.849999979</v>
      </c>
      <c r="I273" s="3">
        <v>95279387.109999999</v>
      </c>
      <c r="J273" s="3">
        <v>119233403.95999999</v>
      </c>
      <c r="K273">
        <v>133100944.59</v>
      </c>
    </row>
    <row r="274" spans="1:31" x14ac:dyDescent="0.25">
      <c r="A274" s="28" t="s">
        <v>56</v>
      </c>
      <c r="B274" t="s">
        <v>79</v>
      </c>
      <c r="C274" t="s">
        <v>77</v>
      </c>
      <c r="D274" t="s">
        <v>82</v>
      </c>
      <c r="E274" t="s">
        <v>78</v>
      </c>
      <c r="F274" s="71">
        <v>44562</v>
      </c>
      <c r="G274">
        <v>10527370.890000001</v>
      </c>
      <c r="H274" s="3">
        <v>57700157.280000009</v>
      </c>
      <c r="I274" s="3">
        <v>98044581.419999987</v>
      </c>
      <c r="J274" s="3">
        <v>129130752.36</v>
      </c>
    </row>
    <row r="275" spans="1:31" x14ac:dyDescent="0.25">
      <c r="A275" s="28" t="s">
        <v>56</v>
      </c>
      <c r="B275" t="s">
        <v>79</v>
      </c>
      <c r="C275" t="s">
        <v>77</v>
      </c>
      <c r="D275" t="s">
        <v>82</v>
      </c>
      <c r="E275" t="s">
        <v>78</v>
      </c>
      <c r="F275" s="71">
        <v>44927</v>
      </c>
      <c r="G275">
        <v>10532694.439999999</v>
      </c>
      <c r="H275" s="3">
        <v>66064275.999999993</v>
      </c>
      <c r="I275" s="3">
        <v>115593123.33</v>
      </c>
      <c r="J275" s="3"/>
    </row>
    <row r="276" spans="1:31" x14ac:dyDescent="0.25">
      <c r="A276" s="28" t="s">
        <v>56</v>
      </c>
      <c r="B276" t="s">
        <v>79</v>
      </c>
      <c r="C276" t="s">
        <v>77</v>
      </c>
      <c r="D276" t="s">
        <v>82</v>
      </c>
      <c r="E276" t="s">
        <v>78</v>
      </c>
      <c r="F276" s="71">
        <v>45292</v>
      </c>
      <c r="G276">
        <v>9936814.1400000025</v>
      </c>
      <c r="H276" s="3">
        <v>63885989.899999984</v>
      </c>
      <c r="I276" s="3"/>
      <c r="J276" s="3"/>
    </row>
    <row r="277" spans="1:31" x14ac:dyDescent="0.25">
      <c r="A277" s="28" t="s">
        <v>56</v>
      </c>
      <c r="B277" t="s">
        <v>79</v>
      </c>
      <c r="C277" t="s">
        <v>77</v>
      </c>
      <c r="D277" t="s">
        <v>82</v>
      </c>
      <c r="E277" t="s">
        <v>78</v>
      </c>
      <c r="F277" s="71">
        <v>45658</v>
      </c>
      <c r="G277">
        <v>8228818.5799999982</v>
      </c>
      <c r="H277" s="3"/>
      <c r="I277" s="3"/>
      <c r="J277" s="3"/>
    </row>
    <row r="278" spans="1:31" x14ac:dyDescent="0.25">
      <c r="A278" s="28" t="s">
        <v>56</v>
      </c>
      <c r="B278" t="s">
        <v>80</v>
      </c>
      <c r="C278" t="s">
        <v>77</v>
      </c>
      <c r="D278" t="s">
        <v>82</v>
      </c>
      <c r="E278" t="s">
        <v>78</v>
      </c>
      <c r="F278" s="71">
        <v>36892</v>
      </c>
      <c r="G278">
        <v>56423.81</v>
      </c>
      <c r="H278" s="3">
        <v>2355218.0499999998</v>
      </c>
      <c r="I278" s="3">
        <v>2992076.29</v>
      </c>
      <c r="J278" s="3">
        <v>4522018.57</v>
      </c>
      <c r="K278">
        <v>3875222.98</v>
      </c>
      <c r="L278">
        <v>4081951.53</v>
      </c>
      <c r="M278">
        <v>4083078.67</v>
      </c>
      <c r="N278">
        <v>4084919.47</v>
      </c>
      <c r="O278">
        <v>4102369.36</v>
      </c>
      <c r="P278">
        <v>4107597.1</v>
      </c>
      <c r="Q278">
        <v>4110867.6</v>
      </c>
      <c r="R278">
        <v>4110867.6</v>
      </c>
      <c r="S278">
        <v>4110867.6</v>
      </c>
      <c r="T278">
        <v>4110867.6</v>
      </c>
      <c r="U278">
        <v>4110867.6</v>
      </c>
      <c r="V278">
        <v>4110867.6</v>
      </c>
      <c r="W278">
        <v>4110867.6</v>
      </c>
      <c r="X278">
        <v>4110867.6</v>
      </c>
      <c r="Y278">
        <v>4110867.6</v>
      </c>
      <c r="Z278">
        <v>4110867.6</v>
      </c>
      <c r="AA278">
        <v>4110867.6</v>
      </c>
      <c r="AB278">
        <v>4110867.6</v>
      </c>
      <c r="AC278">
        <v>4110867.6</v>
      </c>
      <c r="AD278">
        <v>4110867.6</v>
      </c>
      <c r="AE278">
        <v>4110867.6</v>
      </c>
    </row>
    <row r="279" spans="1:31" x14ac:dyDescent="0.25">
      <c r="A279" s="28" t="s">
        <v>56</v>
      </c>
      <c r="B279" t="s">
        <v>80</v>
      </c>
      <c r="C279" t="s">
        <v>77</v>
      </c>
      <c r="D279" t="s">
        <v>82</v>
      </c>
      <c r="E279" t="s">
        <v>78</v>
      </c>
      <c r="F279" s="71">
        <v>37257</v>
      </c>
      <c r="G279">
        <v>43885.57</v>
      </c>
      <c r="H279" s="3">
        <v>783327.55</v>
      </c>
      <c r="I279" s="3">
        <v>3064438.0299999989</v>
      </c>
      <c r="J279" s="3">
        <v>5657383.1499999994</v>
      </c>
      <c r="K279">
        <v>7334450.9400000004</v>
      </c>
      <c r="L279">
        <v>7404842.0900000008</v>
      </c>
      <c r="M279">
        <v>7551928.71</v>
      </c>
      <c r="N279">
        <v>7551928.71</v>
      </c>
      <c r="O279">
        <v>7551928.71</v>
      </c>
      <c r="P279">
        <v>7551928.71</v>
      </c>
      <c r="Q279">
        <v>7551928.71</v>
      </c>
      <c r="R279">
        <v>7551528.71</v>
      </c>
      <c r="S279">
        <v>7551528.71</v>
      </c>
      <c r="T279">
        <v>7551528.71</v>
      </c>
      <c r="U279">
        <v>7551528.71</v>
      </c>
      <c r="V279">
        <v>7551528.71</v>
      </c>
      <c r="W279">
        <v>7562219.6500000004</v>
      </c>
      <c r="X279">
        <v>7562219.6500000004</v>
      </c>
      <c r="Y279">
        <v>7562219.6500000004</v>
      </c>
      <c r="Z279">
        <v>7562219.6500000004</v>
      </c>
      <c r="AA279">
        <v>7562219.6500000004</v>
      </c>
      <c r="AB279">
        <v>7562219.6500000004</v>
      </c>
      <c r="AC279">
        <v>7562219.6500000004</v>
      </c>
      <c r="AD279">
        <v>7562219.6500000004</v>
      </c>
    </row>
    <row r="280" spans="1:31" x14ac:dyDescent="0.25">
      <c r="A280" s="28" t="s">
        <v>56</v>
      </c>
      <c r="B280" t="s">
        <v>80</v>
      </c>
      <c r="C280" t="s">
        <v>77</v>
      </c>
      <c r="D280" t="s">
        <v>82</v>
      </c>
      <c r="E280" t="s">
        <v>78</v>
      </c>
      <c r="F280" s="71">
        <v>37622</v>
      </c>
      <c r="G280">
        <v>10768.75</v>
      </c>
      <c r="H280" s="3">
        <v>1656110.33</v>
      </c>
      <c r="I280" s="3">
        <v>3704961.439999999</v>
      </c>
      <c r="J280" s="3">
        <v>4958484.47</v>
      </c>
      <c r="K280">
        <v>5243470.76</v>
      </c>
      <c r="L280">
        <v>5523392.8399999999</v>
      </c>
      <c r="M280">
        <v>5770389.6499999994</v>
      </c>
      <c r="N280">
        <v>5770429.6499999994</v>
      </c>
      <c r="O280">
        <v>5770429.6499999994</v>
      </c>
      <c r="P280">
        <v>5770429.6499999994</v>
      </c>
      <c r="Q280">
        <v>5770429.6499999994</v>
      </c>
      <c r="R280">
        <v>5770429.6499999994</v>
      </c>
      <c r="S280">
        <v>5770429.6499999994</v>
      </c>
      <c r="T280">
        <v>5770429.6499999994</v>
      </c>
      <c r="U280">
        <v>5770429.6499999994</v>
      </c>
      <c r="V280">
        <v>5770429.6499999994</v>
      </c>
      <c r="W280">
        <v>5770429.6499999994</v>
      </c>
      <c r="X280">
        <v>5769429.6499999994</v>
      </c>
      <c r="Y280">
        <v>5769429.6499999994</v>
      </c>
      <c r="Z280">
        <v>5770429.6499999994</v>
      </c>
      <c r="AA280">
        <v>5770429.6499999994</v>
      </c>
      <c r="AB280">
        <v>5770429.6499999994</v>
      </c>
      <c r="AC280">
        <v>5770429.6499999994</v>
      </c>
    </row>
    <row r="281" spans="1:31" x14ac:dyDescent="0.25">
      <c r="A281" s="28" t="s">
        <v>56</v>
      </c>
      <c r="B281" t="s">
        <v>80</v>
      </c>
      <c r="C281" t="s">
        <v>77</v>
      </c>
      <c r="D281" t="s">
        <v>82</v>
      </c>
      <c r="E281" t="s">
        <v>78</v>
      </c>
      <c r="F281" s="71">
        <v>37987</v>
      </c>
      <c r="G281">
        <v>184224.16</v>
      </c>
      <c r="H281" s="3">
        <v>2440733.2200000002</v>
      </c>
      <c r="I281" s="3">
        <v>3483492.5</v>
      </c>
      <c r="J281" s="3">
        <v>5289648.82</v>
      </c>
      <c r="K281">
        <v>9514419.4700000007</v>
      </c>
      <c r="L281">
        <v>10722662.76</v>
      </c>
      <c r="M281">
        <v>10758233.09</v>
      </c>
      <c r="N281">
        <v>10754233.09</v>
      </c>
      <c r="O281">
        <v>10754207.09</v>
      </c>
      <c r="P281">
        <v>10753807.09</v>
      </c>
      <c r="Q281">
        <v>10753807.09</v>
      </c>
      <c r="R281">
        <v>10753807.09</v>
      </c>
      <c r="S281">
        <v>10753807.09</v>
      </c>
      <c r="T281">
        <v>10753807.09</v>
      </c>
      <c r="U281">
        <v>10753807.09</v>
      </c>
      <c r="V281">
        <v>10753807.09</v>
      </c>
      <c r="W281">
        <v>10753807.09</v>
      </c>
      <c r="X281">
        <v>10753807.09</v>
      </c>
      <c r="Y281">
        <v>10753807.09</v>
      </c>
      <c r="Z281">
        <v>10753807.09</v>
      </c>
      <c r="AA281">
        <v>10753807.09</v>
      </c>
      <c r="AB281">
        <v>10753807.09</v>
      </c>
    </row>
    <row r="282" spans="1:31" x14ac:dyDescent="0.25">
      <c r="A282" s="28" t="s">
        <v>56</v>
      </c>
      <c r="B282" t="s">
        <v>80</v>
      </c>
      <c r="C282" t="s">
        <v>77</v>
      </c>
      <c r="D282" t="s">
        <v>82</v>
      </c>
      <c r="E282" t="s">
        <v>78</v>
      </c>
      <c r="F282" s="71">
        <v>38353</v>
      </c>
      <c r="G282">
        <v>129407.23</v>
      </c>
      <c r="H282" s="3">
        <v>1686959.8</v>
      </c>
      <c r="I282" s="3">
        <v>3179556.05</v>
      </c>
      <c r="J282" s="3">
        <v>5390400.8200000003</v>
      </c>
      <c r="K282">
        <v>7540592.8399999989</v>
      </c>
      <c r="L282">
        <v>7831682.1499999994</v>
      </c>
      <c r="M282">
        <v>8386070.0299999984</v>
      </c>
      <c r="N282">
        <v>8388532.2699999986</v>
      </c>
      <c r="O282">
        <v>8387714.7199999988</v>
      </c>
      <c r="P282">
        <v>8387583.6499999994</v>
      </c>
      <c r="Q282">
        <v>8387216.5999999987</v>
      </c>
      <c r="R282">
        <v>8387006.879999999</v>
      </c>
      <c r="S282">
        <v>8387006.879999999</v>
      </c>
      <c r="T282">
        <v>8387006.879999999</v>
      </c>
      <c r="U282">
        <v>8387006.879999999</v>
      </c>
      <c r="V282">
        <v>8387006.879999999</v>
      </c>
      <c r="W282">
        <v>8387006.879999999</v>
      </c>
      <c r="X282">
        <v>8387013.879999999</v>
      </c>
      <c r="Y282">
        <v>8387013.879999998</v>
      </c>
      <c r="Z282">
        <v>8387013.879999998</v>
      </c>
      <c r="AA282">
        <v>8387013.879999998</v>
      </c>
    </row>
    <row r="283" spans="1:31" x14ac:dyDescent="0.25">
      <c r="A283" s="28" t="s">
        <v>56</v>
      </c>
      <c r="B283" t="s">
        <v>80</v>
      </c>
      <c r="C283" t="s">
        <v>77</v>
      </c>
      <c r="D283" t="s">
        <v>82</v>
      </c>
      <c r="E283" t="s">
        <v>78</v>
      </c>
      <c r="F283" s="71">
        <v>38718</v>
      </c>
      <c r="G283">
        <v>72457.760000000009</v>
      </c>
      <c r="H283" s="3">
        <v>2226783.4500000002</v>
      </c>
      <c r="I283" s="3">
        <v>4531745.88</v>
      </c>
      <c r="J283" s="3">
        <v>6133238.0700000003</v>
      </c>
      <c r="K283">
        <v>8569577.0499999989</v>
      </c>
      <c r="L283">
        <v>9051833.7100000009</v>
      </c>
      <c r="M283">
        <v>9079811.3800000008</v>
      </c>
      <c r="N283">
        <v>9090746.3399999999</v>
      </c>
      <c r="O283">
        <v>9121655.540000001</v>
      </c>
      <c r="P283">
        <v>9899112.3200000003</v>
      </c>
      <c r="Q283">
        <v>9966437.2699999996</v>
      </c>
      <c r="R283">
        <v>9966437.2699999996</v>
      </c>
      <c r="S283">
        <v>9994897.959999999</v>
      </c>
      <c r="T283">
        <v>9994897.959999999</v>
      </c>
      <c r="U283">
        <v>9994897.959999999</v>
      </c>
      <c r="V283">
        <v>9994897.959999999</v>
      </c>
      <c r="W283">
        <v>9994897.959999999</v>
      </c>
      <c r="X283">
        <v>9994897.959999999</v>
      </c>
      <c r="Y283">
        <v>9994897.959999999</v>
      </c>
      <c r="Z283">
        <v>9994897.959999999</v>
      </c>
    </row>
    <row r="284" spans="1:31" x14ac:dyDescent="0.25">
      <c r="A284" s="28" t="s">
        <v>56</v>
      </c>
      <c r="B284" t="s">
        <v>80</v>
      </c>
      <c r="C284" t="s">
        <v>77</v>
      </c>
      <c r="D284" t="s">
        <v>82</v>
      </c>
      <c r="E284" t="s">
        <v>78</v>
      </c>
      <c r="F284" s="71">
        <v>39083</v>
      </c>
      <c r="G284">
        <v>182514.84</v>
      </c>
      <c r="H284" s="3">
        <v>2339663.85</v>
      </c>
      <c r="I284" s="3">
        <v>6045444.2799999993</v>
      </c>
      <c r="J284" s="3">
        <v>7499977.0800000001</v>
      </c>
      <c r="K284">
        <v>9526896.540000001</v>
      </c>
      <c r="L284">
        <v>10607943.51</v>
      </c>
      <c r="M284">
        <v>10770731.369999999</v>
      </c>
      <c r="N284">
        <v>10790578.27</v>
      </c>
      <c r="O284">
        <v>10801995.17</v>
      </c>
      <c r="P284">
        <v>10809441.720000001</v>
      </c>
      <c r="Q284">
        <v>10810140.92</v>
      </c>
      <c r="R284">
        <v>11181691.77</v>
      </c>
      <c r="S284">
        <v>11181691.77</v>
      </c>
      <c r="T284">
        <v>11181691.77</v>
      </c>
      <c r="U284">
        <v>11181691.77</v>
      </c>
      <c r="V284">
        <v>11181691.77</v>
      </c>
      <c r="W284">
        <v>11181691.77</v>
      </c>
      <c r="X284">
        <v>11181691.77</v>
      </c>
      <c r="Y284">
        <v>11181691.77</v>
      </c>
    </row>
    <row r="285" spans="1:31" x14ac:dyDescent="0.25">
      <c r="A285" s="28" t="s">
        <v>56</v>
      </c>
      <c r="B285" t="s">
        <v>80</v>
      </c>
      <c r="C285" t="s">
        <v>77</v>
      </c>
      <c r="D285" t="s">
        <v>82</v>
      </c>
      <c r="E285" t="s">
        <v>78</v>
      </c>
      <c r="F285" s="71">
        <v>39448</v>
      </c>
      <c r="G285">
        <v>300450.75</v>
      </c>
      <c r="H285" s="3">
        <v>5910031.4199999999</v>
      </c>
      <c r="I285" s="3">
        <v>16129518.050000001</v>
      </c>
      <c r="J285" s="3">
        <v>22678023.32</v>
      </c>
      <c r="K285">
        <v>29679847.960000001</v>
      </c>
      <c r="L285">
        <v>30607004.559999991</v>
      </c>
      <c r="M285">
        <v>31355747.34999999</v>
      </c>
      <c r="N285">
        <v>31745715.979999989</v>
      </c>
      <c r="O285">
        <v>31883800.120000001</v>
      </c>
      <c r="P285">
        <v>32980688.460000001</v>
      </c>
      <c r="Q285">
        <v>33072088.789999999</v>
      </c>
      <c r="R285">
        <v>33072088.789999999</v>
      </c>
      <c r="S285">
        <v>33072088.789999999</v>
      </c>
      <c r="T285">
        <v>33072088.789999999</v>
      </c>
      <c r="U285">
        <v>33072589.449999999</v>
      </c>
      <c r="V285">
        <v>33072589.449999999</v>
      </c>
      <c r="W285">
        <v>33072589.449999999</v>
      </c>
      <c r="X285">
        <v>33072589.449999999</v>
      </c>
    </row>
    <row r="286" spans="1:31" x14ac:dyDescent="0.25">
      <c r="A286" s="28" t="s">
        <v>56</v>
      </c>
      <c r="B286" t="s">
        <v>80</v>
      </c>
      <c r="C286" t="s">
        <v>77</v>
      </c>
      <c r="D286" t="s">
        <v>82</v>
      </c>
      <c r="E286" t="s">
        <v>78</v>
      </c>
      <c r="F286" s="71">
        <v>39814</v>
      </c>
      <c r="G286">
        <v>329078.68</v>
      </c>
      <c r="H286" s="3">
        <v>6265433.950000002</v>
      </c>
      <c r="I286" s="3">
        <v>11321228.6</v>
      </c>
      <c r="J286" s="3">
        <v>16286260.1</v>
      </c>
      <c r="K286">
        <v>19673147.5</v>
      </c>
      <c r="L286">
        <v>20871490.449999999</v>
      </c>
      <c r="M286">
        <v>20923762.530000001</v>
      </c>
      <c r="N286">
        <v>21010488.73</v>
      </c>
      <c r="O286">
        <v>21718888.769999988</v>
      </c>
      <c r="P286">
        <v>21723061.579999991</v>
      </c>
      <c r="Q286">
        <v>21723061.579999991</v>
      </c>
      <c r="R286">
        <v>21723061.579999991</v>
      </c>
      <c r="S286">
        <v>21723061.579999991</v>
      </c>
      <c r="T286">
        <v>21723061.579999991</v>
      </c>
      <c r="U286">
        <v>21723061.579999991</v>
      </c>
      <c r="V286">
        <v>21723061.579999991</v>
      </c>
      <c r="W286">
        <v>21723061.579999991</v>
      </c>
    </row>
    <row r="287" spans="1:31" x14ac:dyDescent="0.25">
      <c r="A287" s="28" t="s">
        <v>56</v>
      </c>
      <c r="B287" t="s">
        <v>80</v>
      </c>
      <c r="C287" t="s">
        <v>77</v>
      </c>
      <c r="D287" t="s">
        <v>82</v>
      </c>
      <c r="E287" t="s">
        <v>78</v>
      </c>
      <c r="F287" s="71">
        <v>40179</v>
      </c>
      <c r="G287">
        <v>327111.02999999991</v>
      </c>
      <c r="H287" s="3">
        <v>5624986.7600000007</v>
      </c>
      <c r="I287" s="3">
        <v>9610985.7200000007</v>
      </c>
      <c r="J287" s="3">
        <v>14726719.170000009</v>
      </c>
      <c r="K287">
        <v>17276966.170000002</v>
      </c>
      <c r="L287">
        <v>19520924.219999999</v>
      </c>
      <c r="M287">
        <v>20735499.690000001</v>
      </c>
      <c r="N287">
        <v>21361188.039999999</v>
      </c>
      <c r="O287">
        <v>21361084.140000001</v>
      </c>
      <c r="P287">
        <v>21358083.84</v>
      </c>
      <c r="Q287">
        <v>21358083.84</v>
      </c>
      <c r="R287">
        <v>21358083.84</v>
      </c>
      <c r="S287">
        <v>21358083.84</v>
      </c>
      <c r="T287">
        <v>21358083.84</v>
      </c>
      <c r="U287">
        <v>21358083.84</v>
      </c>
      <c r="V287">
        <v>21358083.84</v>
      </c>
    </row>
    <row r="288" spans="1:31" x14ac:dyDescent="0.25">
      <c r="A288" s="28" t="s">
        <v>56</v>
      </c>
      <c r="B288" t="s">
        <v>80</v>
      </c>
      <c r="C288" t="s">
        <v>77</v>
      </c>
      <c r="D288" t="s">
        <v>82</v>
      </c>
      <c r="E288" t="s">
        <v>78</v>
      </c>
      <c r="F288" s="71">
        <v>40544</v>
      </c>
      <c r="G288">
        <v>407762.42</v>
      </c>
      <c r="H288" s="3">
        <v>3147365.24</v>
      </c>
      <c r="I288" s="3">
        <v>5539897.0100000007</v>
      </c>
      <c r="J288" s="3">
        <v>7942967.0500000007</v>
      </c>
      <c r="K288">
        <v>9278701.3000000007</v>
      </c>
      <c r="L288">
        <v>9947759.0500000007</v>
      </c>
      <c r="M288">
        <v>10559030.02</v>
      </c>
      <c r="N288">
        <v>10770397.85</v>
      </c>
      <c r="O288">
        <v>12199605.74</v>
      </c>
      <c r="P288">
        <v>12203285.609999999</v>
      </c>
      <c r="Q288">
        <v>12248294.609999999</v>
      </c>
      <c r="R288">
        <v>12280551.17</v>
      </c>
      <c r="S288">
        <v>12302426.35</v>
      </c>
      <c r="T288">
        <v>13311556.699999999</v>
      </c>
      <c r="U288">
        <v>13320827.050000001</v>
      </c>
    </row>
    <row r="289" spans="1:31" x14ac:dyDescent="0.25">
      <c r="A289" s="28" t="s">
        <v>56</v>
      </c>
      <c r="B289" t="s">
        <v>80</v>
      </c>
      <c r="C289" t="s">
        <v>77</v>
      </c>
      <c r="D289" t="s">
        <v>82</v>
      </c>
      <c r="E289" t="s">
        <v>78</v>
      </c>
      <c r="F289" s="71">
        <v>40909</v>
      </c>
      <c r="G289">
        <v>227641.58</v>
      </c>
      <c r="H289" s="3">
        <v>1328052.17</v>
      </c>
      <c r="I289" s="3">
        <v>2136320.9300000002</v>
      </c>
      <c r="J289" s="3">
        <v>3868072.88</v>
      </c>
      <c r="K289">
        <v>7714071.8499999978</v>
      </c>
      <c r="L289">
        <v>8431613.7299999986</v>
      </c>
      <c r="M289">
        <v>8494785.2899999991</v>
      </c>
      <c r="N289">
        <v>8497663.7199999988</v>
      </c>
      <c r="O289">
        <v>8597753.7199999988</v>
      </c>
      <c r="P289">
        <v>8604231.7199999988</v>
      </c>
      <c r="Q289">
        <v>8604008.8199999984</v>
      </c>
      <c r="R289">
        <v>8903888.129999999</v>
      </c>
      <c r="S289">
        <v>8903888.129999999</v>
      </c>
      <c r="T289">
        <v>8903888.129999999</v>
      </c>
    </row>
    <row r="290" spans="1:31" x14ac:dyDescent="0.25">
      <c r="A290" s="28" t="s">
        <v>56</v>
      </c>
      <c r="B290" t="s">
        <v>80</v>
      </c>
      <c r="C290" t="s">
        <v>77</v>
      </c>
      <c r="D290" t="s">
        <v>82</v>
      </c>
      <c r="E290" t="s">
        <v>78</v>
      </c>
      <c r="F290" s="71">
        <v>41275</v>
      </c>
      <c r="G290">
        <v>84183.569999999992</v>
      </c>
      <c r="H290" s="3">
        <v>1139354.8700000001</v>
      </c>
      <c r="I290" s="3">
        <v>3885832.7799999989</v>
      </c>
      <c r="J290" s="3">
        <v>4743732.45</v>
      </c>
      <c r="K290">
        <v>7313137.4999999981</v>
      </c>
      <c r="L290">
        <v>8450464.9499999993</v>
      </c>
      <c r="M290">
        <v>9887343.2100000009</v>
      </c>
      <c r="N290">
        <v>9897322.9900000021</v>
      </c>
      <c r="O290">
        <v>9933680.2800000012</v>
      </c>
      <c r="P290">
        <v>9942580.7000000011</v>
      </c>
      <c r="Q290">
        <v>9943465.870000001</v>
      </c>
      <c r="R290">
        <v>9943465.870000001</v>
      </c>
      <c r="S290">
        <v>9943465.870000001</v>
      </c>
    </row>
    <row r="291" spans="1:31" x14ac:dyDescent="0.25">
      <c r="A291" s="28" t="s">
        <v>56</v>
      </c>
      <c r="B291" t="s">
        <v>80</v>
      </c>
      <c r="C291" t="s">
        <v>77</v>
      </c>
      <c r="D291" t="s">
        <v>82</v>
      </c>
      <c r="E291" t="s">
        <v>78</v>
      </c>
      <c r="F291" s="71">
        <v>41640</v>
      </c>
      <c r="G291">
        <v>200370.85</v>
      </c>
      <c r="H291" s="3">
        <v>3552427.77</v>
      </c>
      <c r="I291" s="3">
        <v>7470585.1800000006</v>
      </c>
      <c r="J291" s="3">
        <v>9623552.1900000032</v>
      </c>
      <c r="K291">
        <v>11229984.57</v>
      </c>
      <c r="L291">
        <v>12645717.529999999</v>
      </c>
      <c r="M291">
        <v>13820212.83</v>
      </c>
      <c r="N291">
        <v>14835237.039999999</v>
      </c>
      <c r="O291">
        <v>14859306.83</v>
      </c>
      <c r="P291">
        <v>14860529.83</v>
      </c>
      <c r="Q291">
        <v>14848967.84</v>
      </c>
      <c r="R291">
        <v>14850123.73</v>
      </c>
    </row>
    <row r="292" spans="1:31" x14ac:dyDescent="0.25">
      <c r="A292" s="28" t="s">
        <v>56</v>
      </c>
      <c r="B292" t="s">
        <v>80</v>
      </c>
      <c r="C292" t="s">
        <v>77</v>
      </c>
      <c r="D292" t="s">
        <v>82</v>
      </c>
      <c r="E292" t="s">
        <v>78</v>
      </c>
      <c r="F292" s="71">
        <v>42005</v>
      </c>
      <c r="G292">
        <v>380124.96000000008</v>
      </c>
      <c r="H292" s="3">
        <v>5478117.3400000008</v>
      </c>
      <c r="I292" s="3">
        <v>10644590.470000001</v>
      </c>
      <c r="J292" s="3">
        <v>15951882.109999999</v>
      </c>
      <c r="K292">
        <v>23645936.489999991</v>
      </c>
      <c r="L292">
        <v>25416679.300000001</v>
      </c>
      <c r="M292">
        <v>27980995.120000001</v>
      </c>
      <c r="N292">
        <v>28078451.609999999</v>
      </c>
      <c r="O292">
        <v>28839670.460000001</v>
      </c>
      <c r="P292">
        <v>29870211.280000001</v>
      </c>
      <c r="Q292">
        <v>30071874.870000001</v>
      </c>
    </row>
    <row r="293" spans="1:31" x14ac:dyDescent="0.25">
      <c r="A293" s="28" t="s">
        <v>56</v>
      </c>
      <c r="B293" t="s">
        <v>80</v>
      </c>
      <c r="C293" t="s">
        <v>77</v>
      </c>
      <c r="D293" t="s">
        <v>82</v>
      </c>
      <c r="E293" t="s">
        <v>78</v>
      </c>
      <c r="F293" s="71">
        <v>42370</v>
      </c>
      <c r="G293">
        <v>498767.52</v>
      </c>
      <c r="H293" s="3">
        <v>6664616.4600000009</v>
      </c>
      <c r="I293" s="3">
        <v>14067363.85</v>
      </c>
      <c r="J293" s="3">
        <v>21778765.25</v>
      </c>
      <c r="K293">
        <v>25804686.050000001</v>
      </c>
      <c r="L293">
        <v>28962994.350000001</v>
      </c>
      <c r="M293">
        <v>31834629.5</v>
      </c>
      <c r="N293">
        <v>32301535.140000001</v>
      </c>
      <c r="O293">
        <v>33592147.25</v>
      </c>
      <c r="P293">
        <v>33613555.890000001</v>
      </c>
    </row>
    <row r="294" spans="1:31" x14ac:dyDescent="0.25">
      <c r="A294" s="28" t="s">
        <v>56</v>
      </c>
      <c r="B294" t="s">
        <v>80</v>
      </c>
      <c r="C294" t="s">
        <v>77</v>
      </c>
      <c r="D294" t="s">
        <v>82</v>
      </c>
      <c r="E294" t="s">
        <v>78</v>
      </c>
      <c r="F294" s="71">
        <v>42736</v>
      </c>
      <c r="G294">
        <v>582349.77999999991</v>
      </c>
      <c r="H294" s="3">
        <v>8296989.1300000008</v>
      </c>
      <c r="I294" s="3">
        <v>18146268.850000001</v>
      </c>
      <c r="J294" s="3">
        <v>26668479.910000041</v>
      </c>
      <c r="K294">
        <v>34143821.030000053</v>
      </c>
      <c r="L294">
        <v>40809113.280000053</v>
      </c>
      <c r="M294">
        <v>47539031.5</v>
      </c>
      <c r="N294">
        <v>48795709.469999999</v>
      </c>
      <c r="O294">
        <v>48905216.030000001</v>
      </c>
    </row>
    <row r="295" spans="1:31" x14ac:dyDescent="0.25">
      <c r="A295" s="28" t="s">
        <v>56</v>
      </c>
      <c r="B295" t="s">
        <v>80</v>
      </c>
      <c r="C295" t="s">
        <v>77</v>
      </c>
      <c r="D295" t="s">
        <v>82</v>
      </c>
      <c r="E295" t="s">
        <v>78</v>
      </c>
      <c r="F295" s="71">
        <v>43101</v>
      </c>
      <c r="G295">
        <v>1223611.31</v>
      </c>
      <c r="H295" s="3">
        <v>15854401.07</v>
      </c>
      <c r="I295" s="3">
        <v>28082364.84</v>
      </c>
      <c r="J295" s="3">
        <v>40970284.690000013</v>
      </c>
      <c r="K295">
        <v>59487965.840000004</v>
      </c>
      <c r="L295">
        <v>73722634.190000013</v>
      </c>
      <c r="M295">
        <v>78030764.319999993</v>
      </c>
      <c r="N295">
        <v>80100627.980000019</v>
      </c>
    </row>
    <row r="296" spans="1:31" x14ac:dyDescent="0.25">
      <c r="A296" s="28" t="s">
        <v>56</v>
      </c>
      <c r="B296" t="s">
        <v>80</v>
      </c>
      <c r="C296" t="s">
        <v>77</v>
      </c>
      <c r="D296" t="s">
        <v>82</v>
      </c>
      <c r="E296" t="s">
        <v>78</v>
      </c>
      <c r="F296" s="71">
        <v>43466</v>
      </c>
      <c r="G296">
        <v>1551570.21</v>
      </c>
      <c r="H296" s="3">
        <v>22644712.079999998</v>
      </c>
      <c r="I296" s="3">
        <v>45063588.460000023</v>
      </c>
      <c r="J296" s="3">
        <v>71465578.019999981</v>
      </c>
      <c r="K296">
        <v>103612216.40000001</v>
      </c>
      <c r="L296">
        <v>123786343.02</v>
      </c>
      <c r="M296">
        <v>135080127.28999999</v>
      </c>
    </row>
    <row r="297" spans="1:31" x14ac:dyDescent="0.25">
      <c r="A297" s="28" t="s">
        <v>56</v>
      </c>
      <c r="B297" t="s">
        <v>80</v>
      </c>
      <c r="C297" t="s">
        <v>77</v>
      </c>
      <c r="D297" t="s">
        <v>82</v>
      </c>
      <c r="E297" t="s">
        <v>78</v>
      </c>
      <c r="F297" s="71">
        <v>43831</v>
      </c>
      <c r="G297">
        <v>2083427.15</v>
      </c>
      <c r="H297" s="3">
        <v>18586635.920000002</v>
      </c>
      <c r="I297" s="3">
        <v>38354095.079999998</v>
      </c>
      <c r="J297" s="3">
        <v>67255849.079999998</v>
      </c>
      <c r="K297">
        <v>86795339.530000016</v>
      </c>
      <c r="L297">
        <v>96000444.390000015</v>
      </c>
    </row>
    <row r="298" spans="1:31" x14ac:dyDescent="0.25">
      <c r="A298" s="28" t="s">
        <v>56</v>
      </c>
      <c r="B298" t="s">
        <v>80</v>
      </c>
      <c r="C298" t="s">
        <v>77</v>
      </c>
      <c r="D298" t="s">
        <v>82</v>
      </c>
      <c r="E298" t="s">
        <v>78</v>
      </c>
      <c r="F298" s="71">
        <v>44197</v>
      </c>
      <c r="G298">
        <v>1788766.82</v>
      </c>
      <c r="H298" s="3">
        <v>26171786.949999999</v>
      </c>
      <c r="I298" s="3">
        <v>64023023.049999997</v>
      </c>
      <c r="J298" s="3">
        <v>96132949.579999983</v>
      </c>
      <c r="K298">
        <v>123138705.87</v>
      </c>
    </row>
    <row r="299" spans="1:31" x14ac:dyDescent="0.25">
      <c r="A299" s="28" t="s">
        <v>56</v>
      </c>
      <c r="B299" t="s">
        <v>80</v>
      </c>
      <c r="C299" t="s">
        <v>77</v>
      </c>
      <c r="D299" t="s">
        <v>82</v>
      </c>
      <c r="E299" t="s">
        <v>78</v>
      </c>
      <c r="F299" s="71">
        <v>44562</v>
      </c>
      <c r="G299">
        <v>2314265.71</v>
      </c>
      <c r="H299" s="3">
        <v>28604293.29000001</v>
      </c>
      <c r="I299" s="3">
        <v>66463281.920000009</v>
      </c>
      <c r="J299" s="3">
        <v>102477736.88</v>
      </c>
    </row>
    <row r="300" spans="1:31" x14ac:dyDescent="0.25">
      <c r="A300" s="28" t="s">
        <v>56</v>
      </c>
      <c r="B300" t="s">
        <v>80</v>
      </c>
      <c r="C300" t="s">
        <v>77</v>
      </c>
      <c r="D300" t="s">
        <v>82</v>
      </c>
      <c r="E300" t="s">
        <v>78</v>
      </c>
      <c r="F300" s="71">
        <v>44927</v>
      </c>
      <c r="G300">
        <v>2454972.98</v>
      </c>
      <c r="H300" s="3">
        <v>31557939.780000001</v>
      </c>
      <c r="I300" s="3">
        <v>79009475.349999979</v>
      </c>
      <c r="J300" s="3"/>
    </row>
    <row r="301" spans="1:31" x14ac:dyDescent="0.25">
      <c r="A301" s="28" t="s">
        <v>56</v>
      </c>
      <c r="B301" t="s">
        <v>80</v>
      </c>
      <c r="C301" t="s">
        <v>77</v>
      </c>
      <c r="D301" t="s">
        <v>82</v>
      </c>
      <c r="E301" t="s">
        <v>78</v>
      </c>
      <c r="F301" s="71">
        <v>45292</v>
      </c>
      <c r="G301">
        <v>2758248.6999999988</v>
      </c>
      <c r="H301" s="3">
        <v>31254576.800000001</v>
      </c>
      <c r="I301" s="3"/>
      <c r="J301" s="3"/>
    </row>
    <row r="302" spans="1:31" x14ac:dyDescent="0.25">
      <c r="A302" s="28" t="s">
        <v>56</v>
      </c>
      <c r="B302" t="s">
        <v>80</v>
      </c>
      <c r="C302" t="s">
        <v>77</v>
      </c>
      <c r="D302" t="s">
        <v>82</v>
      </c>
      <c r="E302" t="s">
        <v>78</v>
      </c>
      <c r="F302" s="71">
        <v>45658</v>
      </c>
      <c r="G302">
        <v>2648518.08</v>
      </c>
      <c r="H302" s="3"/>
      <c r="I302" s="3"/>
      <c r="J302" s="3"/>
    </row>
    <row r="303" spans="1:31" x14ac:dyDescent="0.25">
      <c r="A303" s="28" t="s">
        <v>57</v>
      </c>
      <c r="B303" t="s">
        <v>76</v>
      </c>
      <c r="C303" t="s">
        <v>77</v>
      </c>
      <c r="D303" t="s">
        <v>82</v>
      </c>
      <c r="E303" t="s">
        <v>78</v>
      </c>
      <c r="F303" s="71">
        <v>36892</v>
      </c>
      <c r="G303">
        <v>0</v>
      </c>
      <c r="H303" s="3">
        <v>0</v>
      </c>
      <c r="I303" s="3">
        <v>0</v>
      </c>
      <c r="J303" s="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 s="28" t="s">
        <v>57</v>
      </c>
      <c r="B304" t="s">
        <v>76</v>
      </c>
      <c r="C304" t="s">
        <v>77</v>
      </c>
      <c r="D304" t="s">
        <v>82</v>
      </c>
      <c r="E304" t="s">
        <v>78</v>
      </c>
      <c r="F304" s="71">
        <v>37257</v>
      </c>
      <c r="G304">
        <v>0</v>
      </c>
      <c r="H304" s="3">
        <v>0</v>
      </c>
      <c r="I304" s="3">
        <v>0</v>
      </c>
      <c r="J304" s="3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29" x14ac:dyDescent="0.25">
      <c r="A305" s="28" t="s">
        <v>57</v>
      </c>
      <c r="B305" t="s">
        <v>76</v>
      </c>
      <c r="C305" t="s">
        <v>77</v>
      </c>
      <c r="D305" t="s">
        <v>82</v>
      </c>
      <c r="E305" t="s">
        <v>78</v>
      </c>
      <c r="F305" s="71">
        <v>37622</v>
      </c>
      <c r="G305">
        <v>0</v>
      </c>
      <c r="H305" s="3">
        <v>0</v>
      </c>
      <c r="I305" s="3">
        <v>0</v>
      </c>
      <c r="J305" s="3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25">
      <c r="A306" s="28" t="s">
        <v>57</v>
      </c>
      <c r="B306" t="s">
        <v>76</v>
      </c>
      <c r="C306" t="s">
        <v>77</v>
      </c>
      <c r="D306" t="s">
        <v>82</v>
      </c>
      <c r="E306" t="s">
        <v>78</v>
      </c>
      <c r="F306" s="71">
        <v>37987</v>
      </c>
      <c r="G306">
        <v>0</v>
      </c>
      <c r="H306" s="3">
        <v>0</v>
      </c>
      <c r="I306" s="3">
        <v>0</v>
      </c>
      <c r="J306" s="3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9" x14ac:dyDescent="0.25">
      <c r="A307" s="28" t="s">
        <v>57</v>
      </c>
      <c r="B307" t="s">
        <v>76</v>
      </c>
      <c r="C307" t="s">
        <v>77</v>
      </c>
      <c r="D307" t="s">
        <v>82</v>
      </c>
      <c r="E307" t="s">
        <v>78</v>
      </c>
      <c r="F307" s="71">
        <v>38353</v>
      </c>
      <c r="G307">
        <v>0</v>
      </c>
      <c r="H307" s="3">
        <v>0</v>
      </c>
      <c r="I307" s="3">
        <v>0</v>
      </c>
      <c r="J307" s="3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9" x14ac:dyDescent="0.25">
      <c r="A308" s="28" t="s">
        <v>57</v>
      </c>
      <c r="B308" t="s">
        <v>76</v>
      </c>
      <c r="C308" t="s">
        <v>77</v>
      </c>
      <c r="D308" t="s">
        <v>82</v>
      </c>
      <c r="E308" t="s">
        <v>78</v>
      </c>
      <c r="F308" s="71">
        <v>38718</v>
      </c>
      <c r="G308">
        <v>0</v>
      </c>
      <c r="H308" s="3">
        <v>0</v>
      </c>
      <c r="I308" s="3">
        <v>0</v>
      </c>
      <c r="J308" s="3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9" x14ac:dyDescent="0.25">
      <c r="A309" s="28" t="s">
        <v>57</v>
      </c>
      <c r="B309" t="s">
        <v>76</v>
      </c>
      <c r="C309" t="s">
        <v>77</v>
      </c>
      <c r="D309" t="s">
        <v>82</v>
      </c>
      <c r="E309" t="s">
        <v>78</v>
      </c>
      <c r="F309" s="71">
        <v>39083</v>
      </c>
      <c r="G309">
        <v>0</v>
      </c>
      <c r="H309" s="3">
        <v>0</v>
      </c>
      <c r="I309" s="3">
        <v>0</v>
      </c>
      <c r="J309" s="3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9" x14ac:dyDescent="0.25">
      <c r="A310" s="28" t="s">
        <v>57</v>
      </c>
      <c r="B310" t="s">
        <v>76</v>
      </c>
      <c r="C310" t="s">
        <v>77</v>
      </c>
      <c r="D310" t="s">
        <v>82</v>
      </c>
      <c r="E310" t="s">
        <v>78</v>
      </c>
      <c r="F310" s="71">
        <v>39448</v>
      </c>
      <c r="G310">
        <v>0</v>
      </c>
      <c r="H310" s="3">
        <v>0</v>
      </c>
      <c r="I310" s="3">
        <v>0</v>
      </c>
      <c r="J310" s="3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9" x14ac:dyDescent="0.25">
      <c r="A311" s="28" t="s">
        <v>57</v>
      </c>
      <c r="B311" t="s">
        <v>76</v>
      </c>
      <c r="C311" t="s">
        <v>77</v>
      </c>
      <c r="D311" t="s">
        <v>82</v>
      </c>
      <c r="E311" t="s">
        <v>78</v>
      </c>
      <c r="F311" s="71">
        <v>39814</v>
      </c>
      <c r="G311">
        <v>0</v>
      </c>
      <c r="H311" s="3">
        <v>0</v>
      </c>
      <c r="I311" s="3">
        <v>0</v>
      </c>
      <c r="J311" s="3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9" x14ac:dyDescent="0.25">
      <c r="A312" s="28" t="s">
        <v>57</v>
      </c>
      <c r="B312" t="s">
        <v>76</v>
      </c>
      <c r="C312" t="s">
        <v>77</v>
      </c>
      <c r="D312" t="s">
        <v>82</v>
      </c>
      <c r="E312" t="s">
        <v>78</v>
      </c>
      <c r="F312" s="71">
        <v>40179</v>
      </c>
      <c r="G312">
        <v>0</v>
      </c>
      <c r="H312" s="3">
        <v>0</v>
      </c>
      <c r="I312" s="3">
        <v>0</v>
      </c>
      <c r="J312" s="3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9" x14ac:dyDescent="0.25">
      <c r="A313" s="28" t="s">
        <v>57</v>
      </c>
      <c r="B313" t="s">
        <v>76</v>
      </c>
      <c r="C313" t="s">
        <v>77</v>
      </c>
      <c r="D313" t="s">
        <v>82</v>
      </c>
      <c r="E313" t="s">
        <v>78</v>
      </c>
      <c r="F313" s="71">
        <v>40544</v>
      </c>
      <c r="G313">
        <v>0</v>
      </c>
      <c r="H313" s="3">
        <v>0</v>
      </c>
      <c r="I313" s="3">
        <v>0</v>
      </c>
      <c r="J313" s="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9" x14ac:dyDescent="0.25">
      <c r="A314" s="28" t="s">
        <v>57</v>
      </c>
      <c r="B314" t="s">
        <v>76</v>
      </c>
      <c r="C314" t="s">
        <v>77</v>
      </c>
      <c r="D314" t="s">
        <v>82</v>
      </c>
      <c r="E314" t="s">
        <v>78</v>
      </c>
      <c r="F314" s="71">
        <v>40909</v>
      </c>
      <c r="G314">
        <v>0</v>
      </c>
      <c r="H314" s="3">
        <v>0</v>
      </c>
      <c r="I314" s="3">
        <v>0</v>
      </c>
      <c r="J314" s="3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9" x14ac:dyDescent="0.25">
      <c r="A315" s="28" t="s">
        <v>57</v>
      </c>
      <c r="B315" t="s">
        <v>76</v>
      </c>
      <c r="C315" t="s">
        <v>77</v>
      </c>
      <c r="D315" t="s">
        <v>82</v>
      </c>
      <c r="E315" t="s">
        <v>78</v>
      </c>
      <c r="F315" s="71">
        <v>41275</v>
      </c>
      <c r="G315">
        <v>871119.92272930581</v>
      </c>
      <c r="H315" s="3">
        <v>871119.92272930581</v>
      </c>
      <c r="I315" s="3">
        <v>871119.92272930581</v>
      </c>
      <c r="J315" s="3">
        <v>871119.92272930581</v>
      </c>
      <c r="K315">
        <v>871119.92272930581</v>
      </c>
      <c r="L315">
        <v>871119.92272930581</v>
      </c>
      <c r="M315">
        <v>871119.92272930581</v>
      </c>
      <c r="N315">
        <v>871119.92272930581</v>
      </c>
      <c r="O315">
        <v>871119.92272930581</v>
      </c>
      <c r="P315">
        <v>871119.92272930581</v>
      </c>
      <c r="Q315">
        <v>871119.92272930581</v>
      </c>
      <c r="R315">
        <v>871119.92272930581</v>
      </c>
      <c r="S315">
        <v>871119.92272930581</v>
      </c>
    </row>
    <row r="316" spans="1:29" x14ac:dyDescent="0.25">
      <c r="A316" s="28" t="s">
        <v>57</v>
      </c>
      <c r="B316" t="s">
        <v>76</v>
      </c>
      <c r="C316" t="s">
        <v>77</v>
      </c>
      <c r="D316" t="s">
        <v>82</v>
      </c>
      <c r="E316" t="s">
        <v>78</v>
      </c>
      <c r="F316" s="71">
        <v>41640</v>
      </c>
      <c r="G316">
        <v>11848346.157</v>
      </c>
      <c r="H316" s="3">
        <v>11848346.157</v>
      </c>
      <c r="I316" s="3">
        <v>11848346.157</v>
      </c>
      <c r="J316" s="3">
        <v>11848346.157</v>
      </c>
      <c r="K316">
        <v>11848346.157</v>
      </c>
      <c r="L316">
        <v>11848346.157</v>
      </c>
      <c r="M316">
        <v>11848346.157</v>
      </c>
      <c r="N316">
        <v>11848346.157</v>
      </c>
      <c r="O316">
        <v>11848346.157</v>
      </c>
      <c r="P316">
        <v>11848346.157</v>
      </c>
      <c r="Q316">
        <v>11848346.157</v>
      </c>
      <c r="R316">
        <v>11848346.157</v>
      </c>
    </row>
    <row r="317" spans="1:29" x14ac:dyDescent="0.25">
      <c r="A317" s="28" t="s">
        <v>57</v>
      </c>
      <c r="B317" t="s">
        <v>76</v>
      </c>
      <c r="C317" t="s">
        <v>77</v>
      </c>
      <c r="D317" t="s">
        <v>82</v>
      </c>
      <c r="E317" t="s">
        <v>78</v>
      </c>
      <c r="F317" s="71">
        <v>42005</v>
      </c>
      <c r="G317">
        <v>22925659.425687931</v>
      </c>
      <c r="H317" s="3">
        <v>22925659.425687931</v>
      </c>
      <c r="I317" s="3">
        <v>22925659.425687931</v>
      </c>
      <c r="J317" s="3">
        <v>22925659.425687931</v>
      </c>
      <c r="K317">
        <v>22925659.425687931</v>
      </c>
      <c r="L317">
        <v>22925659.425687931</v>
      </c>
      <c r="M317">
        <v>22925659.425687931</v>
      </c>
      <c r="N317">
        <v>22925659.425687931</v>
      </c>
      <c r="O317">
        <v>22925659.425687931</v>
      </c>
      <c r="P317">
        <v>22925659.425687931</v>
      </c>
      <c r="Q317">
        <v>22925659.425687931</v>
      </c>
    </row>
    <row r="318" spans="1:29" x14ac:dyDescent="0.25">
      <c r="A318" s="28" t="s">
        <v>57</v>
      </c>
      <c r="B318" t="s">
        <v>76</v>
      </c>
      <c r="C318" t="s">
        <v>77</v>
      </c>
      <c r="D318" t="s">
        <v>82</v>
      </c>
      <c r="E318" t="s">
        <v>78</v>
      </c>
      <c r="F318" s="71">
        <v>42370</v>
      </c>
      <c r="G318">
        <v>27114830.15302556</v>
      </c>
      <c r="H318" s="3">
        <v>27114830.15302556</v>
      </c>
      <c r="I318" s="3">
        <v>27114830.15302556</v>
      </c>
      <c r="J318" s="3">
        <v>27114830.15302556</v>
      </c>
      <c r="K318">
        <v>27114830.15302556</v>
      </c>
      <c r="L318">
        <v>27114830.15302556</v>
      </c>
      <c r="M318">
        <v>27114830.15302556</v>
      </c>
      <c r="N318">
        <v>27114830.15302556</v>
      </c>
      <c r="O318">
        <v>27114830.15302556</v>
      </c>
      <c r="P318">
        <v>27114830.15302556</v>
      </c>
    </row>
    <row r="319" spans="1:29" x14ac:dyDescent="0.25">
      <c r="A319" s="28" t="s">
        <v>57</v>
      </c>
      <c r="B319" t="s">
        <v>76</v>
      </c>
      <c r="C319" t="s">
        <v>77</v>
      </c>
      <c r="D319" t="s">
        <v>82</v>
      </c>
      <c r="E319" t="s">
        <v>78</v>
      </c>
      <c r="F319" s="71">
        <v>42736</v>
      </c>
      <c r="G319">
        <v>38059478.510000013</v>
      </c>
      <c r="H319" s="3">
        <v>38059478.510000013</v>
      </c>
      <c r="I319" s="3">
        <v>38059478.510000013</v>
      </c>
      <c r="J319" s="3">
        <v>38059478.510000013</v>
      </c>
      <c r="K319">
        <v>38059478.510000013</v>
      </c>
      <c r="L319">
        <v>38059478.510000013</v>
      </c>
      <c r="M319">
        <v>38059478.510000013</v>
      </c>
      <c r="N319">
        <v>38059478.510000013</v>
      </c>
      <c r="O319">
        <v>38059478.510000013</v>
      </c>
    </row>
    <row r="320" spans="1:29" x14ac:dyDescent="0.25">
      <c r="A320" s="28" t="s">
        <v>57</v>
      </c>
      <c r="B320" t="s">
        <v>76</v>
      </c>
      <c r="C320" t="s">
        <v>77</v>
      </c>
      <c r="D320" t="s">
        <v>82</v>
      </c>
      <c r="E320" t="s">
        <v>78</v>
      </c>
      <c r="F320" s="71">
        <v>43101</v>
      </c>
      <c r="G320">
        <v>52866291.040000007</v>
      </c>
      <c r="H320" s="3">
        <v>52866291.040000007</v>
      </c>
      <c r="I320" s="3">
        <v>52866291.040000007</v>
      </c>
      <c r="J320" s="3">
        <v>52866291.040000007</v>
      </c>
      <c r="K320">
        <v>52866291.040000007</v>
      </c>
      <c r="L320">
        <v>52866291.040000007</v>
      </c>
      <c r="M320">
        <v>52866291.040000007</v>
      </c>
      <c r="N320">
        <v>52866291.040000007</v>
      </c>
    </row>
    <row r="321" spans="1:31" x14ac:dyDescent="0.25">
      <c r="A321" s="28" t="s">
        <v>57</v>
      </c>
      <c r="B321" t="s">
        <v>76</v>
      </c>
      <c r="C321" t="s">
        <v>77</v>
      </c>
      <c r="D321" t="s">
        <v>82</v>
      </c>
      <c r="E321" t="s">
        <v>78</v>
      </c>
      <c r="F321" s="71">
        <v>43466</v>
      </c>
      <c r="G321">
        <v>65409704.279999971</v>
      </c>
      <c r="H321" s="3">
        <v>65409704.279999971</v>
      </c>
      <c r="I321" s="3">
        <v>65409704.279999971</v>
      </c>
      <c r="J321" s="3">
        <v>65409704.279999971</v>
      </c>
      <c r="K321">
        <v>65409704.279999971</v>
      </c>
      <c r="L321">
        <v>65409704.279999971</v>
      </c>
      <c r="M321">
        <v>65409704.279999971</v>
      </c>
    </row>
    <row r="322" spans="1:31" x14ac:dyDescent="0.25">
      <c r="A322" s="28" t="s">
        <v>57</v>
      </c>
      <c r="B322" t="s">
        <v>76</v>
      </c>
      <c r="C322" t="s">
        <v>77</v>
      </c>
      <c r="D322" t="s">
        <v>82</v>
      </c>
      <c r="E322" t="s">
        <v>78</v>
      </c>
      <c r="F322" s="71">
        <v>43831</v>
      </c>
      <c r="G322">
        <v>51512735.443921238</v>
      </c>
      <c r="H322" s="3">
        <v>51512735.443921238</v>
      </c>
      <c r="I322" s="3">
        <v>51512735.443921238</v>
      </c>
      <c r="J322" s="3">
        <v>51512735.443921238</v>
      </c>
      <c r="K322">
        <v>51512735.443921238</v>
      </c>
      <c r="L322">
        <v>51512735.443921238</v>
      </c>
    </row>
    <row r="323" spans="1:31" x14ac:dyDescent="0.25">
      <c r="A323" s="28" t="s">
        <v>57</v>
      </c>
      <c r="B323" t="s">
        <v>76</v>
      </c>
      <c r="C323" t="s">
        <v>77</v>
      </c>
      <c r="D323" t="s">
        <v>82</v>
      </c>
      <c r="E323" t="s">
        <v>78</v>
      </c>
      <c r="F323" s="71">
        <v>44197</v>
      </c>
      <c r="G323">
        <v>67185464.163293183</v>
      </c>
      <c r="H323" s="3">
        <v>67185464.163293183</v>
      </c>
      <c r="I323" s="3">
        <v>67185464.163293183</v>
      </c>
      <c r="J323" s="3">
        <v>67185464.163293183</v>
      </c>
      <c r="K323">
        <v>67185464.163293183</v>
      </c>
    </row>
    <row r="324" spans="1:31" x14ac:dyDescent="0.25">
      <c r="A324" s="28" t="s">
        <v>57</v>
      </c>
      <c r="B324" t="s">
        <v>76</v>
      </c>
      <c r="C324" t="s">
        <v>77</v>
      </c>
      <c r="D324" t="s">
        <v>82</v>
      </c>
      <c r="E324" t="s">
        <v>78</v>
      </c>
      <c r="F324" s="71">
        <v>44562</v>
      </c>
      <c r="G324">
        <v>107237815.9593211</v>
      </c>
      <c r="H324" s="3">
        <v>107237815.9593211</v>
      </c>
      <c r="I324" s="3">
        <v>107237815.9593211</v>
      </c>
      <c r="J324" s="3">
        <v>107237815.9593211</v>
      </c>
    </row>
    <row r="325" spans="1:31" x14ac:dyDescent="0.25">
      <c r="A325" s="28" t="s">
        <v>57</v>
      </c>
      <c r="B325" t="s">
        <v>76</v>
      </c>
      <c r="C325" t="s">
        <v>77</v>
      </c>
      <c r="D325" t="s">
        <v>82</v>
      </c>
      <c r="E325" t="s">
        <v>78</v>
      </c>
      <c r="F325" s="71">
        <v>44927</v>
      </c>
      <c r="G325">
        <v>118402221.2870594</v>
      </c>
      <c r="H325" s="3">
        <v>118402221.2870594</v>
      </c>
      <c r="I325" s="3">
        <v>118402221.2870594</v>
      </c>
      <c r="J325" s="3"/>
    </row>
    <row r="326" spans="1:31" x14ac:dyDescent="0.25">
      <c r="A326" s="28" t="s">
        <v>57</v>
      </c>
      <c r="B326" t="s">
        <v>76</v>
      </c>
      <c r="C326" t="s">
        <v>77</v>
      </c>
      <c r="D326" t="s">
        <v>82</v>
      </c>
      <c r="E326" t="s">
        <v>78</v>
      </c>
      <c r="F326" s="71">
        <v>45292</v>
      </c>
      <c r="G326">
        <v>99062282.364791617</v>
      </c>
      <c r="H326" s="3">
        <v>99062282.364791617</v>
      </c>
      <c r="I326" s="3"/>
      <c r="J326" s="3"/>
    </row>
    <row r="327" spans="1:31" x14ac:dyDescent="0.25">
      <c r="A327" s="28" t="s">
        <v>57</v>
      </c>
      <c r="B327" t="s">
        <v>76</v>
      </c>
      <c r="C327" t="s">
        <v>77</v>
      </c>
      <c r="D327" t="s">
        <v>82</v>
      </c>
      <c r="E327" t="s">
        <v>78</v>
      </c>
      <c r="F327" s="71">
        <v>45658</v>
      </c>
      <c r="G327">
        <v>32376575.28783166</v>
      </c>
      <c r="H327" s="3"/>
      <c r="I327" s="3"/>
      <c r="J327" s="3"/>
    </row>
    <row r="328" spans="1:31" x14ac:dyDescent="0.25">
      <c r="A328" s="28" t="s">
        <v>57</v>
      </c>
      <c r="B328" t="s">
        <v>79</v>
      </c>
      <c r="C328" t="s">
        <v>77</v>
      </c>
      <c r="D328" t="s">
        <v>82</v>
      </c>
      <c r="E328" t="s">
        <v>78</v>
      </c>
      <c r="F328" s="71">
        <v>36892</v>
      </c>
      <c r="G328">
        <v>0</v>
      </c>
      <c r="H328" s="3">
        <v>0</v>
      </c>
      <c r="I328" s="3">
        <v>0</v>
      </c>
      <c r="J328" s="3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25">
      <c r="A329" s="28" t="s">
        <v>57</v>
      </c>
      <c r="B329" t="s">
        <v>79</v>
      </c>
      <c r="C329" t="s">
        <v>77</v>
      </c>
      <c r="D329" t="s">
        <v>82</v>
      </c>
      <c r="E329" t="s">
        <v>78</v>
      </c>
      <c r="F329" s="71">
        <v>37257</v>
      </c>
      <c r="G329">
        <v>0</v>
      </c>
      <c r="H329" s="3">
        <v>0</v>
      </c>
      <c r="I329" s="3">
        <v>0</v>
      </c>
      <c r="J329" s="3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1" x14ac:dyDescent="0.25">
      <c r="A330" s="28" t="s">
        <v>57</v>
      </c>
      <c r="B330" t="s">
        <v>79</v>
      </c>
      <c r="C330" t="s">
        <v>77</v>
      </c>
      <c r="D330" t="s">
        <v>82</v>
      </c>
      <c r="E330" t="s">
        <v>78</v>
      </c>
      <c r="F330" s="71">
        <v>37622</v>
      </c>
      <c r="G330">
        <v>0</v>
      </c>
      <c r="H330" s="3">
        <v>0</v>
      </c>
      <c r="I330" s="3">
        <v>0</v>
      </c>
      <c r="J330" s="3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31" x14ac:dyDescent="0.25">
      <c r="A331" s="28" t="s">
        <v>57</v>
      </c>
      <c r="B331" t="s">
        <v>79</v>
      </c>
      <c r="C331" t="s">
        <v>77</v>
      </c>
      <c r="D331" t="s">
        <v>82</v>
      </c>
      <c r="E331" t="s">
        <v>78</v>
      </c>
      <c r="F331" s="71">
        <v>37987</v>
      </c>
      <c r="G331">
        <v>0</v>
      </c>
      <c r="H331" s="3">
        <v>0</v>
      </c>
      <c r="I331" s="3">
        <v>0</v>
      </c>
      <c r="J331" s="3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31" x14ac:dyDescent="0.25">
      <c r="A332" s="28" t="s">
        <v>57</v>
      </c>
      <c r="B332" t="s">
        <v>79</v>
      </c>
      <c r="C332" t="s">
        <v>77</v>
      </c>
      <c r="D332" t="s">
        <v>82</v>
      </c>
      <c r="E332" t="s">
        <v>78</v>
      </c>
      <c r="F332" s="71">
        <v>38353</v>
      </c>
      <c r="G332">
        <v>0</v>
      </c>
      <c r="H332" s="3">
        <v>0</v>
      </c>
      <c r="I332" s="3">
        <v>0</v>
      </c>
      <c r="J332" s="3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31" x14ac:dyDescent="0.25">
      <c r="A333" s="28" t="s">
        <v>57</v>
      </c>
      <c r="B333" t="s">
        <v>79</v>
      </c>
      <c r="C333" t="s">
        <v>77</v>
      </c>
      <c r="D333" t="s">
        <v>82</v>
      </c>
      <c r="E333" t="s">
        <v>78</v>
      </c>
      <c r="F333" s="71">
        <v>38718</v>
      </c>
      <c r="G333">
        <v>0</v>
      </c>
      <c r="H333" s="3">
        <v>0</v>
      </c>
      <c r="I333" s="3">
        <v>0</v>
      </c>
      <c r="J333" s="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31" x14ac:dyDescent="0.25">
      <c r="A334" s="28" t="s">
        <v>57</v>
      </c>
      <c r="B334" t="s">
        <v>79</v>
      </c>
      <c r="C334" t="s">
        <v>77</v>
      </c>
      <c r="D334" t="s">
        <v>82</v>
      </c>
      <c r="E334" t="s">
        <v>78</v>
      </c>
      <c r="F334" s="71">
        <v>39083</v>
      </c>
      <c r="G334">
        <v>0</v>
      </c>
      <c r="H334" s="3">
        <v>0</v>
      </c>
      <c r="I334" s="3">
        <v>0</v>
      </c>
      <c r="J334" s="3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31" x14ac:dyDescent="0.25">
      <c r="A335" s="28" t="s">
        <v>57</v>
      </c>
      <c r="B335" t="s">
        <v>79</v>
      </c>
      <c r="C335" t="s">
        <v>77</v>
      </c>
      <c r="D335" t="s">
        <v>82</v>
      </c>
      <c r="E335" t="s">
        <v>78</v>
      </c>
      <c r="F335" s="71">
        <v>39448</v>
      </c>
      <c r="G335">
        <v>0</v>
      </c>
      <c r="H335" s="3">
        <v>0</v>
      </c>
      <c r="I335" s="3">
        <v>0</v>
      </c>
      <c r="J335" s="3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31" x14ac:dyDescent="0.25">
      <c r="A336" s="28" t="s">
        <v>57</v>
      </c>
      <c r="B336" t="s">
        <v>79</v>
      </c>
      <c r="C336" t="s">
        <v>77</v>
      </c>
      <c r="D336" t="s">
        <v>82</v>
      </c>
      <c r="E336" t="s">
        <v>78</v>
      </c>
      <c r="F336" s="71">
        <v>39814</v>
      </c>
      <c r="G336">
        <v>0</v>
      </c>
      <c r="H336" s="3">
        <v>0</v>
      </c>
      <c r="I336" s="3">
        <v>0</v>
      </c>
      <c r="J336" s="3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6" x14ac:dyDescent="0.25">
      <c r="A337" s="28" t="s">
        <v>57</v>
      </c>
      <c r="B337" t="s">
        <v>79</v>
      </c>
      <c r="C337" t="s">
        <v>77</v>
      </c>
      <c r="D337" t="s">
        <v>82</v>
      </c>
      <c r="E337" t="s">
        <v>78</v>
      </c>
      <c r="F337" s="71">
        <v>40179</v>
      </c>
      <c r="G337">
        <v>0</v>
      </c>
      <c r="H337" s="3">
        <v>0</v>
      </c>
      <c r="I337" s="3">
        <v>0</v>
      </c>
      <c r="J337" s="3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6" x14ac:dyDescent="0.25">
      <c r="A338" s="28" t="s">
        <v>57</v>
      </c>
      <c r="B338" t="s">
        <v>79</v>
      </c>
      <c r="C338" t="s">
        <v>77</v>
      </c>
      <c r="D338" t="s">
        <v>82</v>
      </c>
      <c r="E338" t="s">
        <v>78</v>
      </c>
      <c r="F338" s="71">
        <v>40544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/>
      <c r="W338" s="12"/>
      <c r="X338" s="12"/>
      <c r="Y338" s="12"/>
      <c r="Z338" s="12"/>
    </row>
    <row r="339" spans="1:26" x14ac:dyDescent="0.25">
      <c r="A339" s="28" t="s">
        <v>57</v>
      </c>
      <c r="B339" t="s">
        <v>79</v>
      </c>
      <c r="C339" t="s">
        <v>77</v>
      </c>
      <c r="D339" t="s">
        <v>82</v>
      </c>
      <c r="E339" t="s">
        <v>78</v>
      </c>
      <c r="F339" s="71">
        <v>40909</v>
      </c>
      <c r="G339">
        <v>0</v>
      </c>
      <c r="H339" s="3">
        <v>0</v>
      </c>
      <c r="I339" s="3">
        <v>0</v>
      </c>
      <c r="J339" s="3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6" x14ac:dyDescent="0.25">
      <c r="A340" s="28" t="s">
        <v>57</v>
      </c>
      <c r="B340" t="s">
        <v>79</v>
      </c>
      <c r="C340" t="s">
        <v>77</v>
      </c>
      <c r="D340" t="s">
        <v>82</v>
      </c>
      <c r="E340" t="s">
        <v>78</v>
      </c>
      <c r="F340" s="71">
        <v>41275</v>
      </c>
      <c r="G340">
        <v>0</v>
      </c>
      <c r="H340" s="3">
        <v>10000</v>
      </c>
      <c r="I340" s="3">
        <v>25000</v>
      </c>
      <c r="J340" s="3">
        <v>25000</v>
      </c>
      <c r="K340">
        <v>33000</v>
      </c>
      <c r="L340">
        <v>23394.799999999999</v>
      </c>
      <c r="M340">
        <v>23394.799999999999</v>
      </c>
      <c r="N340">
        <v>23394.799999999999</v>
      </c>
      <c r="O340">
        <v>23394.799999999999</v>
      </c>
      <c r="P340">
        <v>23394.799999999999</v>
      </c>
      <c r="Q340">
        <v>23394.799999999999</v>
      </c>
      <c r="R340">
        <v>23394.799999999999</v>
      </c>
      <c r="S340">
        <v>23397.8</v>
      </c>
    </row>
    <row r="341" spans="1:26" x14ac:dyDescent="0.25">
      <c r="A341" s="28" t="s">
        <v>57</v>
      </c>
      <c r="B341" t="s">
        <v>79</v>
      </c>
      <c r="C341" t="s">
        <v>77</v>
      </c>
      <c r="D341" t="s">
        <v>82</v>
      </c>
      <c r="E341" t="s">
        <v>78</v>
      </c>
      <c r="F341" s="71">
        <v>41640</v>
      </c>
      <c r="G341">
        <v>95572.9</v>
      </c>
      <c r="H341" s="3">
        <v>1825134.99</v>
      </c>
      <c r="I341" s="3">
        <v>3834331.39</v>
      </c>
      <c r="J341" s="3">
        <v>5443754.21</v>
      </c>
      <c r="K341">
        <v>8968321.0999999996</v>
      </c>
      <c r="L341">
        <v>9933421.3299999982</v>
      </c>
      <c r="M341">
        <v>11755639.84</v>
      </c>
      <c r="N341">
        <v>10734201.369999999</v>
      </c>
      <c r="O341">
        <v>10788248.59</v>
      </c>
      <c r="P341">
        <v>10838923.73</v>
      </c>
      <c r="Q341">
        <v>10844923.73</v>
      </c>
      <c r="R341">
        <v>10773223.33</v>
      </c>
    </row>
    <row r="342" spans="1:26" x14ac:dyDescent="0.25">
      <c r="A342" s="28" t="s">
        <v>57</v>
      </c>
      <c r="B342" t="s">
        <v>79</v>
      </c>
      <c r="C342" t="s">
        <v>77</v>
      </c>
      <c r="D342" t="s">
        <v>82</v>
      </c>
      <c r="E342" t="s">
        <v>78</v>
      </c>
      <c r="F342" s="71">
        <v>42005</v>
      </c>
      <c r="G342">
        <v>568002.48</v>
      </c>
      <c r="H342" s="3">
        <v>5859622.71</v>
      </c>
      <c r="I342" s="3">
        <v>11823041.74</v>
      </c>
      <c r="J342" s="3">
        <v>16622666.34</v>
      </c>
      <c r="K342">
        <v>20706954.68</v>
      </c>
      <c r="L342">
        <v>20555885.960000001</v>
      </c>
      <c r="M342">
        <v>21963509.579999998</v>
      </c>
      <c r="N342">
        <v>22498494.77</v>
      </c>
      <c r="O342">
        <v>23928377.800000001</v>
      </c>
      <c r="P342">
        <v>25155917.18</v>
      </c>
      <c r="Q342">
        <v>25560057.489999998</v>
      </c>
    </row>
    <row r="343" spans="1:26" x14ac:dyDescent="0.25">
      <c r="A343" s="28" t="s">
        <v>57</v>
      </c>
      <c r="B343" t="s">
        <v>79</v>
      </c>
      <c r="C343" t="s">
        <v>77</v>
      </c>
      <c r="D343" t="s">
        <v>82</v>
      </c>
      <c r="E343" t="s">
        <v>78</v>
      </c>
      <c r="F343" s="71">
        <v>42370</v>
      </c>
      <c r="G343">
        <v>192346</v>
      </c>
      <c r="H343" s="3">
        <v>4497277.03</v>
      </c>
      <c r="I343" s="3">
        <v>9329317.879999999</v>
      </c>
      <c r="J343" s="3">
        <v>15701246.619999999</v>
      </c>
      <c r="K343">
        <v>20102290.059999999</v>
      </c>
      <c r="L343">
        <v>22528739.760000009</v>
      </c>
      <c r="M343">
        <v>24643692.719999999</v>
      </c>
      <c r="N343">
        <v>26085922.32</v>
      </c>
      <c r="O343">
        <v>29950413.73</v>
      </c>
      <c r="P343">
        <v>29708444.359999999</v>
      </c>
    </row>
    <row r="344" spans="1:26" x14ac:dyDescent="0.25">
      <c r="A344" s="28" t="s">
        <v>57</v>
      </c>
      <c r="B344" t="s">
        <v>79</v>
      </c>
      <c r="C344" t="s">
        <v>77</v>
      </c>
      <c r="D344" t="s">
        <v>82</v>
      </c>
      <c r="E344" t="s">
        <v>78</v>
      </c>
      <c r="F344" s="71">
        <v>42736</v>
      </c>
      <c r="G344">
        <v>218557.13</v>
      </c>
      <c r="H344" s="3">
        <v>3173251.27</v>
      </c>
      <c r="I344" s="3">
        <v>9250931.1799999997</v>
      </c>
      <c r="J344" s="3">
        <v>17929414.609999999</v>
      </c>
      <c r="K344">
        <v>25875898.07</v>
      </c>
      <c r="L344">
        <v>36375556.109999999</v>
      </c>
      <c r="M344">
        <v>43914507.140000001</v>
      </c>
      <c r="N344">
        <v>45891538.140000001</v>
      </c>
      <c r="O344">
        <v>47623736.739999987</v>
      </c>
    </row>
    <row r="345" spans="1:26" x14ac:dyDescent="0.25">
      <c r="A345" s="28" t="s">
        <v>57</v>
      </c>
      <c r="B345" t="s">
        <v>79</v>
      </c>
      <c r="C345" t="s">
        <v>77</v>
      </c>
      <c r="D345" t="s">
        <v>82</v>
      </c>
      <c r="E345" t="s">
        <v>78</v>
      </c>
      <c r="F345" s="71">
        <v>43101</v>
      </c>
      <c r="G345">
        <v>692615.76</v>
      </c>
      <c r="H345" s="3">
        <v>7495057.7600000016</v>
      </c>
      <c r="I345" s="3">
        <v>18798069.59</v>
      </c>
      <c r="J345" s="3">
        <v>27060375.309999999</v>
      </c>
      <c r="K345">
        <v>37549353.390000001</v>
      </c>
      <c r="L345">
        <v>48914564.749999993</v>
      </c>
      <c r="M345">
        <v>54456221.639999993</v>
      </c>
      <c r="N345">
        <v>56607182.179999992</v>
      </c>
    </row>
    <row r="346" spans="1:26" x14ac:dyDescent="0.25">
      <c r="A346" s="28" t="s">
        <v>57</v>
      </c>
      <c r="B346" t="s">
        <v>79</v>
      </c>
      <c r="C346" t="s">
        <v>77</v>
      </c>
      <c r="D346" t="s">
        <v>82</v>
      </c>
      <c r="E346" t="s">
        <v>78</v>
      </c>
      <c r="F346" s="71">
        <v>43466</v>
      </c>
      <c r="G346">
        <v>830452.53999999992</v>
      </c>
      <c r="H346" s="3">
        <v>12979249.630000001</v>
      </c>
      <c r="I346" s="3">
        <v>24833933.260000002</v>
      </c>
      <c r="J346" s="3">
        <v>40804585.239999987</v>
      </c>
      <c r="K346">
        <v>60006142.970000014</v>
      </c>
      <c r="L346">
        <v>74704958.099999994</v>
      </c>
      <c r="M346">
        <v>79711191.390000001</v>
      </c>
    </row>
    <row r="347" spans="1:26" x14ac:dyDescent="0.25">
      <c r="A347" s="28" t="s">
        <v>57</v>
      </c>
      <c r="B347" t="s">
        <v>79</v>
      </c>
      <c r="C347" t="s">
        <v>77</v>
      </c>
      <c r="D347" t="s">
        <v>82</v>
      </c>
      <c r="E347" t="s">
        <v>78</v>
      </c>
      <c r="F347" s="71">
        <v>43831</v>
      </c>
      <c r="G347">
        <v>738972.38</v>
      </c>
      <c r="H347" s="3">
        <v>6180838.5800000001</v>
      </c>
      <c r="I347" s="3">
        <v>11595647.93</v>
      </c>
      <c r="J347" s="3">
        <v>22013912.050000001</v>
      </c>
      <c r="K347">
        <v>34459381.049999997</v>
      </c>
      <c r="L347">
        <v>41370559.280000001</v>
      </c>
    </row>
    <row r="348" spans="1:26" x14ac:dyDescent="0.25">
      <c r="A348" s="28" t="s">
        <v>57</v>
      </c>
      <c r="B348" t="s">
        <v>79</v>
      </c>
      <c r="C348" t="s">
        <v>77</v>
      </c>
      <c r="D348" t="s">
        <v>82</v>
      </c>
      <c r="E348" t="s">
        <v>78</v>
      </c>
      <c r="F348" s="71">
        <v>44197</v>
      </c>
      <c r="G348">
        <v>1803940.92</v>
      </c>
      <c r="H348" s="3">
        <v>10691359.85</v>
      </c>
      <c r="I348" s="3">
        <v>33064667.620000001</v>
      </c>
      <c r="J348" s="3">
        <v>62508561.990000002</v>
      </c>
      <c r="K348">
        <v>79380882.070000008</v>
      </c>
    </row>
    <row r="349" spans="1:26" x14ac:dyDescent="0.25">
      <c r="A349" s="28" t="s">
        <v>57</v>
      </c>
      <c r="B349" t="s">
        <v>79</v>
      </c>
      <c r="C349" t="s">
        <v>77</v>
      </c>
      <c r="D349" t="s">
        <v>82</v>
      </c>
      <c r="E349" t="s">
        <v>78</v>
      </c>
      <c r="F349" s="71">
        <v>44562</v>
      </c>
      <c r="G349">
        <v>1498832.93</v>
      </c>
      <c r="H349" s="3">
        <v>15965174.51</v>
      </c>
      <c r="I349" s="3">
        <v>44421008.489999987</v>
      </c>
      <c r="J349" s="3">
        <v>74232387.790000007</v>
      </c>
    </row>
    <row r="350" spans="1:26" x14ac:dyDescent="0.25">
      <c r="A350" s="28" t="s">
        <v>57</v>
      </c>
      <c r="B350" t="s">
        <v>79</v>
      </c>
      <c r="C350" t="s">
        <v>77</v>
      </c>
      <c r="D350" t="s">
        <v>82</v>
      </c>
      <c r="E350" t="s">
        <v>78</v>
      </c>
      <c r="F350" s="71">
        <v>44927</v>
      </c>
      <c r="G350">
        <v>1587873.43</v>
      </c>
      <c r="H350" s="3">
        <v>22567059.84</v>
      </c>
      <c r="I350" s="3">
        <v>52470035.560000002</v>
      </c>
      <c r="J350" s="3"/>
    </row>
    <row r="351" spans="1:26" x14ac:dyDescent="0.25">
      <c r="A351" s="28" t="s">
        <v>57</v>
      </c>
      <c r="B351" t="s">
        <v>79</v>
      </c>
      <c r="C351" t="s">
        <v>77</v>
      </c>
      <c r="D351" t="s">
        <v>82</v>
      </c>
      <c r="E351" t="s">
        <v>78</v>
      </c>
      <c r="F351" s="71">
        <v>45292</v>
      </c>
      <c r="G351">
        <v>2478089.56</v>
      </c>
      <c r="H351" s="3">
        <v>19632638.949999999</v>
      </c>
      <c r="I351" s="3"/>
      <c r="J351" s="3"/>
    </row>
    <row r="352" spans="1:26" x14ac:dyDescent="0.25">
      <c r="A352" s="28" t="s">
        <v>57</v>
      </c>
      <c r="B352" t="s">
        <v>79</v>
      </c>
      <c r="C352" t="s">
        <v>77</v>
      </c>
      <c r="D352" t="s">
        <v>82</v>
      </c>
      <c r="E352" t="s">
        <v>78</v>
      </c>
      <c r="F352" s="71">
        <v>45658</v>
      </c>
      <c r="G352">
        <v>1416875.89</v>
      </c>
      <c r="H352" s="3"/>
      <c r="I352" s="3"/>
      <c r="J352" s="3"/>
    </row>
    <row r="353" spans="1:31" x14ac:dyDescent="0.25">
      <c r="A353" s="28" t="s">
        <v>57</v>
      </c>
      <c r="B353" t="s">
        <v>80</v>
      </c>
      <c r="C353" t="s">
        <v>77</v>
      </c>
      <c r="D353" t="s">
        <v>82</v>
      </c>
      <c r="E353" t="s">
        <v>78</v>
      </c>
      <c r="F353" s="71">
        <v>36892</v>
      </c>
      <c r="G353">
        <v>0</v>
      </c>
      <c r="H353" s="3">
        <v>0</v>
      </c>
      <c r="I353" s="3">
        <v>0</v>
      </c>
      <c r="J353" s="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25">
      <c r="A354" s="28" t="s">
        <v>57</v>
      </c>
      <c r="B354" t="s">
        <v>80</v>
      </c>
      <c r="C354" t="s">
        <v>77</v>
      </c>
      <c r="D354" t="s">
        <v>82</v>
      </c>
      <c r="E354" t="s">
        <v>78</v>
      </c>
      <c r="F354" s="71">
        <v>37257</v>
      </c>
      <c r="G354">
        <v>0</v>
      </c>
      <c r="H354" s="3">
        <v>0</v>
      </c>
      <c r="I354" s="3">
        <v>0</v>
      </c>
      <c r="J354" s="3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1" x14ac:dyDescent="0.25">
      <c r="A355" s="28" t="s">
        <v>57</v>
      </c>
      <c r="B355" t="s">
        <v>80</v>
      </c>
      <c r="C355" t="s">
        <v>77</v>
      </c>
      <c r="D355" t="s">
        <v>82</v>
      </c>
      <c r="E355" t="s">
        <v>78</v>
      </c>
      <c r="F355" s="71">
        <v>37622</v>
      </c>
      <c r="G355">
        <v>0</v>
      </c>
      <c r="H355" s="3">
        <v>0</v>
      </c>
      <c r="I355" s="3">
        <v>0</v>
      </c>
      <c r="J355" s="3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31" x14ac:dyDescent="0.25">
      <c r="A356" s="28" t="s">
        <v>57</v>
      </c>
      <c r="B356" t="s">
        <v>80</v>
      </c>
      <c r="C356" t="s">
        <v>77</v>
      </c>
      <c r="D356" t="s">
        <v>82</v>
      </c>
      <c r="E356" t="s">
        <v>78</v>
      </c>
      <c r="F356" s="71">
        <v>37987</v>
      </c>
      <c r="G356">
        <v>0</v>
      </c>
      <c r="H356" s="3">
        <v>0</v>
      </c>
      <c r="I356" s="3">
        <v>0</v>
      </c>
      <c r="J356" s="3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31" x14ac:dyDescent="0.25">
      <c r="A357" s="28" t="s">
        <v>57</v>
      </c>
      <c r="B357" t="s">
        <v>80</v>
      </c>
      <c r="C357" t="s">
        <v>77</v>
      </c>
      <c r="D357" t="s">
        <v>82</v>
      </c>
      <c r="E357" t="s">
        <v>78</v>
      </c>
      <c r="F357" s="71">
        <v>38353</v>
      </c>
      <c r="G357">
        <v>0</v>
      </c>
      <c r="H357" s="3">
        <v>0</v>
      </c>
      <c r="I357" s="3">
        <v>0</v>
      </c>
      <c r="J357" s="3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31" x14ac:dyDescent="0.25">
      <c r="A358" s="28" t="s">
        <v>57</v>
      </c>
      <c r="B358" t="s">
        <v>80</v>
      </c>
      <c r="C358" t="s">
        <v>77</v>
      </c>
      <c r="D358" t="s">
        <v>82</v>
      </c>
      <c r="E358" t="s">
        <v>78</v>
      </c>
      <c r="F358" s="71">
        <v>38718</v>
      </c>
      <c r="G358">
        <v>0</v>
      </c>
      <c r="H358" s="3">
        <v>0</v>
      </c>
      <c r="I358" s="3">
        <v>0</v>
      </c>
      <c r="J358" s="3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31" x14ac:dyDescent="0.25">
      <c r="A359" s="28" t="s">
        <v>57</v>
      </c>
      <c r="B359" t="s">
        <v>80</v>
      </c>
      <c r="C359" t="s">
        <v>77</v>
      </c>
      <c r="D359" t="s">
        <v>82</v>
      </c>
      <c r="E359" t="s">
        <v>78</v>
      </c>
      <c r="F359" s="71">
        <v>39083</v>
      </c>
      <c r="G359">
        <v>0</v>
      </c>
      <c r="H359" s="3">
        <v>0</v>
      </c>
      <c r="I359" s="3">
        <v>0</v>
      </c>
      <c r="J359" s="3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31" x14ac:dyDescent="0.25">
      <c r="A360" s="28" t="s">
        <v>57</v>
      </c>
      <c r="B360" t="s">
        <v>80</v>
      </c>
      <c r="C360" t="s">
        <v>77</v>
      </c>
      <c r="D360" t="s">
        <v>82</v>
      </c>
      <c r="E360" t="s">
        <v>78</v>
      </c>
      <c r="F360" s="71">
        <v>39448</v>
      </c>
      <c r="G360">
        <v>0</v>
      </c>
      <c r="H360" s="3">
        <v>0</v>
      </c>
      <c r="I360" s="3">
        <v>0</v>
      </c>
      <c r="J360" s="3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31" x14ac:dyDescent="0.25">
      <c r="A361" s="28" t="s">
        <v>57</v>
      </c>
      <c r="B361" t="s">
        <v>80</v>
      </c>
      <c r="C361" t="s">
        <v>77</v>
      </c>
      <c r="D361" t="s">
        <v>82</v>
      </c>
      <c r="E361" t="s">
        <v>78</v>
      </c>
      <c r="F361" s="71">
        <v>39814</v>
      </c>
      <c r="G361">
        <v>0</v>
      </c>
      <c r="H361" s="3">
        <v>0</v>
      </c>
      <c r="I361" s="3">
        <v>0</v>
      </c>
      <c r="J361" s="3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31" x14ac:dyDescent="0.25">
      <c r="A362" s="28" t="s">
        <v>57</v>
      </c>
      <c r="B362" t="s">
        <v>80</v>
      </c>
      <c r="C362" t="s">
        <v>77</v>
      </c>
      <c r="D362" t="s">
        <v>82</v>
      </c>
      <c r="E362" t="s">
        <v>78</v>
      </c>
      <c r="F362" s="71">
        <v>40179</v>
      </c>
      <c r="G362">
        <v>0</v>
      </c>
      <c r="H362" s="3">
        <v>0</v>
      </c>
      <c r="I362" s="3">
        <v>0</v>
      </c>
      <c r="J362" s="3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31" x14ac:dyDescent="0.25">
      <c r="A363" s="28" t="s">
        <v>57</v>
      </c>
      <c r="B363" t="s">
        <v>80</v>
      </c>
      <c r="C363" t="s">
        <v>77</v>
      </c>
      <c r="D363" t="s">
        <v>82</v>
      </c>
      <c r="E363" t="s">
        <v>78</v>
      </c>
      <c r="F363" s="71">
        <v>40544</v>
      </c>
      <c r="G363">
        <v>0</v>
      </c>
      <c r="H363" s="3">
        <v>0</v>
      </c>
      <c r="I363" s="3">
        <v>0</v>
      </c>
      <c r="J363" s="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31" x14ac:dyDescent="0.25">
      <c r="A364" s="28" t="s">
        <v>57</v>
      </c>
      <c r="B364" t="s">
        <v>80</v>
      </c>
      <c r="C364" t="s">
        <v>77</v>
      </c>
      <c r="D364" t="s">
        <v>82</v>
      </c>
      <c r="E364" t="s">
        <v>78</v>
      </c>
      <c r="F364" s="71">
        <v>40909</v>
      </c>
      <c r="G364">
        <v>0</v>
      </c>
      <c r="H364" s="3">
        <v>0</v>
      </c>
      <c r="I364" s="3">
        <v>0</v>
      </c>
      <c r="J364" s="3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31" x14ac:dyDescent="0.25">
      <c r="A365" s="28" t="s">
        <v>57</v>
      </c>
      <c r="B365" t="s">
        <v>80</v>
      </c>
      <c r="C365" t="s">
        <v>77</v>
      </c>
      <c r="D365" t="s">
        <v>82</v>
      </c>
      <c r="E365" t="s">
        <v>78</v>
      </c>
      <c r="F365" s="71">
        <v>41275</v>
      </c>
      <c r="G365">
        <v>0</v>
      </c>
      <c r="H365" s="3">
        <v>0</v>
      </c>
      <c r="I365" s="3">
        <v>0</v>
      </c>
      <c r="J365" s="3">
        <v>0</v>
      </c>
      <c r="K365">
        <v>22747.9</v>
      </c>
      <c r="L365">
        <v>23394.799999999999</v>
      </c>
      <c r="M365">
        <v>23394.799999999999</v>
      </c>
      <c r="N365">
        <v>23394.799999999999</v>
      </c>
      <c r="O365">
        <v>23394.799999999999</v>
      </c>
      <c r="P365">
        <v>23394.799999999999</v>
      </c>
      <c r="Q365">
        <v>23394.799999999999</v>
      </c>
      <c r="R365">
        <v>23394.799999999999</v>
      </c>
      <c r="S365">
        <v>23394.799999999999</v>
      </c>
    </row>
    <row r="366" spans="1:31" x14ac:dyDescent="0.25">
      <c r="A366" s="28" t="s">
        <v>57</v>
      </c>
      <c r="B366" t="s">
        <v>80</v>
      </c>
      <c r="C366" t="s">
        <v>77</v>
      </c>
      <c r="D366" t="s">
        <v>82</v>
      </c>
      <c r="E366" t="s">
        <v>78</v>
      </c>
      <c r="F366" s="71">
        <v>41640</v>
      </c>
      <c r="G366">
        <v>37623.230000000003</v>
      </c>
      <c r="H366" s="3">
        <v>362713.24</v>
      </c>
      <c r="I366" s="3">
        <v>1875628.32</v>
      </c>
      <c r="J366" s="3">
        <v>3364213.05</v>
      </c>
      <c r="K366">
        <v>7252879.7300000004</v>
      </c>
      <c r="L366">
        <v>8539410.959999999</v>
      </c>
      <c r="M366">
        <v>10448193.59</v>
      </c>
      <c r="N366">
        <v>10640444.810000001</v>
      </c>
      <c r="O366">
        <v>10680584.83</v>
      </c>
      <c r="P366">
        <v>10756658.33</v>
      </c>
      <c r="Q366">
        <v>10763941.529999999</v>
      </c>
      <c r="R366">
        <v>10773223.33</v>
      </c>
    </row>
    <row r="367" spans="1:31" x14ac:dyDescent="0.25">
      <c r="A367" s="28" t="s">
        <v>57</v>
      </c>
      <c r="B367" t="s">
        <v>80</v>
      </c>
      <c r="C367" t="s">
        <v>77</v>
      </c>
      <c r="D367" t="s">
        <v>82</v>
      </c>
      <c r="E367" t="s">
        <v>78</v>
      </c>
      <c r="F367" s="71">
        <v>42005</v>
      </c>
      <c r="G367">
        <v>332517.95000000013</v>
      </c>
      <c r="H367" s="3">
        <v>1784904.86</v>
      </c>
      <c r="I367" s="3">
        <v>5508318.5</v>
      </c>
      <c r="J367" s="3">
        <v>10184759.02</v>
      </c>
      <c r="K367">
        <v>16167094.48</v>
      </c>
      <c r="L367">
        <v>17874978.809999999</v>
      </c>
      <c r="M367">
        <v>19960651.699999999</v>
      </c>
      <c r="N367">
        <v>20950920.640000001</v>
      </c>
      <c r="O367">
        <v>22544649.77</v>
      </c>
      <c r="P367">
        <v>23707340.73</v>
      </c>
      <c r="Q367">
        <v>24703013.640000001</v>
      </c>
    </row>
    <row r="368" spans="1:31" x14ac:dyDescent="0.25">
      <c r="A368" s="28" t="s">
        <v>57</v>
      </c>
      <c r="B368" t="s">
        <v>80</v>
      </c>
      <c r="C368" t="s">
        <v>77</v>
      </c>
      <c r="D368" t="s">
        <v>82</v>
      </c>
      <c r="E368" t="s">
        <v>78</v>
      </c>
      <c r="F368" s="71">
        <v>42370</v>
      </c>
      <c r="G368">
        <v>25264.11</v>
      </c>
      <c r="H368" s="3">
        <v>485872.23</v>
      </c>
      <c r="I368" s="3">
        <v>3596844.15</v>
      </c>
      <c r="J368" s="3">
        <v>9511146.4399999995</v>
      </c>
      <c r="K368">
        <v>16136629.65</v>
      </c>
      <c r="L368">
        <v>19449942.100000001</v>
      </c>
      <c r="M368">
        <v>23210848.27</v>
      </c>
      <c r="N368">
        <v>25163507.739999998</v>
      </c>
      <c r="O368">
        <v>27008440.489999998</v>
      </c>
      <c r="P368">
        <v>28947718.030000001</v>
      </c>
    </row>
    <row r="369" spans="1:31" x14ac:dyDescent="0.25">
      <c r="A369" s="28" t="s">
        <v>57</v>
      </c>
      <c r="B369" t="s">
        <v>80</v>
      </c>
      <c r="C369" t="s">
        <v>77</v>
      </c>
      <c r="D369" t="s">
        <v>82</v>
      </c>
      <c r="E369" t="s">
        <v>78</v>
      </c>
      <c r="F369" s="71">
        <v>42736</v>
      </c>
      <c r="G369">
        <v>2537.31</v>
      </c>
      <c r="H369" s="3">
        <v>499949.17</v>
      </c>
      <c r="I369" s="3">
        <v>3762491.98</v>
      </c>
      <c r="J369" s="3">
        <v>11351208.220000001</v>
      </c>
      <c r="K369">
        <v>19822642.620000001</v>
      </c>
      <c r="L369">
        <v>25554069.809999999</v>
      </c>
      <c r="M369">
        <v>37710770.700000003</v>
      </c>
      <c r="N369">
        <v>43836731.490000002</v>
      </c>
      <c r="O369">
        <v>45794761.630000003</v>
      </c>
    </row>
    <row r="370" spans="1:31" x14ac:dyDescent="0.25">
      <c r="A370" s="28" t="s">
        <v>57</v>
      </c>
      <c r="B370" t="s">
        <v>80</v>
      </c>
      <c r="C370" t="s">
        <v>77</v>
      </c>
      <c r="D370" t="s">
        <v>82</v>
      </c>
      <c r="E370" t="s">
        <v>78</v>
      </c>
      <c r="F370" s="71">
        <v>43101</v>
      </c>
      <c r="G370">
        <v>33348.269999999997</v>
      </c>
      <c r="H370" s="3">
        <v>1385012.4</v>
      </c>
      <c r="I370" s="3">
        <v>5852940.9499999993</v>
      </c>
      <c r="J370" s="3">
        <v>18830456.539999999</v>
      </c>
      <c r="K370">
        <v>28492403.969999999</v>
      </c>
      <c r="L370">
        <v>43184085.560000002</v>
      </c>
      <c r="M370">
        <v>50350629.25999999</v>
      </c>
      <c r="N370">
        <v>54267904.819999993</v>
      </c>
    </row>
    <row r="371" spans="1:31" x14ac:dyDescent="0.25">
      <c r="A371" s="28" t="s">
        <v>57</v>
      </c>
      <c r="B371" t="s">
        <v>80</v>
      </c>
      <c r="C371" t="s">
        <v>77</v>
      </c>
      <c r="D371" t="s">
        <v>82</v>
      </c>
      <c r="E371" t="s">
        <v>78</v>
      </c>
      <c r="F371" s="71">
        <v>43466</v>
      </c>
      <c r="G371">
        <v>20795.150000000001</v>
      </c>
      <c r="H371" s="3">
        <v>4091693.540000001</v>
      </c>
      <c r="I371" s="3">
        <v>11610385.82</v>
      </c>
      <c r="J371" s="3">
        <v>25523542.68</v>
      </c>
      <c r="K371">
        <v>44437842.869999997</v>
      </c>
      <c r="L371">
        <v>62082058.559999987</v>
      </c>
      <c r="M371">
        <v>73527462.199999988</v>
      </c>
    </row>
    <row r="372" spans="1:31" x14ac:dyDescent="0.25">
      <c r="A372" s="28" t="s">
        <v>57</v>
      </c>
      <c r="B372" t="s">
        <v>80</v>
      </c>
      <c r="C372" t="s">
        <v>77</v>
      </c>
      <c r="D372" t="s">
        <v>82</v>
      </c>
      <c r="E372" t="s">
        <v>78</v>
      </c>
      <c r="F372" s="71">
        <v>43831</v>
      </c>
      <c r="G372">
        <v>75489.09</v>
      </c>
      <c r="H372" s="3">
        <v>1267491.71</v>
      </c>
      <c r="I372" s="3">
        <v>5743982.1999999993</v>
      </c>
      <c r="J372" s="3">
        <v>14553071.140000001</v>
      </c>
      <c r="K372">
        <v>25266006.59</v>
      </c>
      <c r="L372">
        <v>36304674.450000003</v>
      </c>
    </row>
    <row r="373" spans="1:31" x14ac:dyDescent="0.25">
      <c r="A373" s="28" t="s">
        <v>57</v>
      </c>
      <c r="B373" t="s">
        <v>80</v>
      </c>
      <c r="C373" t="s">
        <v>77</v>
      </c>
      <c r="D373" t="s">
        <v>82</v>
      </c>
      <c r="E373" t="s">
        <v>78</v>
      </c>
      <c r="F373" s="71">
        <v>44197</v>
      </c>
      <c r="G373">
        <v>23421.919999999998</v>
      </c>
      <c r="H373" s="3">
        <v>3652986.34</v>
      </c>
      <c r="I373" s="3">
        <v>12951440.5</v>
      </c>
      <c r="J373" s="3">
        <v>35095389.219999999</v>
      </c>
      <c r="K373">
        <v>61323902.329999998</v>
      </c>
    </row>
    <row r="374" spans="1:31" x14ac:dyDescent="0.25">
      <c r="A374" s="28" t="s">
        <v>57</v>
      </c>
      <c r="B374" t="s">
        <v>80</v>
      </c>
      <c r="C374" t="s">
        <v>77</v>
      </c>
      <c r="D374" t="s">
        <v>82</v>
      </c>
      <c r="E374" t="s">
        <v>78</v>
      </c>
      <c r="F374" s="71">
        <v>44562</v>
      </c>
      <c r="G374">
        <v>25326.81</v>
      </c>
      <c r="H374" s="3">
        <v>2777844.2</v>
      </c>
      <c r="I374" s="3">
        <v>19497319.559999999</v>
      </c>
      <c r="J374" s="3">
        <v>51046915.340000004</v>
      </c>
    </row>
    <row r="375" spans="1:31" x14ac:dyDescent="0.25">
      <c r="A375" s="28" t="s">
        <v>57</v>
      </c>
      <c r="B375" t="s">
        <v>80</v>
      </c>
      <c r="C375" t="s">
        <v>77</v>
      </c>
      <c r="D375" t="s">
        <v>82</v>
      </c>
      <c r="E375" t="s">
        <v>78</v>
      </c>
      <c r="F375" s="71">
        <v>44927</v>
      </c>
      <c r="G375">
        <v>88387.05</v>
      </c>
      <c r="H375" s="3">
        <v>4206585.0399999991</v>
      </c>
      <c r="I375" s="3">
        <v>26285008.260000002</v>
      </c>
      <c r="J375" s="3"/>
    </row>
    <row r="376" spans="1:31" x14ac:dyDescent="0.25">
      <c r="A376" s="28" t="s">
        <v>57</v>
      </c>
      <c r="B376" t="s">
        <v>80</v>
      </c>
      <c r="C376" t="s">
        <v>77</v>
      </c>
      <c r="D376" t="s">
        <v>82</v>
      </c>
      <c r="E376" t="s">
        <v>78</v>
      </c>
      <c r="F376" s="71">
        <v>45292</v>
      </c>
      <c r="G376">
        <v>114197.44</v>
      </c>
      <c r="H376" s="3">
        <v>6140693.9500000002</v>
      </c>
      <c r="I376" s="3"/>
      <c r="J376" s="3"/>
    </row>
    <row r="377" spans="1:31" x14ac:dyDescent="0.25">
      <c r="A377" s="28" t="s">
        <v>57</v>
      </c>
      <c r="B377" t="s">
        <v>80</v>
      </c>
      <c r="C377" t="s">
        <v>77</v>
      </c>
      <c r="D377" t="s">
        <v>82</v>
      </c>
      <c r="E377" t="s">
        <v>78</v>
      </c>
      <c r="F377" s="71">
        <v>45658</v>
      </c>
      <c r="G377">
        <v>49763.13</v>
      </c>
      <c r="H377" s="3"/>
      <c r="I377" s="3"/>
      <c r="J377" s="3"/>
    </row>
    <row r="378" spans="1:31" x14ac:dyDescent="0.25">
      <c r="A378" s="28" t="s">
        <v>58</v>
      </c>
      <c r="B378" t="s">
        <v>76</v>
      </c>
      <c r="C378" t="s">
        <v>77</v>
      </c>
      <c r="D378" t="s">
        <v>82</v>
      </c>
      <c r="E378" t="s">
        <v>78</v>
      </c>
      <c r="F378" s="71">
        <v>36892</v>
      </c>
      <c r="G378">
        <v>189719047.66</v>
      </c>
      <c r="H378" s="3">
        <v>189719047.66</v>
      </c>
      <c r="I378" s="3">
        <v>189719047.66</v>
      </c>
      <c r="J378" s="3">
        <v>189719047.66</v>
      </c>
      <c r="K378">
        <v>189719047.66</v>
      </c>
      <c r="L378">
        <v>189719047.66</v>
      </c>
      <c r="M378">
        <v>189719047.66</v>
      </c>
      <c r="N378">
        <v>189719047.66</v>
      </c>
      <c r="O378">
        <v>189719047.66</v>
      </c>
      <c r="P378">
        <v>189719047.66</v>
      </c>
      <c r="Q378">
        <v>189719047.66</v>
      </c>
      <c r="R378">
        <v>189719047.66</v>
      </c>
      <c r="S378">
        <v>189719047.66</v>
      </c>
      <c r="T378">
        <v>189719047.66</v>
      </c>
      <c r="U378">
        <v>189719047.66</v>
      </c>
      <c r="V378">
        <v>189719047.66</v>
      </c>
      <c r="W378">
        <v>189719047.66</v>
      </c>
      <c r="X378">
        <v>189719047.66</v>
      </c>
      <c r="Y378">
        <v>189719047.66</v>
      </c>
      <c r="Z378">
        <v>189719047.66</v>
      </c>
      <c r="AA378">
        <v>189719047.66</v>
      </c>
      <c r="AB378">
        <v>189719047.66</v>
      </c>
      <c r="AC378">
        <v>189719047.66</v>
      </c>
      <c r="AD378">
        <v>189719047.66</v>
      </c>
      <c r="AE378">
        <v>189719047.66</v>
      </c>
    </row>
    <row r="379" spans="1:31" x14ac:dyDescent="0.25">
      <c r="A379" s="28" t="s">
        <v>58</v>
      </c>
      <c r="B379" t="s">
        <v>76</v>
      </c>
      <c r="C379" t="s">
        <v>77</v>
      </c>
      <c r="D379" t="s">
        <v>82</v>
      </c>
      <c r="E379" t="s">
        <v>78</v>
      </c>
      <c r="F379" s="71">
        <v>37257</v>
      </c>
      <c r="G379">
        <v>388939410.31</v>
      </c>
      <c r="H379" s="3">
        <v>388939410.31</v>
      </c>
      <c r="I379" s="3">
        <v>388939410.31</v>
      </c>
      <c r="J379" s="3">
        <v>388939410.31</v>
      </c>
      <c r="K379">
        <v>388939410.31</v>
      </c>
      <c r="L379">
        <v>388939410.31</v>
      </c>
      <c r="M379">
        <v>388939410.31</v>
      </c>
      <c r="N379">
        <v>388939410.31</v>
      </c>
      <c r="O379">
        <v>388939410.31</v>
      </c>
      <c r="P379">
        <v>388939410.31</v>
      </c>
      <c r="Q379">
        <v>388939410.31</v>
      </c>
      <c r="R379">
        <v>388939410.31</v>
      </c>
      <c r="S379">
        <v>388939410.31</v>
      </c>
      <c r="T379">
        <v>388939410.31</v>
      </c>
      <c r="U379">
        <v>388939410.31</v>
      </c>
      <c r="V379">
        <v>388939410.31</v>
      </c>
      <c r="W379">
        <v>388939410.31</v>
      </c>
      <c r="X379">
        <v>388939410.31</v>
      </c>
      <c r="Y379">
        <v>388939410.31</v>
      </c>
      <c r="Z379">
        <v>388939410.31</v>
      </c>
      <c r="AA379">
        <v>388939410.31</v>
      </c>
      <c r="AB379">
        <v>388939410.31</v>
      </c>
      <c r="AC379">
        <v>388939410.31</v>
      </c>
      <c r="AD379">
        <v>388939410.31</v>
      </c>
    </row>
    <row r="380" spans="1:31" x14ac:dyDescent="0.25">
      <c r="A380" t="s">
        <v>58</v>
      </c>
      <c r="B380" t="s">
        <v>76</v>
      </c>
      <c r="C380" t="s">
        <v>77</v>
      </c>
      <c r="D380" t="s">
        <v>82</v>
      </c>
      <c r="E380" t="s">
        <v>78</v>
      </c>
      <c r="F380" s="71">
        <v>37622</v>
      </c>
      <c r="G380">
        <v>575052194.92999995</v>
      </c>
      <c r="H380">
        <v>575052194.92999995</v>
      </c>
      <c r="I380">
        <v>575052194.92999995</v>
      </c>
      <c r="J380">
        <v>575052194.92999995</v>
      </c>
      <c r="K380">
        <v>575052194.92999995</v>
      </c>
      <c r="L380">
        <v>575052194.92999995</v>
      </c>
      <c r="M380">
        <v>575052194.92999995</v>
      </c>
      <c r="N380">
        <v>575052194.92999995</v>
      </c>
      <c r="O380">
        <v>575052194.92999995</v>
      </c>
      <c r="P380">
        <v>575052194.92999995</v>
      </c>
      <c r="Q380">
        <v>575052194.92999995</v>
      </c>
      <c r="R380">
        <v>575052194.92999995</v>
      </c>
      <c r="S380">
        <v>575052194.92999995</v>
      </c>
      <c r="T380">
        <v>575052194.92999995</v>
      </c>
      <c r="U380">
        <v>575052194.92999995</v>
      </c>
      <c r="V380">
        <v>575052194.92999995</v>
      </c>
      <c r="W380">
        <v>575052194.92999995</v>
      </c>
      <c r="X380">
        <v>575052194.92999995</v>
      </c>
      <c r="Y380">
        <v>575052194.92999995</v>
      </c>
      <c r="Z380">
        <v>575052194.92999995</v>
      </c>
      <c r="AA380">
        <v>575052194.92999995</v>
      </c>
      <c r="AB380">
        <v>575052194.92999995</v>
      </c>
      <c r="AC380">
        <v>575052194.92999995</v>
      </c>
    </row>
    <row r="381" spans="1:31" x14ac:dyDescent="0.25">
      <c r="A381" t="s">
        <v>58</v>
      </c>
      <c r="B381" t="s">
        <v>76</v>
      </c>
      <c r="C381" t="s">
        <v>77</v>
      </c>
      <c r="D381" t="s">
        <v>82</v>
      </c>
      <c r="E381" t="s">
        <v>78</v>
      </c>
      <c r="F381" s="71">
        <v>37987</v>
      </c>
      <c r="G381">
        <v>576249318.00000012</v>
      </c>
      <c r="H381">
        <v>576249318.00000012</v>
      </c>
      <c r="I381">
        <v>576249318.00000012</v>
      </c>
      <c r="J381">
        <v>576249318.00000012</v>
      </c>
      <c r="K381">
        <v>576249318.00000012</v>
      </c>
      <c r="L381">
        <v>576249318.00000012</v>
      </c>
      <c r="M381">
        <v>576249318.00000012</v>
      </c>
      <c r="N381">
        <v>576249318.00000012</v>
      </c>
      <c r="O381">
        <v>576249318.00000012</v>
      </c>
      <c r="P381">
        <v>576249318.00000012</v>
      </c>
      <c r="Q381">
        <v>576249318.00000012</v>
      </c>
      <c r="R381">
        <v>576249318.00000012</v>
      </c>
      <c r="S381">
        <v>576249318.00000012</v>
      </c>
      <c r="T381">
        <v>576249318.00000012</v>
      </c>
      <c r="U381">
        <v>576249318.00000012</v>
      </c>
      <c r="V381">
        <v>576249318.00000012</v>
      </c>
      <c r="W381">
        <v>576249318.00000012</v>
      </c>
      <c r="X381">
        <v>576249318.00000012</v>
      </c>
      <c r="Y381">
        <v>576249318.00000012</v>
      </c>
      <c r="Z381">
        <v>576249318.00000012</v>
      </c>
      <c r="AA381">
        <v>576249318.00000012</v>
      </c>
      <c r="AB381">
        <v>576249318.00000012</v>
      </c>
    </row>
    <row r="382" spans="1:31" x14ac:dyDescent="0.25">
      <c r="A382" t="s">
        <v>58</v>
      </c>
      <c r="B382" t="s">
        <v>76</v>
      </c>
      <c r="C382" t="s">
        <v>77</v>
      </c>
      <c r="D382" t="s">
        <v>82</v>
      </c>
      <c r="E382" t="s">
        <v>78</v>
      </c>
      <c r="F382" s="71">
        <v>38353</v>
      </c>
      <c r="G382">
        <v>296198726.44</v>
      </c>
      <c r="H382">
        <v>296198726.44</v>
      </c>
      <c r="I382">
        <v>296198726.44</v>
      </c>
      <c r="J382">
        <v>296198726.44</v>
      </c>
      <c r="K382">
        <v>296198726.44</v>
      </c>
      <c r="L382">
        <v>296198726.44</v>
      </c>
      <c r="M382">
        <v>296198726.44</v>
      </c>
      <c r="N382">
        <v>296198726.44</v>
      </c>
      <c r="O382">
        <v>296198726.44</v>
      </c>
      <c r="P382">
        <v>296198726.44</v>
      </c>
      <c r="Q382">
        <v>296198726.44</v>
      </c>
      <c r="R382">
        <v>296198726.44</v>
      </c>
      <c r="S382">
        <v>296198726.44</v>
      </c>
      <c r="T382">
        <v>296198726.44</v>
      </c>
      <c r="U382">
        <v>296198726.44</v>
      </c>
      <c r="V382">
        <v>296198726.44</v>
      </c>
      <c r="W382">
        <v>296198726.44</v>
      </c>
      <c r="X382">
        <v>296198726.44</v>
      </c>
      <c r="Y382">
        <v>296198726.44</v>
      </c>
      <c r="Z382">
        <v>296198726.44</v>
      </c>
      <c r="AA382">
        <v>296198726.44</v>
      </c>
    </row>
    <row r="383" spans="1:31" x14ac:dyDescent="0.25">
      <c r="A383" t="s">
        <v>58</v>
      </c>
      <c r="B383" t="s">
        <v>76</v>
      </c>
      <c r="C383" t="s">
        <v>77</v>
      </c>
      <c r="D383" t="s">
        <v>82</v>
      </c>
      <c r="E383" t="s">
        <v>78</v>
      </c>
      <c r="F383" s="71">
        <v>38718</v>
      </c>
      <c r="G383">
        <v>192982729.44</v>
      </c>
      <c r="H383">
        <v>192982729.44</v>
      </c>
      <c r="I383">
        <v>192982729.44</v>
      </c>
      <c r="J383">
        <v>192982729.44</v>
      </c>
      <c r="K383">
        <v>192982729.44</v>
      </c>
      <c r="L383">
        <v>192982729.44</v>
      </c>
      <c r="M383">
        <v>192982729.44</v>
      </c>
      <c r="N383">
        <v>192982729.44</v>
      </c>
      <c r="O383">
        <v>192982729.44</v>
      </c>
      <c r="P383">
        <v>192982729.44</v>
      </c>
      <c r="Q383">
        <v>192982729.44</v>
      </c>
      <c r="R383">
        <v>192982729.44</v>
      </c>
      <c r="S383">
        <v>192982729.44</v>
      </c>
      <c r="T383">
        <v>192982729.44</v>
      </c>
      <c r="U383">
        <v>192982729.44</v>
      </c>
      <c r="V383">
        <v>192982729.44</v>
      </c>
      <c r="W383">
        <v>192982729.44</v>
      </c>
      <c r="X383">
        <v>192982729.44</v>
      </c>
      <c r="Y383">
        <v>192982729.44</v>
      </c>
      <c r="Z383">
        <v>192982729.44</v>
      </c>
    </row>
    <row r="384" spans="1:31" x14ac:dyDescent="0.25">
      <c r="A384" t="s">
        <v>58</v>
      </c>
      <c r="B384" t="s">
        <v>76</v>
      </c>
      <c r="C384" t="s">
        <v>77</v>
      </c>
      <c r="D384" t="s">
        <v>82</v>
      </c>
      <c r="E384" t="s">
        <v>78</v>
      </c>
      <c r="F384" s="71">
        <v>39083</v>
      </c>
      <c r="G384">
        <v>137970276.28999999</v>
      </c>
      <c r="H384">
        <v>137970276.28999999</v>
      </c>
      <c r="I384">
        <v>137970276.28999999</v>
      </c>
      <c r="J384">
        <v>137970276.28999999</v>
      </c>
      <c r="K384">
        <v>137970276.28999999</v>
      </c>
      <c r="L384">
        <v>137970276.28999999</v>
      </c>
      <c r="M384">
        <v>137970276.28999999</v>
      </c>
      <c r="N384">
        <v>137970276.28999999</v>
      </c>
      <c r="O384">
        <v>137970276.28999999</v>
      </c>
      <c r="P384">
        <v>137970276.28999999</v>
      </c>
      <c r="Q384">
        <v>137970276.28999999</v>
      </c>
      <c r="R384">
        <v>137970276.28999999</v>
      </c>
      <c r="S384">
        <v>137970276.28999999</v>
      </c>
      <c r="T384">
        <v>137970276.28999999</v>
      </c>
      <c r="U384">
        <v>137970276.28999999</v>
      </c>
      <c r="V384">
        <v>137970276.28999999</v>
      </c>
      <c r="W384">
        <v>137970276.28999999</v>
      </c>
      <c r="X384">
        <v>137970276.28999999</v>
      </c>
      <c r="Y384">
        <v>137970276.28999999</v>
      </c>
    </row>
    <row r="385" spans="1:24" x14ac:dyDescent="0.25">
      <c r="A385" t="s">
        <v>58</v>
      </c>
      <c r="B385" t="s">
        <v>76</v>
      </c>
      <c r="C385" t="s">
        <v>77</v>
      </c>
      <c r="D385" t="s">
        <v>82</v>
      </c>
      <c r="E385" t="s">
        <v>78</v>
      </c>
      <c r="F385" s="71">
        <v>39448</v>
      </c>
      <c r="G385">
        <v>108991754.55</v>
      </c>
      <c r="H385">
        <v>108991754.55</v>
      </c>
      <c r="I385">
        <v>108991754.55</v>
      </c>
      <c r="J385">
        <v>108991754.55</v>
      </c>
      <c r="K385">
        <v>108991754.55</v>
      </c>
      <c r="L385">
        <v>108991754.55</v>
      </c>
      <c r="M385">
        <v>108991754.55</v>
      </c>
      <c r="N385">
        <v>108991754.55</v>
      </c>
      <c r="O385">
        <v>108991754.55</v>
      </c>
      <c r="P385">
        <v>108991754.55</v>
      </c>
      <c r="Q385">
        <v>108991754.55</v>
      </c>
      <c r="R385">
        <v>108991754.55</v>
      </c>
      <c r="S385">
        <v>108991754.55</v>
      </c>
      <c r="T385">
        <v>108991754.55</v>
      </c>
      <c r="U385">
        <v>108991754.55</v>
      </c>
      <c r="V385">
        <v>108991754.55</v>
      </c>
      <c r="W385">
        <v>108991754.55</v>
      </c>
      <c r="X385">
        <v>108991754.55</v>
      </c>
    </row>
    <row r="386" spans="1:24" x14ac:dyDescent="0.25">
      <c r="A386" t="s">
        <v>58</v>
      </c>
      <c r="B386" t="s">
        <v>76</v>
      </c>
      <c r="C386" t="s">
        <v>77</v>
      </c>
      <c r="D386" t="s">
        <v>82</v>
      </c>
      <c r="E386" t="s">
        <v>78</v>
      </c>
      <c r="F386" s="71">
        <v>39814</v>
      </c>
      <c r="G386">
        <v>161950125.16542301</v>
      </c>
      <c r="H386">
        <v>161950125.16542301</v>
      </c>
      <c r="I386">
        <v>161950125.16542301</v>
      </c>
      <c r="J386">
        <v>161950125.16542301</v>
      </c>
      <c r="K386">
        <v>161950125.16542301</v>
      </c>
      <c r="L386">
        <v>161950125.16542301</v>
      </c>
      <c r="M386">
        <v>161950125.16542301</v>
      </c>
      <c r="N386">
        <v>161950125.16542301</v>
      </c>
      <c r="O386">
        <v>161950125.16542301</v>
      </c>
      <c r="P386">
        <v>161950125.16542301</v>
      </c>
      <c r="Q386">
        <v>161950125.16542301</v>
      </c>
      <c r="R386">
        <v>161950125.16542301</v>
      </c>
      <c r="S386">
        <v>161950125.16542301</v>
      </c>
      <c r="T386">
        <v>161950125.16542301</v>
      </c>
      <c r="U386">
        <v>161950125.16542301</v>
      </c>
      <c r="V386">
        <v>161950125.16542301</v>
      </c>
      <c r="W386">
        <v>161950125.16542301</v>
      </c>
    </row>
    <row r="387" spans="1:24" x14ac:dyDescent="0.25">
      <c r="A387" t="s">
        <v>58</v>
      </c>
      <c r="B387" t="s">
        <v>76</v>
      </c>
      <c r="C387" t="s">
        <v>77</v>
      </c>
      <c r="D387" t="s">
        <v>82</v>
      </c>
      <c r="E387" t="s">
        <v>78</v>
      </c>
      <c r="F387" s="71">
        <v>40179</v>
      </c>
      <c r="G387">
        <v>215045451.98193011</v>
      </c>
      <c r="H387">
        <v>215045451.98193011</v>
      </c>
      <c r="I387">
        <v>215045451.98193011</v>
      </c>
      <c r="J387">
        <v>215045451.98193011</v>
      </c>
      <c r="K387">
        <v>215045451.98193011</v>
      </c>
      <c r="L387">
        <v>215045451.98193011</v>
      </c>
      <c r="M387">
        <v>215045451.98193011</v>
      </c>
      <c r="N387">
        <v>215045451.98193011</v>
      </c>
      <c r="O387">
        <v>215045451.98193011</v>
      </c>
      <c r="P387">
        <v>215045451.98193011</v>
      </c>
      <c r="Q387">
        <v>215045451.98193011</v>
      </c>
      <c r="R387">
        <v>215045451.98193011</v>
      </c>
      <c r="S387">
        <v>215045451.98193011</v>
      </c>
      <c r="T387">
        <v>215045451.98193011</v>
      </c>
      <c r="U387">
        <v>215045451.98193011</v>
      </c>
      <c r="V387">
        <v>215045451.98193011</v>
      </c>
    </row>
    <row r="388" spans="1:24" x14ac:dyDescent="0.25">
      <c r="A388" t="s">
        <v>58</v>
      </c>
      <c r="B388" t="s">
        <v>76</v>
      </c>
      <c r="C388" t="s">
        <v>77</v>
      </c>
      <c r="D388" t="s">
        <v>82</v>
      </c>
      <c r="E388" t="s">
        <v>78</v>
      </c>
      <c r="F388" s="71">
        <v>40544</v>
      </c>
      <c r="G388">
        <v>222163739.77846551</v>
      </c>
      <c r="H388">
        <v>222163739.77846551</v>
      </c>
      <c r="I388">
        <v>222163739.77846551</v>
      </c>
      <c r="J388">
        <v>222163739.77846551</v>
      </c>
      <c r="K388">
        <v>222163739.77846551</v>
      </c>
      <c r="L388">
        <v>222163739.77846551</v>
      </c>
      <c r="M388">
        <v>222163739.77846551</v>
      </c>
      <c r="N388">
        <v>222163739.77846551</v>
      </c>
      <c r="O388">
        <v>222163739.77846551</v>
      </c>
      <c r="P388">
        <v>222163739.77846551</v>
      </c>
      <c r="Q388">
        <v>222163739.77846551</v>
      </c>
      <c r="R388">
        <v>222163739.77846551</v>
      </c>
      <c r="S388">
        <v>222163739.77846551</v>
      </c>
      <c r="T388">
        <v>222163739.77846551</v>
      </c>
      <c r="U388">
        <v>222163739.77846551</v>
      </c>
    </row>
    <row r="389" spans="1:24" x14ac:dyDescent="0.25">
      <c r="A389" t="s">
        <v>58</v>
      </c>
      <c r="B389" t="s">
        <v>76</v>
      </c>
      <c r="C389" t="s">
        <v>77</v>
      </c>
      <c r="D389" t="s">
        <v>82</v>
      </c>
      <c r="E389" t="s">
        <v>78</v>
      </c>
      <c r="F389" s="71">
        <v>40909</v>
      </c>
      <c r="G389">
        <v>241745105.85778001</v>
      </c>
      <c r="H389">
        <v>241745105.85778001</v>
      </c>
      <c r="I389">
        <v>241745105.85778001</v>
      </c>
      <c r="J389">
        <v>241745105.85778001</v>
      </c>
      <c r="K389">
        <v>241745105.85778001</v>
      </c>
      <c r="L389">
        <v>241745105.85778001</v>
      </c>
      <c r="M389">
        <v>241745105.85778001</v>
      </c>
      <c r="N389">
        <v>241745105.85778001</v>
      </c>
      <c r="O389">
        <v>241745105.85778001</v>
      </c>
      <c r="P389">
        <v>241745105.85778001</v>
      </c>
      <c r="Q389">
        <v>241745105.85778001</v>
      </c>
      <c r="R389">
        <v>241745105.85778001</v>
      </c>
      <c r="S389">
        <v>241745105.85778001</v>
      </c>
      <c r="T389">
        <v>241745105.85778001</v>
      </c>
    </row>
    <row r="390" spans="1:24" x14ac:dyDescent="0.25">
      <c r="A390" t="s">
        <v>58</v>
      </c>
      <c r="B390" t="s">
        <v>76</v>
      </c>
      <c r="C390" t="s">
        <v>77</v>
      </c>
      <c r="D390" t="s">
        <v>82</v>
      </c>
      <c r="E390" t="s">
        <v>78</v>
      </c>
      <c r="F390" s="71">
        <v>41275</v>
      </c>
      <c r="G390">
        <v>291566653.14282</v>
      </c>
      <c r="H390">
        <v>291566653.14282</v>
      </c>
      <c r="I390">
        <v>291566653.14282</v>
      </c>
      <c r="J390">
        <v>291566653.14282</v>
      </c>
      <c r="K390">
        <v>291566653.14282</v>
      </c>
      <c r="L390">
        <v>291566653.14282</v>
      </c>
      <c r="M390">
        <v>291566653.14282</v>
      </c>
      <c r="N390">
        <v>291566653.14282</v>
      </c>
      <c r="O390">
        <v>291566653.14282</v>
      </c>
      <c r="P390">
        <v>291566653.14282</v>
      </c>
      <c r="Q390">
        <v>291566653.14282</v>
      </c>
      <c r="R390">
        <v>291566653.14282</v>
      </c>
      <c r="S390">
        <v>291566653.14282</v>
      </c>
    </row>
    <row r="391" spans="1:24" x14ac:dyDescent="0.25">
      <c r="A391" t="s">
        <v>58</v>
      </c>
      <c r="B391" t="s">
        <v>76</v>
      </c>
      <c r="C391" t="s">
        <v>77</v>
      </c>
      <c r="D391" t="s">
        <v>82</v>
      </c>
      <c r="E391" t="s">
        <v>78</v>
      </c>
      <c r="F391" s="71">
        <v>41640</v>
      </c>
      <c r="G391">
        <v>310468930.37937802</v>
      </c>
      <c r="H391">
        <v>310468930.37937802</v>
      </c>
      <c r="I391">
        <v>310468930.37937802</v>
      </c>
      <c r="J391">
        <v>310468930.37937802</v>
      </c>
      <c r="K391">
        <v>310468930.37937802</v>
      </c>
      <c r="L391">
        <v>310468930.37937802</v>
      </c>
      <c r="M391">
        <v>310468930.37937802</v>
      </c>
      <c r="N391">
        <v>310468930.37937802</v>
      </c>
      <c r="O391">
        <v>310468930.37937802</v>
      </c>
      <c r="P391">
        <v>310468930.37937802</v>
      </c>
      <c r="Q391">
        <v>310468930.37937802</v>
      </c>
      <c r="R391">
        <v>310468930.37937802</v>
      </c>
    </row>
    <row r="392" spans="1:24" x14ac:dyDescent="0.25">
      <c r="A392" t="s">
        <v>58</v>
      </c>
      <c r="B392" t="s">
        <v>76</v>
      </c>
      <c r="C392" t="s">
        <v>77</v>
      </c>
      <c r="D392" t="s">
        <v>82</v>
      </c>
      <c r="E392" t="s">
        <v>78</v>
      </c>
      <c r="F392" s="71">
        <v>42005</v>
      </c>
      <c r="G392">
        <v>341056810.25</v>
      </c>
      <c r="H392">
        <v>341056810.25</v>
      </c>
      <c r="I392">
        <v>341056810.25</v>
      </c>
      <c r="J392">
        <v>341056810.25</v>
      </c>
      <c r="K392">
        <v>341056810.25</v>
      </c>
      <c r="L392">
        <v>341056810.25</v>
      </c>
      <c r="M392">
        <v>341056810.25</v>
      </c>
      <c r="N392">
        <v>341056810.25</v>
      </c>
      <c r="O392">
        <v>341056810.25</v>
      </c>
      <c r="P392">
        <v>341056810.25</v>
      </c>
      <c r="Q392">
        <v>341056810.25</v>
      </c>
    </row>
    <row r="393" spans="1:24" x14ac:dyDescent="0.25">
      <c r="A393" t="s">
        <v>58</v>
      </c>
      <c r="B393" t="s">
        <v>76</v>
      </c>
      <c r="C393" t="s">
        <v>77</v>
      </c>
      <c r="D393" t="s">
        <v>82</v>
      </c>
      <c r="E393" t="s">
        <v>78</v>
      </c>
      <c r="F393" s="71">
        <v>42370</v>
      </c>
      <c r="G393">
        <v>311473753.55949998</v>
      </c>
      <c r="H393">
        <v>311473753.55949998</v>
      </c>
      <c r="I393">
        <v>311473753.55949998</v>
      </c>
      <c r="J393">
        <v>311473753.55949998</v>
      </c>
      <c r="K393">
        <v>311473753.55949998</v>
      </c>
      <c r="L393">
        <v>311473753.55949998</v>
      </c>
      <c r="M393">
        <v>311473753.55949998</v>
      </c>
      <c r="N393">
        <v>311473753.55949998</v>
      </c>
      <c r="O393">
        <v>311473753.55949998</v>
      </c>
      <c r="P393">
        <v>311473753.55949998</v>
      </c>
    </row>
    <row r="394" spans="1:24" x14ac:dyDescent="0.25">
      <c r="A394" t="s">
        <v>58</v>
      </c>
      <c r="B394" t="s">
        <v>76</v>
      </c>
      <c r="C394" t="s">
        <v>77</v>
      </c>
      <c r="D394" t="s">
        <v>82</v>
      </c>
      <c r="E394" t="s">
        <v>78</v>
      </c>
      <c r="F394" s="71">
        <v>42736</v>
      </c>
      <c r="G394">
        <v>291306596.49000001</v>
      </c>
      <c r="H394">
        <v>291306596.49000001</v>
      </c>
      <c r="I394">
        <v>291306596.49000001</v>
      </c>
      <c r="J394">
        <v>291306596.49000001</v>
      </c>
      <c r="K394">
        <v>291306596.49000001</v>
      </c>
      <c r="L394">
        <v>291306596.49000001</v>
      </c>
      <c r="M394">
        <v>291306596.49000001</v>
      </c>
      <c r="N394">
        <v>291306596.49000001</v>
      </c>
      <c r="O394">
        <v>291306596.49000001</v>
      </c>
    </row>
    <row r="395" spans="1:24" x14ac:dyDescent="0.25">
      <c r="A395" t="s">
        <v>58</v>
      </c>
      <c r="B395" t="s">
        <v>76</v>
      </c>
      <c r="C395" t="s">
        <v>77</v>
      </c>
      <c r="D395" t="s">
        <v>82</v>
      </c>
      <c r="E395" t="s">
        <v>78</v>
      </c>
      <c r="F395" s="71">
        <v>43101</v>
      </c>
      <c r="G395">
        <v>285822649.82999998</v>
      </c>
      <c r="H395">
        <v>285822649.82999998</v>
      </c>
      <c r="I395">
        <v>285822649.82999998</v>
      </c>
      <c r="J395">
        <v>285822649.82999998</v>
      </c>
      <c r="K395">
        <v>285822649.82999998</v>
      </c>
      <c r="L395">
        <v>285822649.82999998</v>
      </c>
      <c r="M395">
        <v>285822649.82999998</v>
      </c>
      <c r="N395">
        <v>285822649.82999998</v>
      </c>
    </row>
    <row r="396" spans="1:24" x14ac:dyDescent="0.25">
      <c r="A396" t="s">
        <v>58</v>
      </c>
      <c r="B396" t="s">
        <v>76</v>
      </c>
      <c r="C396" t="s">
        <v>77</v>
      </c>
      <c r="D396" t="s">
        <v>82</v>
      </c>
      <c r="E396" t="s">
        <v>78</v>
      </c>
      <c r="F396" s="71">
        <v>43466</v>
      </c>
      <c r="G396">
        <v>254789800.82999989</v>
      </c>
      <c r="H396">
        <v>254789800.82999989</v>
      </c>
      <c r="I396">
        <v>254789800.82999989</v>
      </c>
      <c r="J396">
        <v>254789800.82999989</v>
      </c>
      <c r="K396">
        <v>254789800.82999989</v>
      </c>
      <c r="L396">
        <v>254789800.82999989</v>
      </c>
      <c r="M396">
        <v>254789800.82999989</v>
      </c>
    </row>
    <row r="397" spans="1:24" x14ac:dyDescent="0.25">
      <c r="A397" t="s">
        <v>58</v>
      </c>
      <c r="B397" t="s">
        <v>76</v>
      </c>
      <c r="C397" t="s">
        <v>77</v>
      </c>
      <c r="D397" t="s">
        <v>82</v>
      </c>
      <c r="E397" t="s">
        <v>78</v>
      </c>
      <c r="F397" s="71">
        <v>43831</v>
      </c>
      <c r="G397">
        <v>197035894.8599999</v>
      </c>
      <c r="H397">
        <v>197035894.8599999</v>
      </c>
      <c r="I397">
        <v>197035894.8599999</v>
      </c>
      <c r="J397">
        <v>197035894.8599999</v>
      </c>
      <c r="K397">
        <v>197035894.8599999</v>
      </c>
      <c r="L397">
        <v>197035894.8599999</v>
      </c>
    </row>
    <row r="398" spans="1:24" x14ac:dyDescent="0.25">
      <c r="A398" t="s">
        <v>58</v>
      </c>
      <c r="B398" t="s">
        <v>76</v>
      </c>
      <c r="C398" t="s">
        <v>77</v>
      </c>
      <c r="D398" t="s">
        <v>82</v>
      </c>
      <c r="E398" t="s">
        <v>78</v>
      </c>
      <c r="F398" s="71">
        <v>44197</v>
      </c>
      <c r="G398">
        <v>162670780.34</v>
      </c>
      <c r="H398">
        <v>162670780.34</v>
      </c>
      <c r="I398">
        <v>162670780.34</v>
      </c>
      <c r="J398">
        <v>162670780.34</v>
      </c>
      <c r="K398">
        <v>162670780.34</v>
      </c>
    </row>
    <row r="399" spans="1:24" x14ac:dyDescent="0.25">
      <c r="A399" t="s">
        <v>58</v>
      </c>
      <c r="B399" t="s">
        <v>76</v>
      </c>
      <c r="C399" t="s">
        <v>77</v>
      </c>
      <c r="D399" t="s">
        <v>82</v>
      </c>
      <c r="E399" t="s">
        <v>78</v>
      </c>
      <c r="F399" s="71">
        <v>44562</v>
      </c>
      <c r="G399">
        <v>160008401.2899999</v>
      </c>
      <c r="H399">
        <v>160008401.2899999</v>
      </c>
      <c r="I399">
        <v>160008401.2899999</v>
      </c>
      <c r="J399">
        <v>160008401.2899999</v>
      </c>
    </row>
    <row r="400" spans="1:24" x14ac:dyDescent="0.25">
      <c r="A400" t="s">
        <v>58</v>
      </c>
      <c r="B400" t="s">
        <v>76</v>
      </c>
      <c r="C400" t="s">
        <v>77</v>
      </c>
      <c r="D400" t="s">
        <v>82</v>
      </c>
      <c r="E400" t="s">
        <v>78</v>
      </c>
      <c r="F400" s="71">
        <v>44927</v>
      </c>
      <c r="G400">
        <v>144330335.66</v>
      </c>
      <c r="H400">
        <v>144330335.66</v>
      </c>
      <c r="I400">
        <v>144330335.66</v>
      </c>
    </row>
    <row r="401" spans="1:31" x14ac:dyDescent="0.25">
      <c r="A401" t="s">
        <v>58</v>
      </c>
      <c r="B401" t="s">
        <v>76</v>
      </c>
      <c r="C401" t="s">
        <v>77</v>
      </c>
      <c r="D401" t="s">
        <v>82</v>
      </c>
      <c r="E401" t="s">
        <v>78</v>
      </c>
      <c r="F401" s="71">
        <v>45292</v>
      </c>
      <c r="G401">
        <v>143734437.84999999</v>
      </c>
      <c r="H401">
        <v>143734437.84999999</v>
      </c>
    </row>
    <row r="402" spans="1:31" x14ac:dyDescent="0.25">
      <c r="A402" t="s">
        <v>58</v>
      </c>
      <c r="B402" t="s">
        <v>76</v>
      </c>
      <c r="C402" t="s">
        <v>77</v>
      </c>
      <c r="D402" t="s">
        <v>82</v>
      </c>
      <c r="E402" t="s">
        <v>78</v>
      </c>
      <c r="F402" s="71">
        <v>45658</v>
      </c>
      <c r="G402">
        <v>33833428.049999997</v>
      </c>
    </row>
    <row r="403" spans="1:31" x14ac:dyDescent="0.25">
      <c r="A403" t="s">
        <v>58</v>
      </c>
      <c r="B403" t="s">
        <v>79</v>
      </c>
      <c r="C403" t="s">
        <v>77</v>
      </c>
      <c r="D403" t="s">
        <v>82</v>
      </c>
      <c r="E403" t="s">
        <v>78</v>
      </c>
      <c r="F403" s="71">
        <v>36892</v>
      </c>
      <c r="G403">
        <v>400002</v>
      </c>
      <c r="H403">
        <v>61098833.020000011</v>
      </c>
      <c r="I403">
        <v>112163710.63</v>
      </c>
      <c r="J403">
        <v>167774695.56</v>
      </c>
      <c r="K403">
        <v>180577703.93000001</v>
      </c>
      <c r="L403">
        <v>185484786.11000001</v>
      </c>
      <c r="M403">
        <v>193057341.19</v>
      </c>
      <c r="N403">
        <v>196763231.24000001</v>
      </c>
      <c r="O403">
        <v>199692873.00999999</v>
      </c>
      <c r="P403">
        <v>203678897.61000001</v>
      </c>
      <c r="Q403">
        <v>203668466.55000001</v>
      </c>
      <c r="R403">
        <v>204535677.21000001</v>
      </c>
      <c r="S403">
        <v>206773945.15000001</v>
      </c>
      <c r="T403">
        <v>208631366.12</v>
      </c>
      <c r="U403">
        <v>208973458.56999999</v>
      </c>
      <c r="V403">
        <v>208608596.43000001</v>
      </c>
      <c r="W403">
        <v>208174584.72999999</v>
      </c>
      <c r="X403">
        <v>207547605.31</v>
      </c>
      <c r="Y403">
        <v>207386933.44999999</v>
      </c>
      <c r="Z403">
        <v>207539306.90000001</v>
      </c>
      <c r="AA403">
        <v>207491802.79000011</v>
      </c>
      <c r="AB403">
        <v>207259049.44</v>
      </c>
      <c r="AC403">
        <v>207375854.71000001</v>
      </c>
      <c r="AD403">
        <v>207555956.52000001</v>
      </c>
      <c r="AE403">
        <v>206970817.47</v>
      </c>
    </row>
    <row r="404" spans="1:31" x14ac:dyDescent="0.25">
      <c r="A404" t="s">
        <v>58</v>
      </c>
      <c r="B404" t="s">
        <v>79</v>
      </c>
      <c r="C404" t="s">
        <v>77</v>
      </c>
      <c r="D404" t="s">
        <v>82</v>
      </c>
      <c r="E404" t="s">
        <v>78</v>
      </c>
      <c r="F404" s="71">
        <v>37257</v>
      </c>
      <c r="G404">
        <v>6515013.25</v>
      </c>
      <c r="H404">
        <v>114155920.12</v>
      </c>
      <c r="I404">
        <v>247406574.61000001</v>
      </c>
      <c r="J404">
        <v>302354252.26000011</v>
      </c>
      <c r="K404">
        <v>313469035.00999999</v>
      </c>
      <c r="L404">
        <v>328613483.29000008</v>
      </c>
      <c r="M404">
        <v>332123203.70999998</v>
      </c>
      <c r="N404">
        <v>337122626.13</v>
      </c>
      <c r="O404">
        <v>337656800.39999998</v>
      </c>
      <c r="P404">
        <v>343865402.79000002</v>
      </c>
      <c r="Q404">
        <v>353189225.08999997</v>
      </c>
      <c r="R404">
        <v>354088298.69000012</v>
      </c>
      <c r="S404">
        <v>354079656.20999998</v>
      </c>
      <c r="T404">
        <v>353230719.82000011</v>
      </c>
      <c r="U404">
        <v>352275027.06</v>
      </c>
      <c r="V404">
        <v>352071638.08999997</v>
      </c>
      <c r="W404">
        <v>350999045.43000001</v>
      </c>
      <c r="X404">
        <v>351800155.4600001</v>
      </c>
      <c r="Y404">
        <v>352021562.94999999</v>
      </c>
      <c r="Z404">
        <v>352073741.84000009</v>
      </c>
      <c r="AA404">
        <v>351930633.17000002</v>
      </c>
      <c r="AB404">
        <v>348529462.77999997</v>
      </c>
      <c r="AC404">
        <v>348525414.70999998</v>
      </c>
      <c r="AD404">
        <v>348280949.98000008</v>
      </c>
    </row>
    <row r="405" spans="1:31" x14ac:dyDescent="0.25">
      <c r="A405" t="s">
        <v>58</v>
      </c>
      <c r="B405" t="s">
        <v>79</v>
      </c>
      <c r="C405" t="s">
        <v>77</v>
      </c>
      <c r="D405" t="s">
        <v>82</v>
      </c>
      <c r="E405" t="s">
        <v>78</v>
      </c>
      <c r="F405" s="71">
        <v>37622</v>
      </c>
      <c r="G405">
        <v>3092268.44</v>
      </c>
      <c r="H405">
        <v>139028594.05000001</v>
      </c>
      <c r="I405">
        <v>241941246.44</v>
      </c>
      <c r="J405">
        <v>265559764</v>
      </c>
      <c r="K405">
        <v>286924941.92000002</v>
      </c>
      <c r="L405">
        <v>296813785.22000003</v>
      </c>
      <c r="M405">
        <v>301452238.93000001</v>
      </c>
      <c r="N405">
        <v>304957272.82999998</v>
      </c>
      <c r="O405">
        <v>309512105.06</v>
      </c>
      <c r="P405">
        <v>310205616.61000001</v>
      </c>
      <c r="Q405">
        <v>315753435.55000001</v>
      </c>
      <c r="R405">
        <v>319399369.94999993</v>
      </c>
      <c r="S405">
        <v>320077188.77999997</v>
      </c>
      <c r="T405">
        <v>318761715.83999997</v>
      </c>
      <c r="U405">
        <v>317670095.91000003</v>
      </c>
      <c r="V405">
        <v>317352101.54000002</v>
      </c>
      <c r="W405">
        <v>316903356.92000002</v>
      </c>
      <c r="X405">
        <v>317696213.14999998</v>
      </c>
      <c r="Y405">
        <v>317691868.80000001</v>
      </c>
      <c r="Z405">
        <v>318499853.29000002</v>
      </c>
      <c r="AA405">
        <v>318593194.91000003</v>
      </c>
      <c r="AB405">
        <v>318818112.95999998</v>
      </c>
      <c r="AC405">
        <v>318605116.85000002</v>
      </c>
    </row>
    <row r="406" spans="1:31" x14ac:dyDescent="0.25">
      <c r="A406" t="s">
        <v>58</v>
      </c>
      <c r="B406" t="s">
        <v>79</v>
      </c>
      <c r="C406" t="s">
        <v>77</v>
      </c>
      <c r="D406" t="s">
        <v>82</v>
      </c>
      <c r="E406" t="s">
        <v>78</v>
      </c>
      <c r="F406" s="71">
        <v>37987</v>
      </c>
      <c r="G406">
        <v>2261098.36</v>
      </c>
      <c r="H406">
        <v>95397761.409999996</v>
      </c>
      <c r="I406">
        <v>118040648.15000001</v>
      </c>
      <c r="J406">
        <v>143682182.40000001</v>
      </c>
      <c r="K406">
        <v>154097805.61000001</v>
      </c>
      <c r="L406">
        <v>162466754.96000001</v>
      </c>
      <c r="M406">
        <v>166808048.34</v>
      </c>
      <c r="N406">
        <v>169394417.88</v>
      </c>
      <c r="O406">
        <v>170754921.52000001</v>
      </c>
      <c r="P406">
        <v>177472007.09999999</v>
      </c>
      <c r="Q406">
        <v>179606539.15000001</v>
      </c>
      <c r="R406">
        <v>183731863.90000001</v>
      </c>
      <c r="S406">
        <v>183189812.18000001</v>
      </c>
      <c r="T406">
        <v>183017543.22999999</v>
      </c>
      <c r="U406">
        <v>182860928.62</v>
      </c>
      <c r="V406">
        <v>182265383.43000001</v>
      </c>
      <c r="W406">
        <v>182927479.94999999</v>
      </c>
      <c r="X406">
        <v>183315797.16</v>
      </c>
      <c r="Y406">
        <v>182994181.12</v>
      </c>
      <c r="Z406">
        <v>182961672.74000001</v>
      </c>
      <c r="AA406">
        <v>182846580.96000001</v>
      </c>
      <c r="AB406">
        <v>183518222.94</v>
      </c>
    </row>
    <row r="407" spans="1:31" x14ac:dyDescent="0.25">
      <c r="A407" t="s">
        <v>58</v>
      </c>
      <c r="B407" t="s">
        <v>79</v>
      </c>
      <c r="C407" t="s">
        <v>77</v>
      </c>
      <c r="D407" t="s">
        <v>82</v>
      </c>
      <c r="E407" t="s">
        <v>78</v>
      </c>
      <c r="F407" s="71">
        <v>38353</v>
      </c>
      <c r="G407">
        <v>3733848.68</v>
      </c>
      <c r="H407">
        <v>34521974.43</v>
      </c>
      <c r="I407">
        <v>54843546.460000001</v>
      </c>
      <c r="J407">
        <v>65595350.799999997</v>
      </c>
      <c r="K407">
        <v>70749195.419999987</v>
      </c>
      <c r="L407">
        <v>79719619.350000009</v>
      </c>
      <c r="M407">
        <v>82974103.530000001</v>
      </c>
      <c r="N407">
        <v>83412311.469999984</v>
      </c>
      <c r="O407">
        <v>83771130.409999982</v>
      </c>
      <c r="P407">
        <v>85527655.439999983</v>
      </c>
      <c r="Q407">
        <v>84472737.669999987</v>
      </c>
      <c r="R407">
        <v>83334537.989999995</v>
      </c>
      <c r="S407">
        <v>82885371.11999999</v>
      </c>
      <c r="T407">
        <v>83546048.469999954</v>
      </c>
      <c r="U407">
        <v>83768359.819999993</v>
      </c>
      <c r="V407">
        <v>83721300.87999998</v>
      </c>
      <c r="W407">
        <v>85427240.50999999</v>
      </c>
      <c r="X407">
        <v>84854974.179999977</v>
      </c>
      <c r="Y407">
        <v>84527898.37999998</v>
      </c>
      <c r="Z407">
        <v>85298776.129999995</v>
      </c>
      <c r="AA407">
        <v>85913915.379999995</v>
      </c>
    </row>
    <row r="408" spans="1:31" x14ac:dyDescent="0.25">
      <c r="A408" t="s">
        <v>58</v>
      </c>
      <c r="B408" t="s">
        <v>79</v>
      </c>
      <c r="C408" t="s">
        <v>77</v>
      </c>
      <c r="D408" t="s">
        <v>82</v>
      </c>
      <c r="E408" t="s">
        <v>78</v>
      </c>
      <c r="F408" s="71">
        <v>38718</v>
      </c>
      <c r="G408">
        <v>957164.02</v>
      </c>
      <c r="H408">
        <v>35485472.659999996</v>
      </c>
      <c r="I408">
        <v>51035737.659999996</v>
      </c>
      <c r="J408">
        <v>61897031.399999999</v>
      </c>
      <c r="K408">
        <v>73830731.349999994</v>
      </c>
      <c r="L408">
        <v>79620421.519999996</v>
      </c>
      <c r="M408">
        <v>82389292.950000003</v>
      </c>
      <c r="N408">
        <v>81877557.88000001</v>
      </c>
      <c r="O408">
        <v>83023310.239999995</v>
      </c>
      <c r="P408">
        <v>83802710.609999999</v>
      </c>
      <c r="Q408">
        <v>83530161.200000003</v>
      </c>
      <c r="R408">
        <v>83280561.269999996</v>
      </c>
      <c r="S408">
        <v>82844331.529999971</v>
      </c>
      <c r="T408">
        <v>83087380.830000013</v>
      </c>
      <c r="U408">
        <v>84135872.980000004</v>
      </c>
      <c r="V408">
        <v>84436100.549999982</v>
      </c>
      <c r="W408">
        <v>84308394.639999986</v>
      </c>
      <c r="X408">
        <v>83974502.61999999</v>
      </c>
      <c r="Y408">
        <v>84159317.909999996</v>
      </c>
      <c r="Z408">
        <v>84435756.460000008</v>
      </c>
    </row>
    <row r="409" spans="1:31" x14ac:dyDescent="0.25">
      <c r="A409" t="s">
        <v>58</v>
      </c>
      <c r="B409" t="s">
        <v>79</v>
      </c>
      <c r="C409" t="s">
        <v>77</v>
      </c>
      <c r="D409" t="s">
        <v>82</v>
      </c>
      <c r="E409" t="s">
        <v>78</v>
      </c>
      <c r="F409" s="71">
        <v>39083</v>
      </c>
      <c r="G409">
        <v>1191171.25</v>
      </c>
      <c r="H409">
        <v>37090668.859999999</v>
      </c>
      <c r="I409">
        <v>53221220.189999998</v>
      </c>
      <c r="J409">
        <v>80201162.74000001</v>
      </c>
      <c r="K409">
        <v>84930247.480000004</v>
      </c>
      <c r="L409">
        <v>84756342.910000011</v>
      </c>
      <c r="M409">
        <v>87045298.820000023</v>
      </c>
      <c r="N409">
        <v>87527796.219999999</v>
      </c>
      <c r="O409">
        <v>88221664.530000001</v>
      </c>
      <c r="P409">
        <v>88018700.450000003</v>
      </c>
      <c r="Q409">
        <v>88043111.310000002</v>
      </c>
      <c r="R409">
        <v>87497877.060000017</v>
      </c>
      <c r="S409">
        <v>87818116.599999994</v>
      </c>
      <c r="T409">
        <v>87914895.030000001</v>
      </c>
      <c r="U409">
        <v>87988989.960000008</v>
      </c>
      <c r="V409">
        <v>88053108.539999992</v>
      </c>
      <c r="W409">
        <v>88250984.409999996</v>
      </c>
      <c r="X409">
        <v>88461856.330000013</v>
      </c>
      <c r="Y409">
        <v>88591372.890000001</v>
      </c>
    </row>
    <row r="410" spans="1:31" x14ac:dyDescent="0.25">
      <c r="A410" t="s">
        <v>58</v>
      </c>
      <c r="B410" t="s">
        <v>79</v>
      </c>
      <c r="C410" t="s">
        <v>77</v>
      </c>
      <c r="D410" t="s">
        <v>82</v>
      </c>
      <c r="E410" t="s">
        <v>78</v>
      </c>
      <c r="F410" s="71">
        <v>39448</v>
      </c>
      <c r="G410">
        <v>1498509.36</v>
      </c>
      <c r="H410">
        <v>31358671.18</v>
      </c>
      <c r="I410">
        <v>54393746.509999998</v>
      </c>
      <c r="J410">
        <v>65684248.900000013</v>
      </c>
      <c r="K410">
        <v>66704447.020000003</v>
      </c>
      <c r="L410">
        <v>69398626.5</v>
      </c>
      <c r="M410">
        <v>70482141.169999987</v>
      </c>
      <c r="N410">
        <v>72165721.840000004</v>
      </c>
      <c r="O410">
        <v>72719856.449999988</v>
      </c>
      <c r="P410">
        <v>73045069.219999999</v>
      </c>
      <c r="Q410">
        <v>72618219.74000001</v>
      </c>
      <c r="R410">
        <v>72971540.950000018</v>
      </c>
      <c r="S410">
        <v>72475042.960000008</v>
      </c>
      <c r="T410">
        <v>72492861.939999998</v>
      </c>
      <c r="U410">
        <v>73164190.560000002</v>
      </c>
      <c r="V410">
        <v>73718354.989999995</v>
      </c>
      <c r="W410">
        <v>73867643</v>
      </c>
      <c r="X410">
        <v>73859154.829999998</v>
      </c>
    </row>
    <row r="411" spans="1:31" x14ac:dyDescent="0.25">
      <c r="A411" t="s">
        <v>58</v>
      </c>
      <c r="B411" t="s">
        <v>79</v>
      </c>
      <c r="C411" t="s">
        <v>77</v>
      </c>
      <c r="D411" t="s">
        <v>82</v>
      </c>
      <c r="E411" t="s">
        <v>78</v>
      </c>
      <c r="F411" s="71">
        <v>39814</v>
      </c>
      <c r="G411">
        <v>1512027.28</v>
      </c>
      <c r="H411">
        <v>59686874.979999997</v>
      </c>
      <c r="I411">
        <v>98288831.079999983</v>
      </c>
      <c r="J411">
        <v>110063580.41</v>
      </c>
      <c r="K411">
        <v>123459148.06999999</v>
      </c>
      <c r="L411">
        <v>126069451.53</v>
      </c>
      <c r="M411">
        <v>127440280.09</v>
      </c>
      <c r="N411">
        <v>126909062.05</v>
      </c>
      <c r="O411">
        <v>126760823.3</v>
      </c>
      <c r="P411">
        <v>127358585.02</v>
      </c>
      <c r="Q411">
        <v>127390242.08</v>
      </c>
      <c r="R411">
        <v>128839775.86</v>
      </c>
      <c r="S411">
        <v>128661798.25</v>
      </c>
      <c r="T411">
        <v>129009899.63</v>
      </c>
      <c r="U411">
        <v>129214341.31999999</v>
      </c>
      <c r="V411">
        <v>129417729.78</v>
      </c>
      <c r="W411">
        <v>129762620.56999999</v>
      </c>
    </row>
    <row r="412" spans="1:31" x14ac:dyDescent="0.25">
      <c r="A412" t="s">
        <v>58</v>
      </c>
      <c r="B412" t="s">
        <v>79</v>
      </c>
      <c r="C412" t="s">
        <v>77</v>
      </c>
      <c r="D412" t="s">
        <v>82</v>
      </c>
      <c r="E412" t="s">
        <v>78</v>
      </c>
      <c r="F412" s="71">
        <v>40179</v>
      </c>
      <c r="G412">
        <v>1111839</v>
      </c>
      <c r="H412">
        <v>90924953.269999996</v>
      </c>
      <c r="I412">
        <v>131967565.51000001</v>
      </c>
      <c r="J412">
        <v>161250909.28</v>
      </c>
      <c r="K412">
        <v>169111056.41999999</v>
      </c>
      <c r="L412">
        <v>176748917.31999999</v>
      </c>
      <c r="M412">
        <v>174421376.37</v>
      </c>
      <c r="N412">
        <v>176290143.21000001</v>
      </c>
      <c r="O412">
        <v>175952212.38999999</v>
      </c>
      <c r="P412">
        <v>179825108.99000001</v>
      </c>
      <c r="Q412">
        <v>181563228.03</v>
      </c>
      <c r="R412">
        <v>183459347.53999999</v>
      </c>
      <c r="S412">
        <v>183820105.36000001</v>
      </c>
      <c r="T412">
        <v>185891926.09999999</v>
      </c>
      <c r="U412">
        <v>184787173.93000001</v>
      </c>
      <c r="V412">
        <v>184495280.47</v>
      </c>
    </row>
    <row r="413" spans="1:31" x14ac:dyDescent="0.25">
      <c r="A413" t="s">
        <v>58</v>
      </c>
      <c r="B413" t="s">
        <v>79</v>
      </c>
      <c r="C413" t="s">
        <v>77</v>
      </c>
      <c r="D413" t="s">
        <v>82</v>
      </c>
      <c r="E413" t="s">
        <v>78</v>
      </c>
      <c r="F413" s="71">
        <v>40544</v>
      </c>
      <c r="G413">
        <v>1560597</v>
      </c>
      <c r="H413">
        <v>93721316.889999986</v>
      </c>
      <c r="I413">
        <v>132548208.70999999</v>
      </c>
      <c r="J413">
        <v>144357791.86000001</v>
      </c>
      <c r="K413">
        <v>149095837.55000001</v>
      </c>
      <c r="L413">
        <v>149192132.25999999</v>
      </c>
      <c r="M413">
        <v>149523892.16999999</v>
      </c>
      <c r="N413">
        <v>151544412.66</v>
      </c>
      <c r="O413">
        <v>152143708.65000001</v>
      </c>
      <c r="P413">
        <v>154991276.56999999</v>
      </c>
      <c r="Q413">
        <v>154645453.52000001</v>
      </c>
      <c r="R413">
        <v>153356117.50999999</v>
      </c>
      <c r="S413">
        <v>153086502.47</v>
      </c>
      <c r="T413">
        <v>154232272.69999999</v>
      </c>
      <c r="U413">
        <v>154188544.61000001</v>
      </c>
    </row>
    <row r="414" spans="1:31" x14ac:dyDescent="0.25">
      <c r="A414" t="s">
        <v>58</v>
      </c>
      <c r="B414" t="s">
        <v>79</v>
      </c>
      <c r="C414" t="s">
        <v>77</v>
      </c>
      <c r="D414" t="s">
        <v>82</v>
      </c>
      <c r="E414" t="s">
        <v>78</v>
      </c>
      <c r="F414" s="71">
        <v>40909</v>
      </c>
      <c r="G414">
        <v>3196085.1</v>
      </c>
      <c r="H414">
        <v>87067615.75</v>
      </c>
      <c r="I414">
        <v>113876270.34999999</v>
      </c>
      <c r="J414">
        <v>122674701.87</v>
      </c>
      <c r="K414">
        <v>123587949.48999999</v>
      </c>
      <c r="L414">
        <v>133356231.73</v>
      </c>
      <c r="M414">
        <v>135526927.49000001</v>
      </c>
      <c r="N414">
        <v>136572161.25</v>
      </c>
      <c r="O414">
        <v>145080832.80000001</v>
      </c>
      <c r="P414">
        <v>149076015.25</v>
      </c>
      <c r="Q414">
        <v>150544068.97</v>
      </c>
      <c r="R414">
        <v>151408556.94</v>
      </c>
      <c r="S414">
        <v>154978281.87</v>
      </c>
      <c r="T414">
        <v>159313569.97999999</v>
      </c>
    </row>
    <row r="415" spans="1:31" x14ac:dyDescent="0.25">
      <c r="A415" t="s">
        <v>58</v>
      </c>
      <c r="B415" t="s">
        <v>79</v>
      </c>
      <c r="C415" t="s">
        <v>77</v>
      </c>
      <c r="D415" t="s">
        <v>82</v>
      </c>
      <c r="E415" t="s">
        <v>78</v>
      </c>
      <c r="F415" s="71">
        <v>41275</v>
      </c>
      <c r="G415">
        <v>2567063.83</v>
      </c>
      <c r="H415">
        <v>88694778.819999993</v>
      </c>
      <c r="I415">
        <v>114299707.55</v>
      </c>
      <c r="J415">
        <v>122051433.38</v>
      </c>
      <c r="K415">
        <v>129283944.11</v>
      </c>
      <c r="L415">
        <v>132574589.40000001</v>
      </c>
      <c r="M415">
        <v>137623954</v>
      </c>
      <c r="N415">
        <v>138258103.63</v>
      </c>
      <c r="O415">
        <v>141645766.59999999</v>
      </c>
      <c r="P415">
        <v>141271862.94999999</v>
      </c>
      <c r="Q415">
        <v>142221997.25999999</v>
      </c>
      <c r="R415">
        <v>142295563.75999999</v>
      </c>
      <c r="S415">
        <v>142550394.22</v>
      </c>
    </row>
    <row r="416" spans="1:31" x14ac:dyDescent="0.25">
      <c r="A416" t="s">
        <v>58</v>
      </c>
      <c r="B416" t="s">
        <v>79</v>
      </c>
      <c r="C416" t="s">
        <v>77</v>
      </c>
      <c r="D416" t="s">
        <v>82</v>
      </c>
      <c r="E416" t="s">
        <v>78</v>
      </c>
      <c r="F416" s="71">
        <v>41640</v>
      </c>
      <c r="G416">
        <v>3874786.24</v>
      </c>
      <c r="H416">
        <v>74053690.109999985</v>
      </c>
      <c r="I416">
        <v>97987893.439999998</v>
      </c>
      <c r="J416">
        <v>112548152.14</v>
      </c>
      <c r="K416">
        <v>120481679.22</v>
      </c>
      <c r="L416">
        <v>124266368.65000001</v>
      </c>
      <c r="M416">
        <v>127744513.39</v>
      </c>
      <c r="N416">
        <v>128429836.31999999</v>
      </c>
      <c r="O416">
        <v>130462809.90000001</v>
      </c>
      <c r="P416">
        <v>131737180.87</v>
      </c>
      <c r="Q416">
        <v>133316235.67</v>
      </c>
      <c r="R416">
        <v>134430656.49000001</v>
      </c>
    </row>
    <row r="417" spans="1:31" x14ac:dyDescent="0.25">
      <c r="A417" t="s">
        <v>58</v>
      </c>
      <c r="B417" t="s">
        <v>79</v>
      </c>
      <c r="C417" t="s">
        <v>77</v>
      </c>
      <c r="D417" t="s">
        <v>82</v>
      </c>
      <c r="E417" t="s">
        <v>78</v>
      </c>
      <c r="F417" s="71">
        <v>42005</v>
      </c>
      <c r="G417">
        <v>3933101.59</v>
      </c>
      <c r="H417">
        <v>71599504.370000005</v>
      </c>
      <c r="I417">
        <v>101084413.06999999</v>
      </c>
      <c r="J417">
        <v>117093352.75</v>
      </c>
      <c r="K417">
        <v>126008212.01000001</v>
      </c>
      <c r="L417">
        <v>131834666.29000001</v>
      </c>
      <c r="M417">
        <v>136847787.61000001</v>
      </c>
      <c r="N417">
        <v>140055360.33000001</v>
      </c>
      <c r="O417">
        <v>143473579.71000001</v>
      </c>
      <c r="P417">
        <v>144072591.34</v>
      </c>
      <c r="Q417">
        <v>140616444.53999999</v>
      </c>
    </row>
    <row r="418" spans="1:31" x14ac:dyDescent="0.25">
      <c r="A418" t="s">
        <v>58</v>
      </c>
      <c r="B418" t="s">
        <v>79</v>
      </c>
      <c r="C418" t="s">
        <v>77</v>
      </c>
      <c r="D418" t="s">
        <v>82</v>
      </c>
      <c r="E418" t="s">
        <v>78</v>
      </c>
      <c r="F418" s="71">
        <v>42370</v>
      </c>
      <c r="G418">
        <v>3903450.09</v>
      </c>
      <c r="H418">
        <v>62617572.710000001</v>
      </c>
      <c r="I418">
        <v>85416262.889999986</v>
      </c>
      <c r="J418">
        <v>97339370.549999997</v>
      </c>
      <c r="K418">
        <v>106589865.83</v>
      </c>
      <c r="L418">
        <v>109586448.81999999</v>
      </c>
      <c r="M418">
        <v>111772821.90000001</v>
      </c>
      <c r="N418">
        <v>112839968.09</v>
      </c>
      <c r="O418">
        <v>114297547.17</v>
      </c>
      <c r="P418">
        <v>115199320.52</v>
      </c>
    </row>
    <row r="419" spans="1:31" x14ac:dyDescent="0.25">
      <c r="A419" t="s">
        <v>58</v>
      </c>
      <c r="B419" t="s">
        <v>79</v>
      </c>
      <c r="C419" t="s">
        <v>77</v>
      </c>
      <c r="D419" t="s">
        <v>82</v>
      </c>
      <c r="E419" t="s">
        <v>78</v>
      </c>
      <c r="F419" s="71">
        <v>42736</v>
      </c>
      <c r="G419">
        <v>2700588.89</v>
      </c>
      <c r="H419">
        <v>61481376.299999997</v>
      </c>
      <c r="I419">
        <v>86278194.729999989</v>
      </c>
      <c r="J419">
        <v>100956456.26000001</v>
      </c>
      <c r="K419">
        <v>104976931.41</v>
      </c>
      <c r="L419">
        <v>109818078.13</v>
      </c>
      <c r="M419">
        <v>112449682.65000001</v>
      </c>
      <c r="N419">
        <v>114327896.23999999</v>
      </c>
      <c r="O419">
        <v>115066360.45</v>
      </c>
    </row>
    <row r="420" spans="1:31" x14ac:dyDescent="0.25">
      <c r="A420" t="s">
        <v>58</v>
      </c>
      <c r="B420" t="s">
        <v>79</v>
      </c>
      <c r="C420" t="s">
        <v>77</v>
      </c>
      <c r="D420" t="s">
        <v>82</v>
      </c>
      <c r="E420" t="s">
        <v>78</v>
      </c>
      <c r="F420" s="71">
        <v>43101</v>
      </c>
      <c r="G420">
        <v>3633751.080000001</v>
      </c>
      <c r="H420">
        <v>74913921.200000018</v>
      </c>
      <c r="I420">
        <v>101628913.27</v>
      </c>
      <c r="J420">
        <v>112762355.72</v>
      </c>
      <c r="K420">
        <v>120394755.67</v>
      </c>
      <c r="L420">
        <v>123004104.09999999</v>
      </c>
      <c r="M420">
        <v>125145407.34999999</v>
      </c>
      <c r="N420">
        <v>131042301.91</v>
      </c>
    </row>
    <row r="421" spans="1:31" x14ac:dyDescent="0.25">
      <c r="A421" t="s">
        <v>58</v>
      </c>
      <c r="B421" t="s">
        <v>79</v>
      </c>
      <c r="C421" t="s">
        <v>77</v>
      </c>
      <c r="D421" t="s">
        <v>82</v>
      </c>
      <c r="E421" t="s">
        <v>78</v>
      </c>
      <c r="F421" s="71">
        <v>43466</v>
      </c>
      <c r="G421">
        <v>5464627.3700000001</v>
      </c>
      <c r="H421">
        <v>74553817.700000003</v>
      </c>
      <c r="I421">
        <v>103852987.23</v>
      </c>
      <c r="J421">
        <v>122603705.81</v>
      </c>
      <c r="K421">
        <v>132522152.42</v>
      </c>
      <c r="L421">
        <v>140838074.34</v>
      </c>
      <c r="M421">
        <v>141644269.34999999</v>
      </c>
    </row>
    <row r="422" spans="1:31" x14ac:dyDescent="0.25">
      <c r="A422" t="s">
        <v>58</v>
      </c>
      <c r="B422" t="s">
        <v>79</v>
      </c>
      <c r="C422" t="s">
        <v>77</v>
      </c>
      <c r="D422" t="s">
        <v>82</v>
      </c>
      <c r="E422" t="s">
        <v>78</v>
      </c>
      <c r="F422" s="71">
        <v>43831</v>
      </c>
      <c r="G422">
        <v>3784537.11</v>
      </c>
      <c r="H422">
        <v>63938248.560000002</v>
      </c>
      <c r="I422">
        <v>89130917.890000001</v>
      </c>
      <c r="J422">
        <v>100481364.81999999</v>
      </c>
      <c r="K422">
        <v>107138934.23</v>
      </c>
      <c r="L422">
        <v>112329077.45999999</v>
      </c>
    </row>
    <row r="423" spans="1:31" x14ac:dyDescent="0.25">
      <c r="A423" t="s">
        <v>58</v>
      </c>
      <c r="B423" t="s">
        <v>79</v>
      </c>
      <c r="C423" t="s">
        <v>77</v>
      </c>
      <c r="D423" t="s">
        <v>82</v>
      </c>
      <c r="E423" t="s">
        <v>78</v>
      </c>
      <c r="F423" s="71">
        <v>44197</v>
      </c>
      <c r="G423">
        <v>2666576.21</v>
      </c>
      <c r="H423">
        <v>55520029.779999986</v>
      </c>
      <c r="I423">
        <v>77183436.049999997</v>
      </c>
      <c r="J423">
        <v>88803104.370000005</v>
      </c>
      <c r="K423">
        <v>96041038.879999995</v>
      </c>
    </row>
    <row r="424" spans="1:31" x14ac:dyDescent="0.25">
      <c r="A424" t="s">
        <v>58</v>
      </c>
      <c r="B424" t="s">
        <v>79</v>
      </c>
      <c r="C424" t="s">
        <v>77</v>
      </c>
      <c r="D424" t="s">
        <v>82</v>
      </c>
      <c r="E424" t="s">
        <v>78</v>
      </c>
      <c r="F424" s="71">
        <v>44562</v>
      </c>
      <c r="G424">
        <v>3935124.65</v>
      </c>
      <c r="H424">
        <v>54989227.479999997</v>
      </c>
      <c r="I424">
        <v>81743377.320000008</v>
      </c>
      <c r="J424">
        <v>94597357.459999993</v>
      </c>
    </row>
    <row r="425" spans="1:31" x14ac:dyDescent="0.25">
      <c r="A425" t="s">
        <v>58</v>
      </c>
      <c r="B425" t="s">
        <v>79</v>
      </c>
      <c r="C425" t="s">
        <v>77</v>
      </c>
      <c r="D425" t="s">
        <v>82</v>
      </c>
      <c r="E425" t="s">
        <v>78</v>
      </c>
      <c r="F425" s="71">
        <v>44927</v>
      </c>
      <c r="G425">
        <v>2878037.78</v>
      </c>
      <c r="H425">
        <v>52953332.750000007</v>
      </c>
      <c r="I425">
        <v>79459764.25</v>
      </c>
    </row>
    <row r="426" spans="1:31" x14ac:dyDescent="0.25">
      <c r="A426" t="s">
        <v>58</v>
      </c>
      <c r="B426" t="s">
        <v>79</v>
      </c>
      <c r="C426" t="s">
        <v>77</v>
      </c>
      <c r="D426" t="s">
        <v>82</v>
      </c>
      <c r="E426" t="s">
        <v>78</v>
      </c>
      <c r="F426" s="71">
        <v>45292</v>
      </c>
      <c r="G426">
        <v>3444080.58</v>
      </c>
      <c r="H426">
        <v>58387581.38000001</v>
      </c>
    </row>
    <row r="427" spans="1:31" x14ac:dyDescent="0.25">
      <c r="A427" t="s">
        <v>58</v>
      </c>
      <c r="B427" t="s">
        <v>79</v>
      </c>
      <c r="C427" t="s">
        <v>77</v>
      </c>
      <c r="D427" t="s">
        <v>82</v>
      </c>
      <c r="E427" t="s">
        <v>78</v>
      </c>
      <c r="F427" s="71">
        <v>45658</v>
      </c>
      <c r="G427">
        <v>2575889.9300000002</v>
      </c>
    </row>
    <row r="428" spans="1:31" x14ac:dyDescent="0.25">
      <c r="A428" t="s">
        <v>58</v>
      </c>
      <c r="B428" t="s">
        <v>80</v>
      </c>
      <c r="C428" t="s">
        <v>77</v>
      </c>
      <c r="D428" t="s">
        <v>82</v>
      </c>
      <c r="E428" t="s">
        <v>78</v>
      </c>
      <c r="F428" s="71">
        <v>36892</v>
      </c>
      <c r="G428">
        <v>0</v>
      </c>
      <c r="H428">
        <v>22753949.670000002</v>
      </c>
      <c r="I428">
        <v>67394255.370000005</v>
      </c>
      <c r="J428">
        <v>105821199.44</v>
      </c>
      <c r="K428">
        <v>137459007.75</v>
      </c>
      <c r="L428">
        <v>153990369.27000001</v>
      </c>
      <c r="M428">
        <v>165617324.72</v>
      </c>
      <c r="N428">
        <v>174551571.22</v>
      </c>
      <c r="O428">
        <v>180408357.59</v>
      </c>
      <c r="P428">
        <v>184839558.36000001</v>
      </c>
      <c r="Q428">
        <v>187381279.5</v>
      </c>
      <c r="R428">
        <v>191568816.84999999</v>
      </c>
      <c r="S428">
        <v>194743129.49000001</v>
      </c>
      <c r="T428">
        <v>196787608.81999999</v>
      </c>
      <c r="U428">
        <v>198276745.52000001</v>
      </c>
      <c r="V428">
        <v>198886936.50999999</v>
      </c>
      <c r="W428">
        <v>200404397.03</v>
      </c>
      <c r="X428">
        <v>200899905.62</v>
      </c>
      <c r="Y428">
        <v>201783133.41</v>
      </c>
      <c r="Z428">
        <v>202437514.43000001</v>
      </c>
      <c r="AA428">
        <v>202817562.91</v>
      </c>
      <c r="AB428">
        <v>203381293.78999999</v>
      </c>
      <c r="AC428">
        <v>203760671.13999999</v>
      </c>
      <c r="AD428">
        <v>204213063.02000001</v>
      </c>
      <c r="AE428">
        <v>204505706.72</v>
      </c>
    </row>
    <row r="429" spans="1:31" x14ac:dyDescent="0.25">
      <c r="A429" t="s">
        <v>58</v>
      </c>
      <c r="B429" t="s">
        <v>80</v>
      </c>
      <c r="C429" t="s">
        <v>77</v>
      </c>
      <c r="D429" t="s">
        <v>82</v>
      </c>
      <c r="E429" t="s">
        <v>78</v>
      </c>
      <c r="F429" s="71">
        <v>37257</v>
      </c>
      <c r="G429">
        <v>203339.04</v>
      </c>
      <c r="H429">
        <v>43714349.399999999</v>
      </c>
      <c r="I429">
        <v>122114031.56999999</v>
      </c>
      <c r="J429">
        <v>198466146.61000001</v>
      </c>
      <c r="K429">
        <v>239144100.33000001</v>
      </c>
      <c r="L429">
        <v>269305045.54000002</v>
      </c>
      <c r="M429">
        <v>289466895.44999999</v>
      </c>
      <c r="N429">
        <v>302255568.47000003</v>
      </c>
      <c r="O429">
        <v>311570301.00000012</v>
      </c>
      <c r="P429">
        <v>317486133.68000013</v>
      </c>
      <c r="Q429">
        <v>322375240.33999997</v>
      </c>
      <c r="R429">
        <v>326945587.79000002</v>
      </c>
      <c r="S429">
        <v>331952257.27999997</v>
      </c>
      <c r="T429">
        <v>334757402.87000012</v>
      </c>
      <c r="U429">
        <v>336779830.42000002</v>
      </c>
      <c r="V429">
        <v>338165335.17000002</v>
      </c>
      <c r="W429">
        <v>339621202.75000012</v>
      </c>
      <c r="X429">
        <v>340728276.06000012</v>
      </c>
      <c r="Y429">
        <v>342156413.76999998</v>
      </c>
      <c r="Z429">
        <v>343325182.02999997</v>
      </c>
      <c r="AA429">
        <v>343864599.99000001</v>
      </c>
      <c r="AB429">
        <v>345212506.19000012</v>
      </c>
      <c r="AC429">
        <v>345893548.72000003</v>
      </c>
      <c r="AD429">
        <v>345816814.68000013</v>
      </c>
    </row>
    <row r="430" spans="1:31" x14ac:dyDescent="0.25">
      <c r="A430" t="s">
        <v>58</v>
      </c>
      <c r="B430" t="s">
        <v>80</v>
      </c>
      <c r="C430" t="s">
        <v>77</v>
      </c>
      <c r="D430" t="s">
        <v>82</v>
      </c>
      <c r="E430" t="s">
        <v>78</v>
      </c>
      <c r="F430" s="71">
        <v>37622</v>
      </c>
      <c r="G430">
        <v>58831.92</v>
      </c>
      <c r="H430">
        <v>40534919.369999997</v>
      </c>
      <c r="I430">
        <v>126066739.86</v>
      </c>
      <c r="J430">
        <v>183039841.06999999</v>
      </c>
      <c r="K430">
        <v>223848911.91999999</v>
      </c>
      <c r="L430">
        <v>250139546.87</v>
      </c>
      <c r="M430">
        <v>266119892.34</v>
      </c>
      <c r="N430">
        <v>277485414.06</v>
      </c>
      <c r="O430">
        <v>284518441.69999999</v>
      </c>
      <c r="P430">
        <v>290974228.88</v>
      </c>
      <c r="Q430">
        <v>297680513.81</v>
      </c>
      <c r="R430">
        <v>304584650.99000001</v>
      </c>
      <c r="S430">
        <v>306919282</v>
      </c>
      <c r="T430">
        <v>308502560.43999988</v>
      </c>
      <c r="U430">
        <v>309429137.76999992</v>
      </c>
      <c r="V430">
        <v>310223736.67000002</v>
      </c>
      <c r="W430">
        <v>311453763.38999993</v>
      </c>
      <c r="X430">
        <v>312914298.24000001</v>
      </c>
      <c r="Y430">
        <v>313320398.5</v>
      </c>
      <c r="Z430">
        <v>314443123.05999988</v>
      </c>
      <c r="AA430">
        <v>315032075.13</v>
      </c>
      <c r="AB430">
        <v>315614601.66000003</v>
      </c>
      <c r="AC430">
        <v>316746153.36000001</v>
      </c>
    </row>
    <row r="431" spans="1:31" x14ac:dyDescent="0.25">
      <c r="A431" t="s">
        <v>58</v>
      </c>
      <c r="B431" t="s">
        <v>80</v>
      </c>
      <c r="C431" t="s">
        <v>77</v>
      </c>
      <c r="D431" t="s">
        <v>82</v>
      </c>
      <c r="E431" t="s">
        <v>78</v>
      </c>
      <c r="F431" s="71">
        <v>37987</v>
      </c>
      <c r="G431">
        <v>25264.87</v>
      </c>
      <c r="H431">
        <v>29894496.43</v>
      </c>
      <c r="I431">
        <v>64117386.210000008</v>
      </c>
      <c r="J431">
        <v>95998563.010000005</v>
      </c>
      <c r="K431">
        <v>115713489.01000001</v>
      </c>
      <c r="L431">
        <v>132795196.3</v>
      </c>
      <c r="M431">
        <v>143158690.15000001</v>
      </c>
      <c r="N431">
        <v>150957449.36000001</v>
      </c>
      <c r="O431">
        <v>156117155.25</v>
      </c>
      <c r="P431">
        <v>159888494.88</v>
      </c>
      <c r="Q431">
        <v>165312386.43000001</v>
      </c>
      <c r="R431">
        <v>168909814.53</v>
      </c>
      <c r="S431">
        <v>170770129.30000001</v>
      </c>
      <c r="T431">
        <v>172528625.38999999</v>
      </c>
      <c r="U431">
        <v>174001759.44</v>
      </c>
      <c r="V431">
        <v>175548816.25999999</v>
      </c>
      <c r="W431">
        <v>177085557.44</v>
      </c>
      <c r="X431">
        <v>178300687.87</v>
      </c>
      <c r="Y431">
        <v>178283230.47999999</v>
      </c>
      <c r="Z431">
        <v>179577845.81999999</v>
      </c>
      <c r="AA431">
        <v>179572830.28</v>
      </c>
      <c r="AB431">
        <v>179672536.08000001</v>
      </c>
    </row>
    <row r="432" spans="1:31" x14ac:dyDescent="0.25">
      <c r="A432" t="s">
        <v>58</v>
      </c>
      <c r="B432" t="s">
        <v>80</v>
      </c>
      <c r="C432" t="s">
        <v>77</v>
      </c>
      <c r="D432" t="s">
        <v>82</v>
      </c>
      <c r="E432" t="s">
        <v>78</v>
      </c>
      <c r="F432" s="71">
        <v>38353</v>
      </c>
      <c r="G432">
        <v>108706.73</v>
      </c>
      <c r="H432">
        <v>13125889.390000001</v>
      </c>
      <c r="I432">
        <v>29814624.32</v>
      </c>
      <c r="J432">
        <v>42570182.869999997</v>
      </c>
      <c r="K432">
        <v>50859905.859999999</v>
      </c>
      <c r="L432">
        <v>60330504.510000013</v>
      </c>
      <c r="M432">
        <v>65774732.000000007</v>
      </c>
      <c r="N432">
        <v>71158140.760000005</v>
      </c>
      <c r="O432">
        <v>73346534.879999995</v>
      </c>
      <c r="P432">
        <v>75707947.450000003</v>
      </c>
      <c r="Q432">
        <v>76999905.769999996</v>
      </c>
      <c r="R432">
        <v>78420719.019999996</v>
      </c>
      <c r="S432">
        <v>79037526.859999985</v>
      </c>
      <c r="T432">
        <v>79608945.549999967</v>
      </c>
      <c r="U432">
        <v>80331170.36999999</v>
      </c>
      <c r="V432">
        <v>80986763.359999985</v>
      </c>
      <c r="W432">
        <v>83291614.479999989</v>
      </c>
      <c r="X432">
        <v>82754530.339999974</v>
      </c>
      <c r="Y432">
        <v>82394255.459999979</v>
      </c>
      <c r="Z432">
        <v>82957853.729999989</v>
      </c>
      <c r="AA432">
        <v>83316989.129999995</v>
      </c>
    </row>
    <row r="433" spans="1:26" x14ac:dyDescent="0.25">
      <c r="A433" t="s">
        <v>58</v>
      </c>
      <c r="B433" t="s">
        <v>80</v>
      </c>
      <c r="C433" t="s">
        <v>77</v>
      </c>
      <c r="D433" t="s">
        <v>82</v>
      </c>
      <c r="E433" t="s">
        <v>78</v>
      </c>
      <c r="F433" s="71">
        <v>38718</v>
      </c>
      <c r="G433">
        <v>59723.62</v>
      </c>
      <c r="H433">
        <v>13338723.9</v>
      </c>
      <c r="I433">
        <v>28545546.920000002</v>
      </c>
      <c r="J433">
        <v>39760768.369999997</v>
      </c>
      <c r="K433">
        <v>51791526.070000008</v>
      </c>
      <c r="L433">
        <v>59981103.830000013</v>
      </c>
      <c r="M433">
        <v>66141929.32</v>
      </c>
      <c r="N433">
        <v>68894831.909999996</v>
      </c>
      <c r="O433">
        <v>72084562.969999999</v>
      </c>
      <c r="P433">
        <v>73490916.560000002</v>
      </c>
      <c r="Q433">
        <v>75111072.819999993</v>
      </c>
      <c r="R433">
        <v>76684567.799999997</v>
      </c>
      <c r="S433">
        <v>77161451.48999998</v>
      </c>
      <c r="T433">
        <v>78232022.200000018</v>
      </c>
      <c r="U433">
        <v>78845223.5</v>
      </c>
      <c r="V433">
        <v>79813138.870000005</v>
      </c>
      <c r="W433">
        <v>80187982.019999981</v>
      </c>
      <c r="X433">
        <v>80434953.850000009</v>
      </c>
      <c r="Y433">
        <v>81227707.5</v>
      </c>
      <c r="Z433">
        <v>81594829.450000003</v>
      </c>
    </row>
    <row r="434" spans="1:26" x14ac:dyDescent="0.25">
      <c r="A434" t="s">
        <v>58</v>
      </c>
      <c r="B434" t="s">
        <v>80</v>
      </c>
      <c r="C434" t="s">
        <v>77</v>
      </c>
      <c r="D434" t="s">
        <v>82</v>
      </c>
      <c r="E434" t="s">
        <v>78</v>
      </c>
      <c r="F434" s="71">
        <v>39083</v>
      </c>
      <c r="G434">
        <v>53779.55</v>
      </c>
      <c r="H434">
        <v>13269760.67</v>
      </c>
      <c r="I434">
        <v>27138931.649999999</v>
      </c>
      <c r="J434">
        <v>43589720.590000004</v>
      </c>
      <c r="K434">
        <v>61617378.420000009</v>
      </c>
      <c r="L434">
        <v>68896886.719999999</v>
      </c>
      <c r="M434">
        <v>73696844.829999998</v>
      </c>
      <c r="N434">
        <v>78072693.450000003</v>
      </c>
      <c r="O434">
        <v>80596173.329999998</v>
      </c>
      <c r="P434">
        <v>81695995.040000007</v>
      </c>
      <c r="Q434">
        <v>82977579.530000001</v>
      </c>
      <c r="R434">
        <v>84018584.719999999</v>
      </c>
      <c r="S434">
        <v>84751484.460000008</v>
      </c>
      <c r="T434">
        <v>85702082.75</v>
      </c>
      <c r="U434">
        <v>86023341.470000014</v>
      </c>
      <c r="V434">
        <v>86913473.799999997</v>
      </c>
      <c r="W434">
        <v>87239337.200000003</v>
      </c>
      <c r="X434">
        <v>87646713.300000012</v>
      </c>
      <c r="Y434">
        <v>87864437.180000022</v>
      </c>
    </row>
    <row r="435" spans="1:26" x14ac:dyDescent="0.25">
      <c r="A435" t="s">
        <v>58</v>
      </c>
      <c r="B435" t="s">
        <v>80</v>
      </c>
      <c r="C435" t="s">
        <v>77</v>
      </c>
      <c r="D435" t="s">
        <v>82</v>
      </c>
      <c r="E435" t="s">
        <v>78</v>
      </c>
      <c r="F435" s="71">
        <v>39448</v>
      </c>
      <c r="G435">
        <v>35509.009999999987</v>
      </c>
      <c r="H435">
        <v>9707743.1400000006</v>
      </c>
      <c r="I435">
        <v>26681386.57</v>
      </c>
      <c r="J435">
        <v>39536480.549999997</v>
      </c>
      <c r="K435">
        <v>49771204.779999986</v>
      </c>
      <c r="L435">
        <v>55406164.880000003</v>
      </c>
      <c r="M435">
        <v>59811491.449999988</v>
      </c>
      <c r="N435">
        <v>62640451.189999998</v>
      </c>
      <c r="O435">
        <v>63821904.990000002</v>
      </c>
      <c r="P435">
        <v>65083108.299999997</v>
      </c>
      <c r="Q435">
        <v>66225078.049999997</v>
      </c>
      <c r="R435">
        <v>67827386.070000008</v>
      </c>
      <c r="S435">
        <v>68897021.050000012</v>
      </c>
      <c r="T435">
        <v>69614604.450000003</v>
      </c>
      <c r="U435">
        <v>70155555.330000013</v>
      </c>
      <c r="V435">
        <v>71329787</v>
      </c>
      <c r="W435">
        <v>71657797.560000002</v>
      </c>
      <c r="X435">
        <v>71904241.439999998</v>
      </c>
    </row>
    <row r="436" spans="1:26" x14ac:dyDescent="0.25">
      <c r="A436" t="s">
        <v>58</v>
      </c>
      <c r="B436" t="s">
        <v>80</v>
      </c>
      <c r="C436" t="s">
        <v>77</v>
      </c>
      <c r="D436" t="s">
        <v>82</v>
      </c>
      <c r="E436" t="s">
        <v>78</v>
      </c>
      <c r="F436" s="71">
        <v>39814</v>
      </c>
      <c r="G436">
        <v>12733.07</v>
      </c>
      <c r="H436">
        <v>18125017.210000001</v>
      </c>
      <c r="I436">
        <v>45971607.239999987</v>
      </c>
      <c r="J436">
        <v>68839927.75</v>
      </c>
      <c r="K436">
        <v>85973023.650000006</v>
      </c>
      <c r="L436">
        <v>100386447.94</v>
      </c>
      <c r="M436">
        <v>107089623.92</v>
      </c>
      <c r="N436">
        <v>110947613.63</v>
      </c>
      <c r="O436">
        <v>113839237.23999999</v>
      </c>
      <c r="P436">
        <v>117808588.27</v>
      </c>
      <c r="Q436">
        <v>119264834.26000001</v>
      </c>
      <c r="R436">
        <v>120955015.42</v>
      </c>
      <c r="S436">
        <v>121719361.94</v>
      </c>
      <c r="T436">
        <v>123398700.79000001</v>
      </c>
      <c r="U436">
        <v>124629495.97</v>
      </c>
      <c r="V436">
        <v>125257344.34999999</v>
      </c>
      <c r="W436">
        <v>125886517</v>
      </c>
    </row>
    <row r="437" spans="1:26" x14ac:dyDescent="0.25">
      <c r="A437" t="s">
        <v>58</v>
      </c>
      <c r="B437" t="s">
        <v>80</v>
      </c>
      <c r="C437" t="s">
        <v>77</v>
      </c>
      <c r="D437" t="s">
        <v>82</v>
      </c>
      <c r="E437" t="s">
        <v>78</v>
      </c>
      <c r="F437" s="71">
        <v>40179</v>
      </c>
      <c r="G437">
        <v>19150.84</v>
      </c>
      <c r="H437">
        <v>26283594.079999998</v>
      </c>
      <c r="I437">
        <v>61841034.490000002</v>
      </c>
      <c r="J437">
        <v>93357471.229999989</v>
      </c>
      <c r="K437">
        <v>118036795.58</v>
      </c>
      <c r="L437">
        <v>131670786.14</v>
      </c>
      <c r="M437">
        <v>142029955</v>
      </c>
      <c r="N437">
        <v>149361577.59999999</v>
      </c>
      <c r="O437">
        <v>154051488.91</v>
      </c>
      <c r="P437">
        <v>160595550.53</v>
      </c>
      <c r="Q437">
        <v>165438441.43000001</v>
      </c>
      <c r="R437">
        <v>167761043.27000001</v>
      </c>
      <c r="S437">
        <v>170718893.40000001</v>
      </c>
      <c r="T437">
        <v>172435578.78999999</v>
      </c>
      <c r="U437">
        <v>173989467.22999999</v>
      </c>
      <c r="V437">
        <v>175137324.28</v>
      </c>
    </row>
    <row r="438" spans="1:26" x14ac:dyDescent="0.25">
      <c r="A438" t="s">
        <v>58</v>
      </c>
      <c r="B438" t="s">
        <v>80</v>
      </c>
      <c r="C438" t="s">
        <v>77</v>
      </c>
      <c r="D438" t="s">
        <v>82</v>
      </c>
      <c r="E438" t="s">
        <v>78</v>
      </c>
      <c r="F438" s="71">
        <v>40544</v>
      </c>
      <c r="G438">
        <v>43425.66</v>
      </c>
      <c r="H438">
        <v>24821649.84</v>
      </c>
      <c r="I438">
        <v>60374011.979999997</v>
      </c>
      <c r="J438">
        <v>90489163.379999995</v>
      </c>
      <c r="K438">
        <v>108815317.67</v>
      </c>
      <c r="L438">
        <v>120380482.75</v>
      </c>
      <c r="M438">
        <v>127102711.43000001</v>
      </c>
      <c r="N438">
        <v>133249068.06999999</v>
      </c>
      <c r="O438">
        <v>138769258.74000001</v>
      </c>
      <c r="P438">
        <v>141030187.22999999</v>
      </c>
      <c r="Q438">
        <v>144243280.97999999</v>
      </c>
      <c r="R438">
        <v>146958794.47</v>
      </c>
      <c r="S438">
        <v>148099274.59999999</v>
      </c>
      <c r="T438">
        <v>149193971.13999999</v>
      </c>
      <c r="U438">
        <v>149992933.19999999</v>
      </c>
    </row>
    <row r="439" spans="1:26" x14ac:dyDescent="0.25">
      <c r="A439" t="s">
        <v>58</v>
      </c>
      <c r="B439" t="s">
        <v>80</v>
      </c>
      <c r="C439" t="s">
        <v>77</v>
      </c>
      <c r="D439" t="s">
        <v>82</v>
      </c>
      <c r="E439" t="s">
        <v>78</v>
      </c>
      <c r="F439" s="71">
        <v>40909</v>
      </c>
      <c r="G439">
        <v>45777.3</v>
      </c>
      <c r="H439">
        <v>23754057.25</v>
      </c>
      <c r="I439">
        <v>54374659.709999993</v>
      </c>
      <c r="J439">
        <v>78624907.160000011</v>
      </c>
      <c r="K439">
        <v>94512481.75</v>
      </c>
      <c r="L439">
        <v>106258131.5</v>
      </c>
      <c r="M439">
        <v>116032930.92</v>
      </c>
      <c r="N439">
        <v>123383868.22</v>
      </c>
      <c r="O439">
        <v>128584521.14</v>
      </c>
      <c r="P439">
        <v>133330544.56999999</v>
      </c>
      <c r="Q439">
        <v>137064063.44</v>
      </c>
      <c r="R439">
        <v>141989499.77000001</v>
      </c>
      <c r="S439">
        <v>146369748.18000001</v>
      </c>
      <c r="T439">
        <v>149878890.19</v>
      </c>
    </row>
    <row r="440" spans="1:26" x14ac:dyDescent="0.25">
      <c r="A440" t="s">
        <v>58</v>
      </c>
      <c r="B440" t="s">
        <v>80</v>
      </c>
      <c r="C440" t="s">
        <v>77</v>
      </c>
      <c r="D440" t="s">
        <v>82</v>
      </c>
      <c r="E440" t="s">
        <v>78</v>
      </c>
      <c r="F440" s="71">
        <v>41275</v>
      </c>
      <c r="G440">
        <v>46147.77</v>
      </c>
      <c r="H440">
        <v>25307748.469999999</v>
      </c>
      <c r="I440">
        <v>58988094.890000001</v>
      </c>
      <c r="J440">
        <v>82925703.430000007</v>
      </c>
      <c r="K440">
        <v>100845107</v>
      </c>
      <c r="L440">
        <v>111348865.03</v>
      </c>
      <c r="M440">
        <v>120687494.84999999</v>
      </c>
      <c r="N440">
        <v>126170710.15000001</v>
      </c>
      <c r="O440">
        <v>128985180.34</v>
      </c>
      <c r="P440">
        <v>133684543.75</v>
      </c>
      <c r="Q440">
        <v>135528227.90000001</v>
      </c>
      <c r="R440">
        <v>137039760.97999999</v>
      </c>
      <c r="S440">
        <v>138087266.84999999</v>
      </c>
    </row>
    <row r="441" spans="1:26" x14ac:dyDescent="0.25">
      <c r="A441" t="s">
        <v>58</v>
      </c>
      <c r="B441" t="s">
        <v>80</v>
      </c>
      <c r="C441" t="s">
        <v>77</v>
      </c>
      <c r="D441" t="s">
        <v>82</v>
      </c>
      <c r="E441" t="s">
        <v>78</v>
      </c>
      <c r="F441" s="71">
        <v>41640</v>
      </c>
      <c r="G441">
        <v>113426.52</v>
      </c>
      <c r="H441">
        <v>24254923.120000001</v>
      </c>
      <c r="I441">
        <v>52248484.109999999</v>
      </c>
      <c r="J441">
        <v>78253882.460000008</v>
      </c>
      <c r="K441">
        <v>95871399.659999996</v>
      </c>
      <c r="L441">
        <v>107737984.09999999</v>
      </c>
      <c r="M441">
        <v>114056240.94</v>
      </c>
      <c r="N441">
        <v>118223978.91</v>
      </c>
      <c r="O441">
        <v>121623562.92</v>
      </c>
      <c r="P441">
        <v>123651360.01000001</v>
      </c>
      <c r="Q441">
        <v>126001415.78</v>
      </c>
      <c r="R441">
        <v>127806554.90000001</v>
      </c>
    </row>
    <row r="442" spans="1:26" x14ac:dyDescent="0.25">
      <c r="A442" t="s">
        <v>58</v>
      </c>
      <c r="B442" t="s">
        <v>80</v>
      </c>
      <c r="C442" t="s">
        <v>77</v>
      </c>
      <c r="D442" t="s">
        <v>82</v>
      </c>
      <c r="E442" t="s">
        <v>78</v>
      </c>
      <c r="F442" s="71">
        <v>42005</v>
      </c>
      <c r="G442">
        <v>159440.44</v>
      </c>
      <c r="H442">
        <v>25048827.870000001</v>
      </c>
      <c r="I442">
        <v>54236345.940000013</v>
      </c>
      <c r="J442">
        <v>77140107.809999987</v>
      </c>
      <c r="K442">
        <v>96571494.800000012</v>
      </c>
      <c r="L442">
        <v>106274404.64</v>
      </c>
      <c r="M442">
        <v>116191964.22</v>
      </c>
      <c r="N442">
        <v>122724357.78</v>
      </c>
      <c r="O442">
        <v>129345220.40000001</v>
      </c>
      <c r="P442">
        <v>131522354.87</v>
      </c>
      <c r="Q442">
        <v>133455218.2</v>
      </c>
    </row>
    <row r="443" spans="1:26" x14ac:dyDescent="0.25">
      <c r="A443" t="s">
        <v>58</v>
      </c>
      <c r="B443" t="s">
        <v>80</v>
      </c>
      <c r="C443" t="s">
        <v>77</v>
      </c>
      <c r="D443" t="s">
        <v>82</v>
      </c>
      <c r="E443" t="s">
        <v>78</v>
      </c>
      <c r="F443" s="71">
        <v>42370</v>
      </c>
      <c r="G443">
        <v>157307.03</v>
      </c>
      <c r="H443">
        <v>25198444.75</v>
      </c>
      <c r="I443">
        <v>48688740.340000004</v>
      </c>
      <c r="J443">
        <v>71942173.549999997</v>
      </c>
      <c r="K443">
        <v>85085295.480000004</v>
      </c>
      <c r="L443">
        <v>92386851.769999996</v>
      </c>
      <c r="M443">
        <v>99620118.580000013</v>
      </c>
      <c r="N443">
        <v>103803749.39</v>
      </c>
      <c r="O443">
        <v>106529350.65000001</v>
      </c>
      <c r="P443">
        <v>109611582.77</v>
      </c>
    </row>
    <row r="444" spans="1:26" x14ac:dyDescent="0.25">
      <c r="A444" t="s">
        <v>58</v>
      </c>
      <c r="B444" t="s">
        <v>80</v>
      </c>
      <c r="C444" t="s">
        <v>77</v>
      </c>
      <c r="D444" t="s">
        <v>82</v>
      </c>
      <c r="E444" t="s">
        <v>78</v>
      </c>
      <c r="F444" s="71">
        <v>42736</v>
      </c>
      <c r="G444">
        <v>197871.87</v>
      </c>
      <c r="H444">
        <v>23910041.82</v>
      </c>
      <c r="I444">
        <v>53068446.739999987</v>
      </c>
      <c r="J444">
        <v>71781639.819999993</v>
      </c>
      <c r="K444">
        <v>84776849.139999986</v>
      </c>
      <c r="L444">
        <v>95824069.920000002</v>
      </c>
      <c r="M444">
        <v>101800824.76000001</v>
      </c>
      <c r="N444">
        <v>106760971.05</v>
      </c>
      <c r="O444">
        <v>110944081.45999999</v>
      </c>
    </row>
    <row r="445" spans="1:26" x14ac:dyDescent="0.25">
      <c r="A445" t="s">
        <v>58</v>
      </c>
      <c r="B445" t="s">
        <v>80</v>
      </c>
      <c r="C445" t="s">
        <v>77</v>
      </c>
      <c r="D445" t="s">
        <v>82</v>
      </c>
      <c r="E445" t="s">
        <v>78</v>
      </c>
      <c r="F445" s="71">
        <v>43101</v>
      </c>
      <c r="G445">
        <v>247326.39</v>
      </c>
      <c r="H445">
        <v>30072586.210000001</v>
      </c>
      <c r="I445">
        <v>59260559.75</v>
      </c>
      <c r="J445">
        <v>80218503.550000012</v>
      </c>
      <c r="K445">
        <v>96705820.479999989</v>
      </c>
      <c r="L445">
        <v>106612879.44</v>
      </c>
      <c r="M445">
        <v>112652307.37</v>
      </c>
      <c r="N445">
        <v>117825423.61</v>
      </c>
    </row>
    <row r="446" spans="1:26" x14ac:dyDescent="0.25">
      <c r="A446" t="s">
        <v>58</v>
      </c>
      <c r="B446" t="s">
        <v>80</v>
      </c>
      <c r="C446" t="s">
        <v>77</v>
      </c>
      <c r="D446" t="s">
        <v>82</v>
      </c>
      <c r="E446" t="s">
        <v>78</v>
      </c>
      <c r="F446" s="71">
        <v>43466</v>
      </c>
      <c r="G446">
        <v>555936.44000000006</v>
      </c>
      <c r="H446">
        <v>27002191.879999999</v>
      </c>
      <c r="I446">
        <v>55794902.940000013</v>
      </c>
      <c r="J446">
        <v>81570301.530000001</v>
      </c>
      <c r="K446">
        <v>102924710.69</v>
      </c>
      <c r="L446">
        <v>116198987.44</v>
      </c>
      <c r="M446">
        <v>126392270.04000001</v>
      </c>
    </row>
    <row r="447" spans="1:26" x14ac:dyDescent="0.25">
      <c r="A447" t="s">
        <v>58</v>
      </c>
      <c r="B447" t="s">
        <v>80</v>
      </c>
      <c r="C447" t="s">
        <v>77</v>
      </c>
      <c r="D447" t="s">
        <v>82</v>
      </c>
      <c r="E447" t="s">
        <v>78</v>
      </c>
      <c r="F447" s="71">
        <v>43831</v>
      </c>
      <c r="G447">
        <v>273322.96999999997</v>
      </c>
      <c r="H447">
        <v>25310062.100000001</v>
      </c>
      <c r="I447">
        <v>51586688.259999998</v>
      </c>
      <c r="J447">
        <v>71534870.49000001</v>
      </c>
      <c r="K447">
        <v>86817004.980000004</v>
      </c>
      <c r="L447">
        <v>98195517.980000004</v>
      </c>
    </row>
    <row r="448" spans="1:26" x14ac:dyDescent="0.25">
      <c r="A448" t="s">
        <v>58</v>
      </c>
      <c r="B448" t="s">
        <v>80</v>
      </c>
      <c r="C448" t="s">
        <v>77</v>
      </c>
      <c r="D448" t="s">
        <v>82</v>
      </c>
      <c r="E448" t="s">
        <v>78</v>
      </c>
      <c r="F448" s="71">
        <v>44197</v>
      </c>
      <c r="G448">
        <v>97686.399999999994</v>
      </c>
      <c r="H448">
        <v>20753143.66</v>
      </c>
      <c r="I448">
        <v>43737577.119999997</v>
      </c>
      <c r="J448">
        <v>61989507.020000003</v>
      </c>
      <c r="K448">
        <v>76046779.039999992</v>
      </c>
    </row>
    <row r="449" spans="1:31" x14ac:dyDescent="0.25">
      <c r="A449" t="s">
        <v>58</v>
      </c>
      <c r="B449" t="s">
        <v>80</v>
      </c>
      <c r="C449" t="s">
        <v>77</v>
      </c>
      <c r="D449" t="s">
        <v>82</v>
      </c>
      <c r="E449" t="s">
        <v>78</v>
      </c>
      <c r="F449" s="71">
        <v>44562</v>
      </c>
      <c r="G449">
        <v>217490.33</v>
      </c>
      <c r="H449">
        <v>19182738.960000001</v>
      </c>
      <c r="I449">
        <v>46065766.850000001</v>
      </c>
      <c r="J449">
        <v>65074357.270000003</v>
      </c>
    </row>
    <row r="450" spans="1:31" x14ac:dyDescent="0.25">
      <c r="A450" t="s">
        <v>58</v>
      </c>
      <c r="B450" t="s">
        <v>80</v>
      </c>
      <c r="C450" t="s">
        <v>77</v>
      </c>
      <c r="D450" t="s">
        <v>82</v>
      </c>
      <c r="E450" t="s">
        <v>78</v>
      </c>
      <c r="F450" s="71">
        <v>44927</v>
      </c>
      <c r="G450">
        <v>204499.61</v>
      </c>
      <c r="H450">
        <v>17953776.969999999</v>
      </c>
      <c r="I450">
        <v>42641018.479999997</v>
      </c>
    </row>
    <row r="451" spans="1:31" x14ac:dyDescent="0.25">
      <c r="A451" t="s">
        <v>58</v>
      </c>
      <c r="B451" t="s">
        <v>80</v>
      </c>
      <c r="C451" t="s">
        <v>77</v>
      </c>
      <c r="D451" t="s">
        <v>82</v>
      </c>
      <c r="E451" t="s">
        <v>78</v>
      </c>
      <c r="F451" s="71">
        <v>45292</v>
      </c>
      <c r="G451">
        <v>197935.11</v>
      </c>
      <c r="H451">
        <v>19242710.010000002</v>
      </c>
    </row>
    <row r="452" spans="1:31" x14ac:dyDescent="0.25">
      <c r="A452" t="s">
        <v>58</v>
      </c>
      <c r="B452" t="s">
        <v>80</v>
      </c>
      <c r="C452" t="s">
        <v>77</v>
      </c>
      <c r="D452" t="s">
        <v>82</v>
      </c>
      <c r="E452" t="s">
        <v>78</v>
      </c>
      <c r="F452" s="71">
        <v>45658</v>
      </c>
      <c r="G452">
        <v>181462.26</v>
      </c>
    </row>
    <row r="453" spans="1:31" x14ac:dyDescent="0.25">
      <c r="A453" t="s">
        <v>59</v>
      </c>
      <c r="B453" t="s">
        <v>76</v>
      </c>
      <c r="C453" t="s">
        <v>77</v>
      </c>
      <c r="D453" t="s">
        <v>82</v>
      </c>
      <c r="E453" t="s">
        <v>78</v>
      </c>
      <c r="F453" s="71">
        <v>36892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25">
      <c r="A454" t="s">
        <v>59</v>
      </c>
      <c r="B454" t="s">
        <v>76</v>
      </c>
      <c r="C454" t="s">
        <v>77</v>
      </c>
      <c r="D454" t="s">
        <v>82</v>
      </c>
      <c r="E454" t="s">
        <v>78</v>
      </c>
      <c r="F454" s="71">
        <v>37257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1" x14ac:dyDescent="0.25">
      <c r="A455" t="s">
        <v>59</v>
      </c>
      <c r="B455" t="s">
        <v>76</v>
      </c>
      <c r="C455" t="s">
        <v>77</v>
      </c>
      <c r="D455" t="s">
        <v>82</v>
      </c>
      <c r="E455" t="s">
        <v>78</v>
      </c>
      <c r="F455" s="71">
        <v>37622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31" x14ac:dyDescent="0.25">
      <c r="A456" t="s">
        <v>59</v>
      </c>
      <c r="B456" t="s">
        <v>76</v>
      </c>
      <c r="C456" t="s">
        <v>77</v>
      </c>
      <c r="D456" t="s">
        <v>82</v>
      </c>
      <c r="E456" t="s">
        <v>78</v>
      </c>
      <c r="F456" s="71">
        <v>37987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31" x14ac:dyDescent="0.25">
      <c r="A457" t="s">
        <v>59</v>
      </c>
      <c r="B457" t="s">
        <v>76</v>
      </c>
      <c r="C457" t="s">
        <v>77</v>
      </c>
      <c r="D457" t="s">
        <v>82</v>
      </c>
      <c r="E457" t="s">
        <v>78</v>
      </c>
      <c r="F457" s="71">
        <v>38353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31" x14ac:dyDescent="0.25">
      <c r="A458" t="s">
        <v>59</v>
      </c>
      <c r="B458" t="s">
        <v>76</v>
      </c>
      <c r="C458" t="s">
        <v>77</v>
      </c>
      <c r="D458" t="s">
        <v>82</v>
      </c>
      <c r="E458" t="s">
        <v>78</v>
      </c>
      <c r="F458" s="71">
        <v>38718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31" x14ac:dyDescent="0.25">
      <c r="A459" t="s">
        <v>59</v>
      </c>
      <c r="B459" t="s">
        <v>76</v>
      </c>
      <c r="C459" t="s">
        <v>77</v>
      </c>
      <c r="D459" t="s">
        <v>82</v>
      </c>
      <c r="E459" t="s">
        <v>78</v>
      </c>
      <c r="F459" s="71">
        <v>39083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31" x14ac:dyDescent="0.25">
      <c r="A460" t="s">
        <v>59</v>
      </c>
      <c r="B460" t="s">
        <v>76</v>
      </c>
      <c r="C460" t="s">
        <v>77</v>
      </c>
      <c r="D460" t="s">
        <v>82</v>
      </c>
      <c r="E460" t="s">
        <v>78</v>
      </c>
      <c r="F460" s="71">
        <v>39448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31" x14ac:dyDescent="0.25">
      <c r="A461" t="s">
        <v>59</v>
      </c>
      <c r="B461" t="s">
        <v>76</v>
      </c>
      <c r="C461" t="s">
        <v>77</v>
      </c>
      <c r="D461" t="s">
        <v>82</v>
      </c>
      <c r="E461" t="s">
        <v>78</v>
      </c>
      <c r="F461" s="71">
        <v>39814</v>
      </c>
      <c r="G461">
        <v>13312402.289999999</v>
      </c>
      <c r="H461">
        <v>13312402.289999999</v>
      </c>
      <c r="I461">
        <v>13312402.289999999</v>
      </c>
      <c r="J461">
        <v>13312402.289999999</v>
      </c>
      <c r="K461">
        <v>13312402.289999999</v>
      </c>
      <c r="L461">
        <v>13312402.289999999</v>
      </c>
      <c r="M461">
        <v>13312402.289999999</v>
      </c>
      <c r="N461">
        <v>13312402.289999999</v>
      </c>
      <c r="O461">
        <v>13312402.289999999</v>
      </c>
      <c r="P461">
        <v>13312402.289999999</v>
      </c>
      <c r="Q461">
        <v>13312402.289999999</v>
      </c>
      <c r="R461">
        <v>13312402.289999999</v>
      </c>
      <c r="S461">
        <v>13312402.289999999</v>
      </c>
      <c r="T461">
        <v>13312402.289999999</v>
      </c>
      <c r="U461">
        <v>13312402.289999999</v>
      </c>
      <c r="V461">
        <v>13312402.289999999</v>
      </c>
      <c r="W461">
        <v>13312402.289999999</v>
      </c>
    </row>
    <row r="462" spans="1:31" x14ac:dyDescent="0.25">
      <c r="A462" t="s">
        <v>59</v>
      </c>
      <c r="B462" t="s">
        <v>76</v>
      </c>
      <c r="C462" t="s">
        <v>77</v>
      </c>
      <c r="D462" t="s">
        <v>82</v>
      </c>
      <c r="E462" t="s">
        <v>78</v>
      </c>
      <c r="F462" s="71">
        <v>40179</v>
      </c>
      <c r="G462">
        <v>40146895.592434213</v>
      </c>
      <c r="H462">
        <v>40146895.592434213</v>
      </c>
      <c r="I462">
        <v>40146895.592434213</v>
      </c>
      <c r="J462">
        <v>40146895.592434213</v>
      </c>
      <c r="K462">
        <v>40146895.592434213</v>
      </c>
      <c r="L462">
        <v>40146895.592434213</v>
      </c>
      <c r="M462">
        <v>40146895.592434213</v>
      </c>
      <c r="N462">
        <v>40146895.592434213</v>
      </c>
      <c r="O462">
        <v>40146895.592434213</v>
      </c>
      <c r="P462">
        <v>40146895.592434213</v>
      </c>
      <c r="Q462">
        <v>40146895.592434213</v>
      </c>
      <c r="R462">
        <v>40146895.592434213</v>
      </c>
      <c r="S462">
        <v>40146895.592434213</v>
      </c>
      <c r="T462">
        <v>40146895.592434213</v>
      </c>
      <c r="U462">
        <v>40146895.592434213</v>
      </c>
      <c r="V462">
        <v>40146895.592434213</v>
      </c>
    </row>
    <row r="463" spans="1:31" x14ac:dyDescent="0.25">
      <c r="A463" t="s">
        <v>59</v>
      </c>
      <c r="B463" t="s">
        <v>76</v>
      </c>
      <c r="C463" t="s">
        <v>77</v>
      </c>
      <c r="D463" t="s">
        <v>82</v>
      </c>
      <c r="E463" t="s">
        <v>78</v>
      </c>
      <c r="F463" s="71">
        <v>40544</v>
      </c>
      <c r="G463">
        <v>48667401.185099877</v>
      </c>
      <c r="H463">
        <v>48667401.185099877</v>
      </c>
      <c r="I463">
        <v>48667401.185099877</v>
      </c>
      <c r="J463">
        <v>48667401.185099877</v>
      </c>
      <c r="K463">
        <v>48667401.185099877</v>
      </c>
      <c r="L463">
        <v>48667401.185099877</v>
      </c>
      <c r="M463">
        <v>48667401.185099877</v>
      </c>
      <c r="N463">
        <v>48667401.185099877</v>
      </c>
      <c r="O463">
        <v>48667401.185099877</v>
      </c>
      <c r="P463">
        <v>48667401.185099877</v>
      </c>
      <c r="Q463">
        <v>48667401.185099877</v>
      </c>
      <c r="R463">
        <v>48667401.185099877</v>
      </c>
      <c r="S463">
        <v>48667401.185099877</v>
      </c>
      <c r="T463">
        <v>48667401.185099877</v>
      </c>
      <c r="U463">
        <v>48667401.185099877</v>
      </c>
    </row>
    <row r="464" spans="1:31" x14ac:dyDescent="0.25">
      <c r="A464" t="s">
        <v>59</v>
      </c>
      <c r="B464" t="s">
        <v>76</v>
      </c>
      <c r="C464" t="s">
        <v>77</v>
      </c>
      <c r="D464" t="s">
        <v>82</v>
      </c>
      <c r="E464" t="s">
        <v>78</v>
      </c>
      <c r="F464" s="71">
        <v>40909</v>
      </c>
      <c r="G464">
        <v>60727255.441380337</v>
      </c>
      <c r="H464">
        <v>60727255.441380337</v>
      </c>
      <c r="I464">
        <v>60727255.441380337</v>
      </c>
      <c r="J464">
        <v>60727255.441380337</v>
      </c>
      <c r="K464">
        <v>60727255.441380337</v>
      </c>
      <c r="L464">
        <v>60727255.441380337</v>
      </c>
      <c r="M464">
        <v>60727255.441380337</v>
      </c>
      <c r="N464">
        <v>60727255.441380337</v>
      </c>
      <c r="O464">
        <v>60727255.441380337</v>
      </c>
      <c r="P464">
        <v>60727255.441380337</v>
      </c>
      <c r="Q464">
        <v>60727255.441380337</v>
      </c>
      <c r="R464">
        <v>60727255.441380337</v>
      </c>
      <c r="S464">
        <v>60727255.441380337</v>
      </c>
      <c r="T464">
        <v>60727255.441380337</v>
      </c>
    </row>
    <row r="465" spans="1:31" x14ac:dyDescent="0.25">
      <c r="A465" t="s">
        <v>59</v>
      </c>
      <c r="B465" t="s">
        <v>76</v>
      </c>
      <c r="C465" t="s">
        <v>77</v>
      </c>
      <c r="D465" t="s">
        <v>82</v>
      </c>
      <c r="E465" t="s">
        <v>78</v>
      </c>
      <c r="F465" s="71">
        <v>41275</v>
      </c>
      <c r="G465">
        <v>65904763.621951543</v>
      </c>
      <c r="H465">
        <v>65904763.621951543</v>
      </c>
      <c r="I465">
        <v>65904763.621951543</v>
      </c>
      <c r="J465">
        <v>65904763.621951543</v>
      </c>
      <c r="K465">
        <v>65904763.621951543</v>
      </c>
      <c r="L465">
        <v>65904763.621951543</v>
      </c>
      <c r="M465">
        <v>65904763.621951543</v>
      </c>
      <c r="N465">
        <v>65904763.621951543</v>
      </c>
      <c r="O465">
        <v>65904763.621951543</v>
      </c>
      <c r="P465">
        <v>65904763.621951543</v>
      </c>
      <c r="Q465">
        <v>65904763.621951543</v>
      </c>
      <c r="R465">
        <v>65904763.621951543</v>
      </c>
      <c r="S465">
        <v>65904763.621951543</v>
      </c>
    </row>
    <row r="466" spans="1:31" x14ac:dyDescent="0.25">
      <c r="A466" t="s">
        <v>59</v>
      </c>
      <c r="B466" t="s">
        <v>76</v>
      </c>
      <c r="C466" t="s">
        <v>77</v>
      </c>
      <c r="D466" t="s">
        <v>82</v>
      </c>
      <c r="E466" t="s">
        <v>78</v>
      </c>
      <c r="F466" s="71">
        <v>41640</v>
      </c>
      <c r="G466">
        <v>69557480.301072299</v>
      </c>
      <c r="H466">
        <v>69557480.301072299</v>
      </c>
      <c r="I466">
        <v>69557480.301072299</v>
      </c>
      <c r="J466">
        <v>69557480.301072299</v>
      </c>
      <c r="K466">
        <v>69557480.301072299</v>
      </c>
      <c r="L466">
        <v>69557480.301072299</v>
      </c>
      <c r="M466">
        <v>69557480.301072299</v>
      </c>
      <c r="N466">
        <v>69557480.301072299</v>
      </c>
      <c r="O466">
        <v>69557480.301072299</v>
      </c>
      <c r="P466">
        <v>69557480.301072299</v>
      </c>
      <c r="Q466">
        <v>69557480.301072299</v>
      </c>
      <c r="R466">
        <v>69557480.301072299</v>
      </c>
    </row>
    <row r="467" spans="1:31" x14ac:dyDescent="0.25">
      <c r="A467" t="s">
        <v>59</v>
      </c>
      <c r="B467" t="s">
        <v>76</v>
      </c>
      <c r="C467" t="s">
        <v>77</v>
      </c>
      <c r="D467" t="s">
        <v>82</v>
      </c>
      <c r="E467" t="s">
        <v>78</v>
      </c>
      <c r="F467" s="71">
        <v>42005</v>
      </c>
      <c r="G467">
        <v>81004020.957477719</v>
      </c>
      <c r="H467">
        <v>81004020.957477719</v>
      </c>
      <c r="I467">
        <v>81004020.957477719</v>
      </c>
      <c r="J467">
        <v>81004020.957477719</v>
      </c>
      <c r="K467">
        <v>81004020.957477719</v>
      </c>
      <c r="L467">
        <v>81004020.957477719</v>
      </c>
      <c r="M467">
        <v>81004020.957477719</v>
      </c>
      <c r="N467">
        <v>81004020.957477719</v>
      </c>
      <c r="O467">
        <v>81004020.957477719</v>
      </c>
      <c r="P467">
        <v>81004020.957477719</v>
      </c>
      <c r="Q467">
        <v>81004020.957477719</v>
      </c>
    </row>
    <row r="468" spans="1:31" x14ac:dyDescent="0.25">
      <c r="A468" t="s">
        <v>59</v>
      </c>
      <c r="B468" t="s">
        <v>76</v>
      </c>
      <c r="C468" t="s">
        <v>77</v>
      </c>
      <c r="D468" t="s">
        <v>82</v>
      </c>
      <c r="E468" t="s">
        <v>78</v>
      </c>
      <c r="F468" s="71">
        <v>42370</v>
      </c>
      <c r="G468">
        <v>71344207.559634879</v>
      </c>
      <c r="H468">
        <v>71344207.559634879</v>
      </c>
      <c r="I468">
        <v>71344207.559634879</v>
      </c>
      <c r="J468">
        <v>71344207.559634879</v>
      </c>
      <c r="K468">
        <v>71344207.559634879</v>
      </c>
      <c r="L468">
        <v>71344207.559634879</v>
      </c>
      <c r="M468">
        <v>71344207.559634879</v>
      </c>
      <c r="N468">
        <v>71344207.559634879</v>
      </c>
      <c r="O468">
        <v>71344207.559634879</v>
      </c>
      <c r="P468">
        <v>71344207.559634879</v>
      </c>
    </row>
    <row r="469" spans="1:31" x14ac:dyDescent="0.25">
      <c r="A469" t="s">
        <v>59</v>
      </c>
      <c r="B469" t="s">
        <v>76</v>
      </c>
      <c r="C469" t="s">
        <v>77</v>
      </c>
      <c r="D469" t="s">
        <v>82</v>
      </c>
      <c r="E469" t="s">
        <v>78</v>
      </c>
      <c r="F469" s="71">
        <v>42736</v>
      </c>
      <c r="G469">
        <v>67905504.227581605</v>
      </c>
      <c r="H469">
        <v>67905504.227581605</v>
      </c>
      <c r="I469">
        <v>67905504.227581605</v>
      </c>
      <c r="J469">
        <v>67905504.227581605</v>
      </c>
      <c r="K469">
        <v>67905504.227581605</v>
      </c>
      <c r="L469">
        <v>67905504.227581605</v>
      </c>
      <c r="M469">
        <v>67905504.227581605</v>
      </c>
      <c r="N469">
        <v>67905504.227581605</v>
      </c>
      <c r="O469">
        <v>67905504.227581605</v>
      </c>
    </row>
    <row r="470" spans="1:31" x14ac:dyDescent="0.25">
      <c r="A470" t="s">
        <v>59</v>
      </c>
      <c r="B470" t="s">
        <v>76</v>
      </c>
      <c r="C470" t="s">
        <v>77</v>
      </c>
      <c r="D470" t="s">
        <v>82</v>
      </c>
      <c r="E470" t="s">
        <v>78</v>
      </c>
      <c r="F470" s="71">
        <v>43101</v>
      </c>
      <c r="G470">
        <v>73278782.749031767</v>
      </c>
      <c r="H470">
        <v>73278782.749031767</v>
      </c>
      <c r="I470">
        <v>73278782.749031767</v>
      </c>
      <c r="J470">
        <v>73278782.749031767</v>
      </c>
      <c r="K470">
        <v>73278782.749031767</v>
      </c>
      <c r="L470">
        <v>73278782.749031767</v>
      </c>
      <c r="M470">
        <v>73278782.749031767</v>
      </c>
      <c r="N470">
        <v>73278782.749031767</v>
      </c>
    </row>
    <row r="471" spans="1:31" x14ac:dyDescent="0.25">
      <c r="A471" t="s">
        <v>59</v>
      </c>
      <c r="B471" t="s">
        <v>76</v>
      </c>
      <c r="C471" t="s">
        <v>77</v>
      </c>
      <c r="D471" t="s">
        <v>82</v>
      </c>
      <c r="E471" t="s">
        <v>78</v>
      </c>
      <c r="F471" s="71">
        <v>43466</v>
      </c>
      <c r="G471">
        <v>88653264.578685582</v>
      </c>
      <c r="H471">
        <v>88653264.578685582</v>
      </c>
      <c r="I471">
        <v>88653264.578685582</v>
      </c>
      <c r="J471">
        <v>88653264.578685582</v>
      </c>
      <c r="K471">
        <v>88653264.578685582</v>
      </c>
      <c r="L471">
        <v>88653264.578685582</v>
      </c>
      <c r="M471">
        <v>88653264.578685582</v>
      </c>
    </row>
    <row r="472" spans="1:31" x14ac:dyDescent="0.25">
      <c r="A472" t="s">
        <v>59</v>
      </c>
      <c r="B472" t="s">
        <v>76</v>
      </c>
      <c r="C472" t="s">
        <v>77</v>
      </c>
      <c r="D472" t="s">
        <v>82</v>
      </c>
      <c r="E472" t="s">
        <v>78</v>
      </c>
      <c r="F472" s="71">
        <v>43831</v>
      </c>
      <c r="G472">
        <v>124251604.8262683</v>
      </c>
      <c r="H472">
        <v>124251604.8262683</v>
      </c>
      <c r="I472">
        <v>124251604.8262683</v>
      </c>
      <c r="J472">
        <v>124251604.8262683</v>
      </c>
      <c r="K472">
        <v>124251604.8262683</v>
      </c>
      <c r="L472">
        <v>124251604.8262683</v>
      </c>
    </row>
    <row r="473" spans="1:31" x14ac:dyDescent="0.25">
      <c r="A473" t="s">
        <v>59</v>
      </c>
      <c r="B473" t="s">
        <v>76</v>
      </c>
      <c r="C473" t="s">
        <v>77</v>
      </c>
      <c r="D473" t="s">
        <v>82</v>
      </c>
      <c r="E473" t="s">
        <v>78</v>
      </c>
      <c r="F473" s="71">
        <v>44197</v>
      </c>
      <c r="G473">
        <v>182020754.84097341</v>
      </c>
      <c r="H473">
        <v>182020754.84097341</v>
      </c>
      <c r="I473">
        <v>182020754.84097341</v>
      </c>
      <c r="J473">
        <v>182020754.84097341</v>
      </c>
      <c r="K473">
        <v>182020754.84097341</v>
      </c>
    </row>
    <row r="474" spans="1:31" x14ac:dyDescent="0.25">
      <c r="A474" t="s">
        <v>59</v>
      </c>
      <c r="B474" t="s">
        <v>76</v>
      </c>
      <c r="C474" t="s">
        <v>77</v>
      </c>
      <c r="D474" t="s">
        <v>82</v>
      </c>
      <c r="E474" t="s">
        <v>78</v>
      </c>
      <c r="F474" s="71">
        <v>44562</v>
      </c>
      <c r="G474">
        <v>212439883.64559129</v>
      </c>
      <c r="H474">
        <v>212439883.64559129</v>
      </c>
      <c r="I474">
        <v>212439883.64559129</v>
      </c>
      <c r="J474">
        <v>212439883.64559129</v>
      </c>
    </row>
    <row r="475" spans="1:31" x14ac:dyDescent="0.25">
      <c r="A475" t="s">
        <v>59</v>
      </c>
      <c r="B475" t="s">
        <v>76</v>
      </c>
      <c r="C475" t="s">
        <v>77</v>
      </c>
      <c r="D475" t="s">
        <v>82</v>
      </c>
      <c r="E475" t="s">
        <v>78</v>
      </c>
      <c r="F475" s="71">
        <v>44927</v>
      </c>
      <c r="G475">
        <v>188789830.78690839</v>
      </c>
      <c r="H475">
        <v>188789830.78690839</v>
      </c>
      <c r="I475">
        <v>188789830.78690839</v>
      </c>
    </row>
    <row r="476" spans="1:31" x14ac:dyDescent="0.25">
      <c r="A476" t="s">
        <v>59</v>
      </c>
      <c r="B476" t="s">
        <v>76</v>
      </c>
      <c r="C476" t="s">
        <v>77</v>
      </c>
      <c r="D476" t="s">
        <v>82</v>
      </c>
      <c r="E476" t="s">
        <v>78</v>
      </c>
      <c r="F476" s="71">
        <v>45292</v>
      </c>
      <c r="G476">
        <v>164596525.83902711</v>
      </c>
      <c r="H476">
        <v>164596525.83902711</v>
      </c>
    </row>
    <row r="477" spans="1:31" x14ac:dyDescent="0.25">
      <c r="A477" t="s">
        <v>59</v>
      </c>
      <c r="B477" t="s">
        <v>76</v>
      </c>
      <c r="C477" t="s">
        <v>77</v>
      </c>
      <c r="D477" t="s">
        <v>82</v>
      </c>
      <c r="E477" t="s">
        <v>78</v>
      </c>
      <c r="F477" s="71">
        <v>45658</v>
      </c>
      <c r="G477">
        <v>84567406.036176488</v>
      </c>
    </row>
    <row r="478" spans="1:31" x14ac:dyDescent="0.25">
      <c r="A478" t="s">
        <v>59</v>
      </c>
      <c r="B478" t="s">
        <v>79</v>
      </c>
      <c r="C478" t="s">
        <v>77</v>
      </c>
      <c r="D478" t="s">
        <v>82</v>
      </c>
      <c r="E478" t="s">
        <v>78</v>
      </c>
      <c r="F478" s="71">
        <v>36892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25">
      <c r="A479" t="s">
        <v>59</v>
      </c>
      <c r="B479" t="s">
        <v>79</v>
      </c>
      <c r="C479" t="s">
        <v>77</v>
      </c>
      <c r="D479" t="s">
        <v>82</v>
      </c>
      <c r="E479" t="s">
        <v>78</v>
      </c>
      <c r="F479" s="71">
        <v>37257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1" x14ac:dyDescent="0.25">
      <c r="A480" t="s">
        <v>59</v>
      </c>
      <c r="B480" t="s">
        <v>79</v>
      </c>
      <c r="C480" t="s">
        <v>77</v>
      </c>
      <c r="D480" t="s">
        <v>82</v>
      </c>
      <c r="E480" t="s">
        <v>78</v>
      </c>
      <c r="F480" s="71">
        <v>37622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8" x14ac:dyDescent="0.25">
      <c r="A481" t="s">
        <v>59</v>
      </c>
      <c r="B481" t="s">
        <v>79</v>
      </c>
      <c r="C481" t="s">
        <v>77</v>
      </c>
      <c r="D481" t="s">
        <v>82</v>
      </c>
      <c r="E481" t="s">
        <v>78</v>
      </c>
      <c r="F481" s="71">
        <v>37987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 t="s">
        <v>59</v>
      </c>
      <c r="B482" t="s">
        <v>79</v>
      </c>
      <c r="C482" t="s">
        <v>77</v>
      </c>
      <c r="D482" t="s">
        <v>82</v>
      </c>
      <c r="E482" t="s">
        <v>78</v>
      </c>
      <c r="F482" s="71">
        <v>38353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8" x14ac:dyDescent="0.25">
      <c r="A483" t="s">
        <v>59</v>
      </c>
      <c r="B483" t="s">
        <v>79</v>
      </c>
      <c r="C483" t="s">
        <v>77</v>
      </c>
      <c r="D483" t="s">
        <v>82</v>
      </c>
      <c r="E483" t="s">
        <v>78</v>
      </c>
      <c r="F483" s="71">
        <v>38718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8" x14ac:dyDescent="0.25">
      <c r="A484" t="s">
        <v>59</v>
      </c>
      <c r="B484" t="s">
        <v>79</v>
      </c>
      <c r="C484" t="s">
        <v>77</v>
      </c>
      <c r="D484" t="s">
        <v>82</v>
      </c>
      <c r="E484" t="s">
        <v>78</v>
      </c>
      <c r="F484" s="71">
        <v>39083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8" x14ac:dyDescent="0.25">
      <c r="A485" t="s">
        <v>59</v>
      </c>
      <c r="B485" t="s">
        <v>79</v>
      </c>
      <c r="C485" t="s">
        <v>77</v>
      </c>
      <c r="D485" t="s">
        <v>82</v>
      </c>
      <c r="E485" t="s">
        <v>78</v>
      </c>
      <c r="F485" s="71">
        <v>39448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8" x14ac:dyDescent="0.25">
      <c r="A486" t="s">
        <v>59</v>
      </c>
      <c r="B486" t="s">
        <v>79</v>
      </c>
      <c r="C486" t="s">
        <v>77</v>
      </c>
      <c r="D486" t="s">
        <v>82</v>
      </c>
      <c r="E486" t="s">
        <v>78</v>
      </c>
      <c r="F486" s="71">
        <v>39814</v>
      </c>
      <c r="G486">
        <v>0</v>
      </c>
      <c r="H486">
        <v>0</v>
      </c>
      <c r="I486">
        <v>0</v>
      </c>
      <c r="J486">
        <v>0</v>
      </c>
      <c r="K486">
        <v>3733625.05</v>
      </c>
      <c r="L486">
        <v>4484032.09</v>
      </c>
      <c r="M486">
        <v>4477079.28</v>
      </c>
      <c r="N486">
        <v>4477079.28</v>
      </c>
      <c r="O486">
        <v>4477079.28</v>
      </c>
      <c r="P486">
        <v>4477079.28</v>
      </c>
      <c r="Q486">
        <v>4477089.28</v>
      </c>
      <c r="R486">
        <v>4477092.28</v>
      </c>
      <c r="S486">
        <v>4477092.28</v>
      </c>
      <c r="T486">
        <v>4477092.28</v>
      </c>
      <c r="U486">
        <v>4477093.28</v>
      </c>
      <c r="V486">
        <v>4527085.28</v>
      </c>
      <c r="W486">
        <v>4677084.28</v>
      </c>
    </row>
    <row r="487" spans="1:28" x14ac:dyDescent="0.25">
      <c r="A487" t="s">
        <v>59</v>
      </c>
      <c r="B487" t="s">
        <v>79</v>
      </c>
      <c r="C487" t="s">
        <v>77</v>
      </c>
      <c r="D487" t="s">
        <v>82</v>
      </c>
      <c r="E487" t="s">
        <v>78</v>
      </c>
      <c r="F487" s="71">
        <v>40179</v>
      </c>
      <c r="G487">
        <v>0</v>
      </c>
      <c r="H487">
        <v>0</v>
      </c>
      <c r="I487">
        <v>0</v>
      </c>
      <c r="J487">
        <v>10416059.42</v>
      </c>
      <c r="K487">
        <v>19869240.920000002</v>
      </c>
      <c r="L487">
        <v>23817474.989999998</v>
      </c>
      <c r="M487">
        <v>27685160.670000002</v>
      </c>
      <c r="N487">
        <v>26485260.670000002</v>
      </c>
      <c r="O487">
        <v>26452272.329999998</v>
      </c>
      <c r="P487">
        <v>26552281.329999998</v>
      </c>
      <c r="Q487">
        <v>29052271.329999998</v>
      </c>
      <c r="R487">
        <v>29052171.329999998</v>
      </c>
      <c r="S487">
        <v>29102043.949999999</v>
      </c>
      <c r="T487">
        <v>29102043.949999999</v>
      </c>
      <c r="U487">
        <v>29120118.949999999</v>
      </c>
      <c r="V487">
        <v>29120118.949999999</v>
      </c>
    </row>
    <row r="488" spans="1:28" x14ac:dyDescent="0.25">
      <c r="A488" t="s">
        <v>59</v>
      </c>
      <c r="B488" t="s">
        <v>79</v>
      </c>
      <c r="C488" t="s">
        <v>77</v>
      </c>
      <c r="D488" t="s">
        <v>82</v>
      </c>
      <c r="E488" t="s">
        <v>78</v>
      </c>
      <c r="F488" s="71">
        <v>40544</v>
      </c>
      <c r="G488">
        <v>0</v>
      </c>
      <c r="H488">
        <v>0</v>
      </c>
      <c r="I488">
        <v>27349726.399999999</v>
      </c>
      <c r="J488">
        <v>34328297.68</v>
      </c>
      <c r="K488">
        <v>39345779.68</v>
      </c>
      <c r="L488">
        <v>39370770.68</v>
      </c>
      <c r="M488">
        <v>39371443.710000001</v>
      </c>
      <c r="N488">
        <v>39375773.710000001</v>
      </c>
      <c r="O488">
        <v>39420786.710000001</v>
      </c>
      <c r="P488">
        <v>39420773.710000001</v>
      </c>
      <c r="Q488">
        <v>39378607.710000001</v>
      </c>
      <c r="R488">
        <v>39378607.710000001</v>
      </c>
      <c r="S488">
        <v>39378607.710000001</v>
      </c>
      <c r="T488">
        <v>39378607.710000001</v>
      </c>
      <c r="U488">
        <v>39378607.710000001</v>
      </c>
    </row>
    <row r="489" spans="1:28" x14ac:dyDescent="0.25">
      <c r="A489" t="s">
        <v>59</v>
      </c>
      <c r="B489" t="s">
        <v>79</v>
      </c>
      <c r="C489" t="s">
        <v>77</v>
      </c>
      <c r="D489" t="s">
        <v>82</v>
      </c>
      <c r="E489" t="s">
        <v>78</v>
      </c>
      <c r="F489" s="71">
        <v>40909</v>
      </c>
      <c r="G489">
        <v>0</v>
      </c>
      <c r="H489">
        <v>43479.8</v>
      </c>
      <c r="I489">
        <v>10060663.550000001</v>
      </c>
      <c r="J489">
        <v>23583677.050000001</v>
      </c>
      <c r="K489">
        <v>23598682.050000001</v>
      </c>
      <c r="L489">
        <v>19727657.050000001</v>
      </c>
      <c r="M489">
        <v>21489337.670000002</v>
      </c>
      <c r="N489">
        <v>24919829.050000001</v>
      </c>
      <c r="O489">
        <v>24914489.690000001</v>
      </c>
      <c r="P489">
        <v>31214473.690000001</v>
      </c>
      <c r="Q489">
        <v>41341141.630000003</v>
      </c>
      <c r="R489">
        <v>41387732.25</v>
      </c>
      <c r="S489">
        <v>41296654.869999997</v>
      </c>
      <c r="T489">
        <v>41297301.670000002</v>
      </c>
    </row>
    <row r="490" spans="1:28" x14ac:dyDescent="0.25">
      <c r="A490" t="s">
        <v>59</v>
      </c>
      <c r="B490" t="s">
        <v>79</v>
      </c>
      <c r="C490" t="s">
        <v>77</v>
      </c>
      <c r="D490" t="s">
        <v>82</v>
      </c>
      <c r="E490" t="s">
        <v>78</v>
      </c>
      <c r="F490" s="71">
        <v>41275</v>
      </c>
      <c r="G490">
        <v>1027</v>
      </c>
      <c r="H490">
        <v>5000634</v>
      </c>
      <c r="I490">
        <v>5000227</v>
      </c>
      <c r="J490">
        <v>19000133</v>
      </c>
      <c r="K490">
        <v>19708034.75</v>
      </c>
      <c r="L490">
        <v>21867797.530000001</v>
      </c>
      <c r="M490">
        <v>24689828.280000001</v>
      </c>
      <c r="N490">
        <v>24764811.280000001</v>
      </c>
      <c r="O490">
        <v>24841107.800000001</v>
      </c>
      <c r="P490">
        <v>24911080.800000001</v>
      </c>
      <c r="Q490">
        <v>24942413.350000001</v>
      </c>
      <c r="R490">
        <v>25008017.18</v>
      </c>
      <c r="S490">
        <v>26983057.120000001</v>
      </c>
    </row>
    <row r="491" spans="1:28" x14ac:dyDescent="0.25">
      <c r="A491" t="s">
        <v>59</v>
      </c>
      <c r="B491" t="s">
        <v>79</v>
      </c>
      <c r="C491" t="s">
        <v>77</v>
      </c>
      <c r="D491" t="s">
        <v>82</v>
      </c>
      <c r="E491" t="s">
        <v>78</v>
      </c>
      <c r="F491" s="71">
        <v>41640</v>
      </c>
      <c r="G491">
        <v>838</v>
      </c>
      <c r="H491">
        <v>3501320</v>
      </c>
      <c r="I491">
        <v>55545496</v>
      </c>
      <c r="J491">
        <v>56385525</v>
      </c>
      <c r="K491">
        <v>55732417.57</v>
      </c>
      <c r="L491">
        <v>54727499.040000007</v>
      </c>
      <c r="M491">
        <v>54474854.280000001</v>
      </c>
      <c r="N491">
        <v>64519823.280000001</v>
      </c>
      <c r="O491">
        <v>64514717.280000001</v>
      </c>
      <c r="P491">
        <v>64632358.280000001</v>
      </c>
      <c r="Q491">
        <v>64635949.43</v>
      </c>
      <c r="R491">
        <v>64732565.43</v>
      </c>
    </row>
    <row r="492" spans="1:28" x14ac:dyDescent="0.25">
      <c r="A492" t="s">
        <v>59</v>
      </c>
      <c r="B492" t="s">
        <v>79</v>
      </c>
      <c r="C492" t="s">
        <v>77</v>
      </c>
      <c r="D492" t="s">
        <v>82</v>
      </c>
      <c r="E492" t="s">
        <v>78</v>
      </c>
      <c r="F492" s="71">
        <v>42005</v>
      </c>
      <c r="G492">
        <v>1002747</v>
      </c>
      <c r="H492">
        <v>5139416.3</v>
      </c>
      <c r="I492">
        <v>15985211.369999999</v>
      </c>
      <c r="J492">
        <v>21557386.370000001</v>
      </c>
      <c r="K492">
        <v>46961485.880000003</v>
      </c>
      <c r="L492">
        <v>55473840.479999997</v>
      </c>
      <c r="M492">
        <v>61483371.549999997</v>
      </c>
      <c r="N492">
        <v>61897604.700000003</v>
      </c>
      <c r="O492">
        <v>62089520.649999999</v>
      </c>
      <c r="P492">
        <v>72158813.949999988</v>
      </c>
      <c r="Q492">
        <v>71782326.450000003</v>
      </c>
    </row>
    <row r="493" spans="1:28" x14ac:dyDescent="0.25">
      <c r="A493" t="s">
        <v>59</v>
      </c>
      <c r="B493" t="s">
        <v>79</v>
      </c>
      <c r="C493" t="s">
        <v>77</v>
      </c>
      <c r="D493" t="s">
        <v>82</v>
      </c>
      <c r="E493" t="s">
        <v>78</v>
      </c>
      <c r="F493" s="71">
        <v>42370</v>
      </c>
      <c r="G493">
        <v>2840</v>
      </c>
      <c r="H493">
        <v>457021.5</v>
      </c>
      <c r="I493">
        <v>44527989.969999999</v>
      </c>
      <c r="J493">
        <v>92982580.5</v>
      </c>
      <c r="K493">
        <v>93135652.469999999</v>
      </c>
      <c r="L493">
        <v>92183813.420000002</v>
      </c>
      <c r="M493">
        <v>99830654.340000004</v>
      </c>
      <c r="N493">
        <v>103699335.93000001</v>
      </c>
      <c r="O493">
        <v>108715165.28</v>
      </c>
      <c r="P493">
        <v>119334466.97</v>
      </c>
    </row>
    <row r="494" spans="1:28" x14ac:dyDescent="0.25">
      <c r="A494" t="s">
        <v>59</v>
      </c>
      <c r="B494" t="s">
        <v>79</v>
      </c>
      <c r="C494" t="s">
        <v>77</v>
      </c>
      <c r="D494" t="s">
        <v>82</v>
      </c>
      <c r="E494" t="s">
        <v>78</v>
      </c>
      <c r="F494" s="71">
        <v>42736</v>
      </c>
      <c r="G494">
        <v>1532</v>
      </c>
      <c r="H494">
        <v>63180</v>
      </c>
      <c r="I494">
        <v>85433.5</v>
      </c>
      <c r="J494">
        <v>6346885.5</v>
      </c>
      <c r="K494">
        <v>12313446</v>
      </c>
      <c r="L494">
        <v>12431412.85</v>
      </c>
      <c r="M494">
        <v>27489070.670000002</v>
      </c>
      <c r="N494">
        <v>27607277.280000001</v>
      </c>
      <c r="O494">
        <v>37972656.359999999</v>
      </c>
    </row>
    <row r="495" spans="1:28" x14ac:dyDescent="0.25">
      <c r="A495" t="s">
        <v>59</v>
      </c>
      <c r="B495" t="s">
        <v>79</v>
      </c>
      <c r="C495" t="s">
        <v>77</v>
      </c>
      <c r="D495" t="s">
        <v>82</v>
      </c>
      <c r="E495" t="s">
        <v>78</v>
      </c>
      <c r="F495" s="71">
        <v>43101</v>
      </c>
      <c r="G495">
        <v>2085</v>
      </c>
      <c r="H495">
        <v>604876.4</v>
      </c>
      <c r="I495">
        <v>10967050.4</v>
      </c>
      <c r="J495">
        <v>33179579.899999999</v>
      </c>
      <c r="K495">
        <v>53324821.969999999</v>
      </c>
      <c r="L495">
        <v>64978774.729999997</v>
      </c>
      <c r="M495">
        <v>76222116.700000003</v>
      </c>
      <c r="N495">
        <v>99570278.019999996</v>
      </c>
    </row>
    <row r="496" spans="1:28" x14ac:dyDescent="0.25">
      <c r="A496" t="s">
        <v>59</v>
      </c>
      <c r="B496" t="s">
        <v>79</v>
      </c>
      <c r="C496" t="s">
        <v>77</v>
      </c>
      <c r="D496" t="s">
        <v>82</v>
      </c>
      <c r="E496" t="s">
        <v>78</v>
      </c>
      <c r="F496" s="71">
        <v>43466</v>
      </c>
      <c r="G496">
        <v>79863</v>
      </c>
      <c r="H496">
        <v>1322974.5</v>
      </c>
      <c r="I496">
        <v>10499829.199999999</v>
      </c>
      <c r="J496">
        <v>29498601.789999999</v>
      </c>
      <c r="K496">
        <v>40409239.140000001</v>
      </c>
      <c r="L496">
        <v>66203253.780000001</v>
      </c>
      <c r="M496">
        <v>74612922.800000012</v>
      </c>
    </row>
    <row r="497" spans="1:31" x14ac:dyDescent="0.25">
      <c r="A497" t="s">
        <v>59</v>
      </c>
      <c r="B497" t="s">
        <v>79</v>
      </c>
      <c r="C497" t="s">
        <v>77</v>
      </c>
      <c r="D497" t="s">
        <v>82</v>
      </c>
      <c r="E497" t="s">
        <v>78</v>
      </c>
      <c r="F497" s="71">
        <v>43831</v>
      </c>
      <c r="G497">
        <v>31057</v>
      </c>
      <c r="H497">
        <v>356702</v>
      </c>
      <c r="I497">
        <v>10881969.619999999</v>
      </c>
      <c r="J497">
        <v>10950009.609999999</v>
      </c>
      <c r="K497">
        <v>15941362.630000001</v>
      </c>
      <c r="L497">
        <v>30995627.850000001</v>
      </c>
    </row>
    <row r="498" spans="1:31" x14ac:dyDescent="0.25">
      <c r="A498" t="s">
        <v>59</v>
      </c>
      <c r="B498" t="s">
        <v>79</v>
      </c>
      <c r="C498" t="s">
        <v>77</v>
      </c>
      <c r="D498" t="s">
        <v>82</v>
      </c>
      <c r="E498" t="s">
        <v>78</v>
      </c>
      <c r="F498" s="71">
        <v>44197</v>
      </c>
      <c r="G498">
        <v>2138</v>
      </c>
      <c r="H498">
        <v>191129</v>
      </c>
      <c r="I498">
        <v>958857.11</v>
      </c>
      <c r="J498">
        <v>18635160.690000001</v>
      </c>
      <c r="K498">
        <v>36286366.260000013</v>
      </c>
    </row>
    <row r="499" spans="1:31" x14ac:dyDescent="0.25">
      <c r="A499" t="s">
        <v>59</v>
      </c>
      <c r="B499" t="s">
        <v>79</v>
      </c>
      <c r="C499" t="s">
        <v>77</v>
      </c>
      <c r="D499" t="s">
        <v>82</v>
      </c>
      <c r="E499" t="s">
        <v>78</v>
      </c>
      <c r="F499" s="71">
        <v>44562</v>
      </c>
      <c r="G499">
        <v>26457</v>
      </c>
      <c r="H499">
        <v>20566.7</v>
      </c>
      <c r="I499">
        <v>11034387.27</v>
      </c>
      <c r="J499">
        <v>35578780.740000002</v>
      </c>
    </row>
    <row r="500" spans="1:31" x14ac:dyDescent="0.25">
      <c r="A500" t="s">
        <v>59</v>
      </c>
      <c r="B500" t="s">
        <v>79</v>
      </c>
      <c r="C500" t="s">
        <v>77</v>
      </c>
      <c r="D500" t="s">
        <v>82</v>
      </c>
      <c r="E500" t="s">
        <v>78</v>
      </c>
      <c r="F500" s="71">
        <v>44927</v>
      </c>
      <c r="G500">
        <v>11754</v>
      </c>
      <c r="H500">
        <v>360148</v>
      </c>
      <c r="I500">
        <v>47553033.109999999</v>
      </c>
    </row>
    <row r="501" spans="1:31" x14ac:dyDescent="0.25">
      <c r="A501" t="s">
        <v>59</v>
      </c>
      <c r="B501" t="s">
        <v>79</v>
      </c>
      <c r="C501" t="s">
        <v>77</v>
      </c>
      <c r="D501" t="s">
        <v>82</v>
      </c>
      <c r="E501" t="s">
        <v>78</v>
      </c>
      <c r="F501" s="71">
        <v>45292</v>
      </c>
      <c r="G501">
        <v>370</v>
      </c>
      <c r="H501">
        <v>177305.42</v>
      </c>
    </row>
    <row r="502" spans="1:31" x14ac:dyDescent="0.25">
      <c r="A502" t="s">
        <v>59</v>
      </c>
      <c r="B502" t="s">
        <v>79</v>
      </c>
      <c r="C502" t="s">
        <v>77</v>
      </c>
      <c r="D502" t="s">
        <v>82</v>
      </c>
      <c r="E502" t="s">
        <v>78</v>
      </c>
      <c r="F502" s="71">
        <v>45658</v>
      </c>
      <c r="G502">
        <v>65490</v>
      </c>
    </row>
    <row r="503" spans="1:31" x14ac:dyDescent="0.25">
      <c r="A503" t="s">
        <v>59</v>
      </c>
      <c r="B503" t="s">
        <v>80</v>
      </c>
      <c r="C503" t="s">
        <v>77</v>
      </c>
      <c r="D503" t="s">
        <v>82</v>
      </c>
      <c r="E503" t="s">
        <v>78</v>
      </c>
      <c r="F503" s="71">
        <v>36892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25">
      <c r="A504" t="s">
        <v>59</v>
      </c>
      <c r="B504" t="s">
        <v>80</v>
      </c>
      <c r="C504" t="s">
        <v>77</v>
      </c>
      <c r="D504" t="s">
        <v>82</v>
      </c>
      <c r="E504" t="s">
        <v>78</v>
      </c>
      <c r="F504" s="71">
        <v>37257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1" x14ac:dyDescent="0.25">
      <c r="A505" t="s">
        <v>59</v>
      </c>
      <c r="B505" t="s">
        <v>80</v>
      </c>
      <c r="C505" t="s">
        <v>77</v>
      </c>
      <c r="D505" t="s">
        <v>82</v>
      </c>
      <c r="E505" t="s">
        <v>78</v>
      </c>
      <c r="F505" s="71">
        <v>37622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31" x14ac:dyDescent="0.25">
      <c r="A506" t="s">
        <v>59</v>
      </c>
      <c r="B506" t="s">
        <v>80</v>
      </c>
      <c r="C506" t="s">
        <v>77</v>
      </c>
      <c r="D506" t="s">
        <v>82</v>
      </c>
      <c r="E506" t="s">
        <v>78</v>
      </c>
      <c r="F506" s="71">
        <v>37987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31" x14ac:dyDescent="0.25">
      <c r="A507" t="s">
        <v>59</v>
      </c>
      <c r="B507" t="s">
        <v>80</v>
      </c>
      <c r="C507" t="s">
        <v>77</v>
      </c>
      <c r="D507" t="s">
        <v>82</v>
      </c>
      <c r="E507" t="s">
        <v>78</v>
      </c>
      <c r="F507" s="71">
        <v>38353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31" x14ac:dyDescent="0.25">
      <c r="A508" t="s">
        <v>59</v>
      </c>
      <c r="B508" t="s">
        <v>80</v>
      </c>
      <c r="C508" t="s">
        <v>77</v>
      </c>
      <c r="D508" t="s">
        <v>82</v>
      </c>
      <c r="E508" t="s">
        <v>78</v>
      </c>
      <c r="F508" s="71">
        <v>38718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31" x14ac:dyDescent="0.25">
      <c r="A509" t="s">
        <v>59</v>
      </c>
      <c r="B509" t="s">
        <v>80</v>
      </c>
      <c r="C509" t="s">
        <v>77</v>
      </c>
      <c r="D509" t="s">
        <v>82</v>
      </c>
      <c r="E509" t="s">
        <v>78</v>
      </c>
      <c r="F509" s="71">
        <v>39083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31" x14ac:dyDescent="0.25">
      <c r="A510" t="s">
        <v>59</v>
      </c>
      <c r="B510" t="s">
        <v>80</v>
      </c>
      <c r="C510" t="s">
        <v>77</v>
      </c>
      <c r="D510" t="s">
        <v>82</v>
      </c>
      <c r="E510" t="s">
        <v>78</v>
      </c>
      <c r="F510" s="71">
        <v>39448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31" x14ac:dyDescent="0.25">
      <c r="A511" t="s">
        <v>59</v>
      </c>
      <c r="B511" t="s">
        <v>80</v>
      </c>
      <c r="C511" t="s">
        <v>77</v>
      </c>
      <c r="D511" t="s">
        <v>82</v>
      </c>
      <c r="E511" t="s">
        <v>78</v>
      </c>
      <c r="F511" s="71">
        <v>39814</v>
      </c>
      <c r="G511">
        <v>0</v>
      </c>
      <c r="H511">
        <v>0</v>
      </c>
      <c r="I511">
        <v>0</v>
      </c>
      <c r="J511">
        <v>0</v>
      </c>
      <c r="K511">
        <v>697598.64</v>
      </c>
      <c r="L511">
        <v>976281.28</v>
      </c>
      <c r="M511">
        <v>4477079.28</v>
      </c>
      <c r="N511">
        <v>4477079.28</v>
      </c>
      <c r="O511">
        <v>4477079.28</v>
      </c>
      <c r="P511">
        <v>4477079.28</v>
      </c>
      <c r="Q511">
        <v>4477079.28</v>
      </c>
      <c r="R511">
        <v>4477079.28</v>
      </c>
      <c r="S511">
        <v>4477079.28</v>
      </c>
      <c r="T511">
        <v>4477079.28</v>
      </c>
      <c r="U511">
        <v>4477079.28</v>
      </c>
      <c r="V511">
        <v>4492445.03</v>
      </c>
      <c r="W511">
        <v>4635311.78</v>
      </c>
    </row>
    <row r="512" spans="1:31" x14ac:dyDescent="0.25">
      <c r="A512" t="s">
        <v>59</v>
      </c>
      <c r="B512" t="s">
        <v>80</v>
      </c>
      <c r="C512" t="s">
        <v>77</v>
      </c>
      <c r="D512" t="s">
        <v>82</v>
      </c>
      <c r="E512" t="s">
        <v>78</v>
      </c>
      <c r="F512" s="71">
        <v>40179</v>
      </c>
      <c r="G512">
        <v>0</v>
      </c>
      <c r="H512">
        <v>0</v>
      </c>
      <c r="I512">
        <v>0</v>
      </c>
      <c r="J512">
        <v>5364802.3</v>
      </c>
      <c r="K512">
        <v>5550734.4299999997</v>
      </c>
      <c r="L512">
        <v>18699212.34</v>
      </c>
      <c r="M512">
        <v>23573210.690000001</v>
      </c>
      <c r="N512">
        <v>26449439.68</v>
      </c>
      <c r="O512">
        <v>26452151.329999998</v>
      </c>
      <c r="P512">
        <v>26489663.32</v>
      </c>
      <c r="Q512">
        <v>26505140.32</v>
      </c>
      <c r="R512">
        <v>26518238.82</v>
      </c>
      <c r="S512">
        <v>26558586.82</v>
      </c>
      <c r="T512">
        <v>26579922.82</v>
      </c>
      <c r="U512">
        <v>26599676.82</v>
      </c>
      <c r="V512">
        <v>26605072.32</v>
      </c>
    </row>
    <row r="513" spans="1:31" x14ac:dyDescent="0.25">
      <c r="A513" t="s">
        <v>59</v>
      </c>
      <c r="B513" t="s">
        <v>80</v>
      </c>
      <c r="C513" t="s">
        <v>77</v>
      </c>
      <c r="D513" t="s">
        <v>82</v>
      </c>
      <c r="E513" t="s">
        <v>78</v>
      </c>
      <c r="F513" s="71">
        <v>40544</v>
      </c>
      <c r="G513">
        <v>0</v>
      </c>
      <c r="H513">
        <v>0</v>
      </c>
      <c r="I513">
        <v>14155283.68</v>
      </c>
      <c r="J513">
        <v>14256685.18</v>
      </c>
      <c r="K513">
        <v>14326492.210000001</v>
      </c>
      <c r="L513">
        <v>29358023.219999999</v>
      </c>
      <c r="M513">
        <v>39371432.710000001</v>
      </c>
      <c r="N513">
        <v>39375763.710000001</v>
      </c>
      <c r="O513">
        <v>39375763.710000001</v>
      </c>
      <c r="P513">
        <v>39375763.710000001</v>
      </c>
      <c r="Q513">
        <v>39378607.710000001</v>
      </c>
      <c r="R513">
        <v>39378607.710000001</v>
      </c>
      <c r="S513">
        <v>39378607.710000001</v>
      </c>
      <c r="T513">
        <v>39378607.710000001</v>
      </c>
      <c r="U513">
        <v>39378607.710000001</v>
      </c>
    </row>
    <row r="514" spans="1:31" x14ac:dyDescent="0.25">
      <c r="A514" t="s">
        <v>59</v>
      </c>
      <c r="B514" t="s">
        <v>80</v>
      </c>
      <c r="C514" t="s">
        <v>77</v>
      </c>
      <c r="D514" t="s">
        <v>82</v>
      </c>
      <c r="E514" t="s">
        <v>78</v>
      </c>
      <c r="F514" s="71">
        <v>40909</v>
      </c>
      <c r="G514">
        <v>0</v>
      </c>
      <c r="H514">
        <v>27296.05</v>
      </c>
      <c r="I514">
        <v>31838.55</v>
      </c>
      <c r="J514">
        <v>8554299.8499999996</v>
      </c>
      <c r="K514">
        <v>8593081.5500000007</v>
      </c>
      <c r="L514">
        <v>9630733.0500000007</v>
      </c>
      <c r="M514">
        <v>21299015.300000001</v>
      </c>
      <c r="N514">
        <v>24831129.199999999</v>
      </c>
      <c r="O514">
        <v>24867066.07</v>
      </c>
      <c r="P514">
        <v>24881845.690000001</v>
      </c>
      <c r="Q514">
        <v>35002790.299999997</v>
      </c>
      <c r="R514">
        <v>41390126.340000004</v>
      </c>
      <c r="S514">
        <v>41480557.869999997</v>
      </c>
      <c r="T514">
        <v>41484827.670000002</v>
      </c>
    </row>
    <row r="515" spans="1:31" x14ac:dyDescent="0.25">
      <c r="A515" t="s">
        <v>59</v>
      </c>
      <c r="B515" t="s">
        <v>80</v>
      </c>
      <c r="C515" t="s">
        <v>77</v>
      </c>
      <c r="D515" t="s">
        <v>82</v>
      </c>
      <c r="E515" t="s">
        <v>78</v>
      </c>
      <c r="F515" s="71">
        <v>41275</v>
      </c>
      <c r="G515">
        <v>0</v>
      </c>
      <c r="H515">
        <v>5000000</v>
      </c>
      <c r="I515">
        <v>5000000</v>
      </c>
      <c r="J515">
        <v>5000000</v>
      </c>
      <c r="K515">
        <v>16951597.449999999</v>
      </c>
      <c r="L515">
        <v>19217690.530000001</v>
      </c>
      <c r="M515">
        <v>24689712.280000001</v>
      </c>
      <c r="N515">
        <v>24759999.300000001</v>
      </c>
      <c r="O515">
        <v>24791031.800000001</v>
      </c>
      <c r="P515">
        <v>24854897.170000002</v>
      </c>
      <c r="Q515">
        <v>24910720.170000002</v>
      </c>
      <c r="R515">
        <v>24952399.440000001</v>
      </c>
      <c r="S515">
        <v>26972109.82</v>
      </c>
    </row>
    <row r="516" spans="1:31" x14ac:dyDescent="0.25">
      <c r="A516" t="s">
        <v>59</v>
      </c>
      <c r="B516" t="s">
        <v>80</v>
      </c>
      <c r="C516" t="s">
        <v>77</v>
      </c>
      <c r="D516" t="s">
        <v>82</v>
      </c>
      <c r="E516" t="s">
        <v>78</v>
      </c>
      <c r="F516" s="71">
        <v>41640</v>
      </c>
      <c r="G516">
        <v>0</v>
      </c>
      <c r="H516">
        <v>0</v>
      </c>
      <c r="I516">
        <v>15067392.82</v>
      </c>
      <c r="J516">
        <v>28204230.420000002</v>
      </c>
      <c r="K516">
        <v>42891104.890000001</v>
      </c>
      <c r="L516">
        <v>54391627.780000001</v>
      </c>
      <c r="M516">
        <v>54431159.280000001</v>
      </c>
      <c r="N516">
        <v>54450987.280000001</v>
      </c>
      <c r="O516">
        <v>64472295.280000001</v>
      </c>
      <c r="P516">
        <v>64511040.940000013</v>
      </c>
      <c r="Q516">
        <v>64594923.960000001</v>
      </c>
      <c r="R516">
        <v>64687747.960000001</v>
      </c>
    </row>
    <row r="517" spans="1:31" x14ac:dyDescent="0.25">
      <c r="A517" t="s">
        <v>59</v>
      </c>
      <c r="B517" t="s">
        <v>80</v>
      </c>
      <c r="C517" t="s">
        <v>77</v>
      </c>
      <c r="D517" t="s">
        <v>82</v>
      </c>
      <c r="E517" t="s">
        <v>78</v>
      </c>
      <c r="F517" s="71">
        <v>42005</v>
      </c>
      <c r="G517">
        <v>0</v>
      </c>
      <c r="H517">
        <v>95675.5</v>
      </c>
      <c r="I517">
        <v>423686.5</v>
      </c>
      <c r="J517">
        <v>21479564.440000001</v>
      </c>
      <c r="K517">
        <v>25304893.609999999</v>
      </c>
      <c r="L517">
        <v>46363335.090000004</v>
      </c>
      <c r="M517">
        <v>55010215.509999998</v>
      </c>
      <c r="N517">
        <v>60401415.079999998</v>
      </c>
      <c r="O517">
        <v>60959698.729999997</v>
      </c>
      <c r="P517">
        <v>71141986.129999995</v>
      </c>
      <c r="Q517">
        <v>71276670.879999995</v>
      </c>
    </row>
    <row r="518" spans="1:31" x14ac:dyDescent="0.25">
      <c r="A518" t="s">
        <v>59</v>
      </c>
      <c r="B518" t="s">
        <v>80</v>
      </c>
      <c r="C518" t="s">
        <v>77</v>
      </c>
      <c r="D518" t="s">
        <v>82</v>
      </c>
      <c r="E518" t="s">
        <v>78</v>
      </c>
      <c r="F518" s="71">
        <v>42370</v>
      </c>
      <c r="G518">
        <v>0</v>
      </c>
      <c r="H518">
        <v>284891.53000000003</v>
      </c>
      <c r="I518">
        <v>30295905.82</v>
      </c>
      <c r="J518">
        <v>42724224.890000001</v>
      </c>
      <c r="K518">
        <v>57585124.030000001</v>
      </c>
      <c r="L518">
        <v>82004255.900000006</v>
      </c>
      <c r="M518">
        <v>87577465.890000001</v>
      </c>
      <c r="N518">
        <v>96807579.719999999</v>
      </c>
      <c r="O518">
        <v>101333959.64</v>
      </c>
      <c r="P518">
        <v>104347024.72</v>
      </c>
    </row>
    <row r="519" spans="1:31" x14ac:dyDescent="0.25">
      <c r="A519" t="s">
        <v>59</v>
      </c>
      <c r="B519" t="s">
        <v>80</v>
      </c>
      <c r="C519" t="s">
        <v>77</v>
      </c>
      <c r="D519" t="s">
        <v>82</v>
      </c>
      <c r="E519" t="s">
        <v>78</v>
      </c>
      <c r="F519" s="71">
        <v>42736</v>
      </c>
      <c r="G519">
        <v>0</v>
      </c>
      <c r="H519">
        <v>9726.5</v>
      </c>
      <c r="I519">
        <v>54319</v>
      </c>
      <c r="J519">
        <v>6193634.8899999997</v>
      </c>
      <c r="K519">
        <v>6236686.3899999997</v>
      </c>
      <c r="L519">
        <v>12311957.390000001</v>
      </c>
      <c r="M519">
        <v>12405540.359999999</v>
      </c>
      <c r="N519">
        <v>22557973.98</v>
      </c>
      <c r="O519">
        <v>24237278.940000001</v>
      </c>
    </row>
    <row r="520" spans="1:31" x14ac:dyDescent="0.25">
      <c r="A520" t="s">
        <v>59</v>
      </c>
      <c r="B520" t="s">
        <v>80</v>
      </c>
      <c r="C520" t="s">
        <v>77</v>
      </c>
      <c r="D520" t="s">
        <v>82</v>
      </c>
      <c r="E520" t="s">
        <v>78</v>
      </c>
      <c r="F520" s="71">
        <v>43101</v>
      </c>
      <c r="G520">
        <v>0</v>
      </c>
      <c r="H520">
        <v>217638.22</v>
      </c>
      <c r="I520">
        <v>576353.62</v>
      </c>
      <c r="J520">
        <v>13008698.82</v>
      </c>
      <c r="K520">
        <v>43945224.170000002</v>
      </c>
      <c r="L520">
        <v>64188575.710000001</v>
      </c>
      <c r="M520">
        <v>64445139.909999996</v>
      </c>
      <c r="N520">
        <v>87543727.039999992</v>
      </c>
    </row>
    <row r="521" spans="1:31" x14ac:dyDescent="0.25">
      <c r="A521" t="s">
        <v>59</v>
      </c>
      <c r="B521" t="s">
        <v>80</v>
      </c>
      <c r="C521" t="s">
        <v>77</v>
      </c>
      <c r="D521" t="s">
        <v>82</v>
      </c>
      <c r="E521" t="s">
        <v>78</v>
      </c>
      <c r="F521" s="71">
        <v>43466</v>
      </c>
      <c r="G521">
        <v>0</v>
      </c>
      <c r="H521">
        <v>65835.05</v>
      </c>
      <c r="I521">
        <v>6650710.4800000004</v>
      </c>
      <c r="J521">
        <v>10756122.9</v>
      </c>
      <c r="K521">
        <v>12213120.960000001</v>
      </c>
      <c r="L521">
        <v>47530238.649999999</v>
      </c>
      <c r="M521">
        <v>56672683.640000001</v>
      </c>
    </row>
    <row r="522" spans="1:31" x14ac:dyDescent="0.25">
      <c r="A522" t="s">
        <v>59</v>
      </c>
      <c r="B522" t="s">
        <v>80</v>
      </c>
      <c r="C522" t="s">
        <v>77</v>
      </c>
      <c r="D522" t="s">
        <v>82</v>
      </c>
      <c r="E522" t="s">
        <v>78</v>
      </c>
      <c r="F522" s="71">
        <v>43831</v>
      </c>
      <c r="G522">
        <v>0</v>
      </c>
      <c r="H522">
        <v>13308.4</v>
      </c>
      <c r="I522">
        <v>827622.77</v>
      </c>
      <c r="J522">
        <v>10811781.619999999</v>
      </c>
      <c r="K522">
        <v>10853282.609999999</v>
      </c>
      <c r="L522">
        <v>15896488.83</v>
      </c>
    </row>
    <row r="523" spans="1:31" x14ac:dyDescent="0.25">
      <c r="A523" t="s">
        <v>59</v>
      </c>
      <c r="B523" t="s">
        <v>80</v>
      </c>
      <c r="C523" t="s">
        <v>77</v>
      </c>
      <c r="D523" t="s">
        <v>82</v>
      </c>
      <c r="E523" t="s">
        <v>78</v>
      </c>
      <c r="F523" s="71">
        <v>44197</v>
      </c>
      <c r="G523">
        <v>0</v>
      </c>
      <c r="H523">
        <v>31065.25</v>
      </c>
      <c r="I523">
        <v>627780.21</v>
      </c>
      <c r="J523">
        <v>8539842.2400000002</v>
      </c>
      <c r="K523">
        <v>26122144.210000001</v>
      </c>
    </row>
    <row r="524" spans="1:31" x14ac:dyDescent="0.25">
      <c r="A524" t="s">
        <v>59</v>
      </c>
      <c r="B524" t="s">
        <v>80</v>
      </c>
      <c r="C524" t="s">
        <v>77</v>
      </c>
      <c r="D524" t="s">
        <v>82</v>
      </c>
      <c r="E524" t="s">
        <v>78</v>
      </c>
      <c r="F524" s="71">
        <v>44562</v>
      </c>
      <c r="G524">
        <v>0</v>
      </c>
      <c r="H524">
        <v>532.70000000000005</v>
      </c>
      <c r="I524">
        <v>5714535.3399999999</v>
      </c>
      <c r="J524">
        <v>20046557.120000001</v>
      </c>
    </row>
    <row r="525" spans="1:31" x14ac:dyDescent="0.25">
      <c r="A525" t="s">
        <v>59</v>
      </c>
      <c r="B525" t="s">
        <v>80</v>
      </c>
      <c r="C525" t="s">
        <v>77</v>
      </c>
      <c r="D525" t="s">
        <v>82</v>
      </c>
      <c r="E525" t="s">
        <v>78</v>
      </c>
      <c r="F525" s="71">
        <v>44927</v>
      </c>
      <c r="G525">
        <v>0</v>
      </c>
      <c r="H525">
        <v>104102.26</v>
      </c>
      <c r="I525">
        <v>12296954.140000001</v>
      </c>
    </row>
    <row r="526" spans="1:31" x14ac:dyDescent="0.25">
      <c r="A526" t="s">
        <v>59</v>
      </c>
      <c r="B526" t="s">
        <v>80</v>
      </c>
      <c r="C526" t="s">
        <v>77</v>
      </c>
      <c r="D526" t="s">
        <v>82</v>
      </c>
      <c r="E526" t="s">
        <v>78</v>
      </c>
      <c r="F526" s="71">
        <v>45292</v>
      </c>
      <c r="G526">
        <v>0</v>
      </c>
      <c r="H526">
        <v>46295.19</v>
      </c>
    </row>
    <row r="527" spans="1:31" x14ac:dyDescent="0.25">
      <c r="A527" t="s">
        <v>59</v>
      </c>
      <c r="B527" t="s">
        <v>80</v>
      </c>
      <c r="C527" t="s">
        <v>77</v>
      </c>
      <c r="D527" t="s">
        <v>82</v>
      </c>
      <c r="E527" t="s">
        <v>78</v>
      </c>
      <c r="F527" s="71">
        <v>45658</v>
      </c>
      <c r="G527">
        <v>0</v>
      </c>
    </row>
    <row r="528" spans="1:31" x14ac:dyDescent="0.25">
      <c r="A528" t="s">
        <v>61</v>
      </c>
      <c r="B528" t="s">
        <v>76</v>
      </c>
      <c r="C528" t="s">
        <v>77</v>
      </c>
      <c r="D528" t="s">
        <v>82</v>
      </c>
      <c r="E528" t="s">
        <v>78</v>
      </c>
      <c r="F528" s="71">
        <v>36892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0" x14ac:dyDescent="0.25">
      <c r="A529" t="s">
        <v>61</v>
      </c>
      <c r="B529" t="s">
        <v>76</v>
      </c>
      <c r="C529" t="s">
        <v>77</v>
      </c>
      <c r="D529" t="s">
        <v>82</v>
      </c>
      <c r="E529" t="s">
        <v>78</v>
      </c>
      <c r="F529" s="71">
        <v>37257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25">
      <c r="A530" t="s">
        <v>61</v>
      </c>
      <c r="B530" t="s">
        <v>76</v>
      </c>
      <c r="C530" t="s">
        <v>77</v>
      </c>
      <c r="D530" t="s">
        <v>82</v>
      </c>
      <c r="E530" t="s">
        <v>78</v>
      </c>
      <c r="F530" s="71">
        <v>37622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30" x14ac:dyDescent="0.25">
      <c r="A531" t="s">
        <v>61</v>
      </c>
      <c r="B531" t="s">
        <v>76</v>
      </c>
      <c r="C531" t="s">
        <v>77</v>
      </c>
      <c r="D531" t="s">
        <v>82</v>
      </c>
      <c r="E531" t="s">
        <v>78</v>
      </c>
      <c r="F531" s="71">
        <v>37987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30" x14ac:dyDescent="0.25">
      <c r="A532" t="s">
        <v>61</v>
      </c>
      <c r="B532" t="s">
        <v>76</v>
      </c>
      <c r="C532" t="s">
        <v>77</v>
      </c>
      <c r="D532" t="s">
        <v>82</v>
      </c>
      <c r="E532" t="s">
        <v>78</v>
      </c>
      <c r="F532" s="71">
        <v>38353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30" x14ac:dyDescent="0.25">
      <c r="A533" t="s">
        <v>61</v>
      </c>
      <c r="B533" t="s">
        <v>76</v>
      </c>
      <c r="C533" t="s">
        <v>77</v>
      </c>
      <c r="D533" t="s">
        <v>82</v>
      </c>
      <c r="E533" t="s">
        <v>78</v>
      </c>
      <c r="F533" s="71">
        <v>38718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30" x14ac:dyDescent="0.25">
      <c r="A534" t="s">
        <v>61</v>
      </c>
      <c r="B534" t="s">
        <v>76</v>
      </c>
      <c r="C534" t="s">
        <v>77</v>
      </c>
      <c r="D534" t="s">
        <v>82</v>
      </c>
      <c r="E534" t="s">
        <v>78</v>
      </c>
      <c r="F534" s="71">
        <v>39083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30" x14ac:dyDescent="0.25">
      <c r="A535" t="s">
        <v>61</v>
      </c>
      <c r="B535" t="s">
        <v>76</v>
      </c>
      <c r="C535" t="s">
        <v>77</v>
      </c>
      <c r="D535" t="s">
        <v>82</v>
      </c>
      <c r="E535" t="s">
        <v>78</v>
      </c>
      <c r="F535" s="71">
        <v>39448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30" x14ac:dyDescent="0.25">
      <c r="A536" t="s">
        <v>61</v>
      </c>
      <c r="B536" t="s">
        <v>76</v>
      </c>
      <c r="C536" t="s">
        <v>77</v>
      </c>
      <c r="D536" t="s">
        <v>82</v>
      </c>
      <c r="E536" t="s">
        <v>78</v>
      </c>
      <c r="F536" s="71">
        <v>39814</v>
      </c>
      <c r="G536">
        <v>4830010</v>
      </c>
      <c r="H536">
        <v>4830010</v>
      </c>
      <c r="I536">
        <v>4830010</v>
      </c>
      <c r="J536">
        <v>4830010</v>
      </c>
      <c r="K536">
        <v>4830010</v>
      </c>
      <c r="L536">
        <v>4830010</v>
      </c>
      <c r="M536">
        <v>4830010</v>
      </c>
      <c r="N536">
        <v>4830010</v>
      </c>
      <c r="O536">
        <v>4830010</v>
      </c>
      <c r="P536">
        <v>4830010</v>
      </c>
      <c r="Q536">
        <v>4830010</v>
      </c>
      <c r="R536">
        <v>4830010</v>
      </c>
      <c r="S536">
        <v>4830010</v>
      </c>
      <c r="T536">
        <v>4830010</v>
      </c>
      <c r="U536">
        <v>4830010</v>
      </c>
      <c r="V536">
        <v>4830010</v>
      </c>
      <c r="W536">
        <v>4830010</v>
      </c>
    </row>
    <row r="537" spans="1:30" x14ac:dyDescent="0.25">
      <c r="A537" t="s">
        <v>61</v>
      </c>
      <c r="B537" t="s">
        <v>76</v>
      </c>
      <c r="C537" t="s">
        <v>77</v>
      </c>
      <c r="D537" t="s">
        <v>82</v>
      </c>
      <c r="E537" t="s">
        <v>78</v>
      </c>
      <c r="F537" s="71">
        <v>40179</v>
      </c>
      <c r="G537">
        <v>12117455.547565799</v>
      </c>
      <c r="H537">
        <v>12117455.547565799</v>
      </c>
      <c r="I537">
        <v>12117455.547565799</v>
      </c>
      <c r="J537">
        <v>12117455.547565799</v>
      </c>
      <c r="K537">
        <v>12117455.547565799</v>
      </c>
      <c r="L537">
        <v>12117455.547565799</v>
      </c>
      <c r="M537">
        <v>12117455.547565799</v>
      </c>
      <c r="N537">
        <v>12117455.547565799</v>
      </c>
      <c r="O537">
        <v>12117455.547565799</v>
      </c>
      <c r="P537">
        <v>12117455.547565799</v>
      </c>
      <c r="Q537">
        <v>12117455.547565799</v>
      </c>
      <c r="R537">
        <v>12117455.547565799</v>
      </c>
      <c r="S537">
        <v>12117455.547565799</v>
      </c>
      <c r="T537">
        <v>12117455.547565799</v>
      </c>
      <c r="U537">
        <v>12117455.547565799</v>
      </c>
      <c r="V537">
        <v>12117455.547565799</v>
      </c>
    </row>
    <row r="538" spans="1:30" x14ac:dyDescent="0.25">
      <c r="A538" t="s">
        <v>61</v>
      </c>
      <c r="B538" t="s">
        <v>76</v>
      </c>
      <c r="C538" t="s">
        <v>77</v>
      </c>
      <c r="D538" t="s">
        <v>82</v>
      </c>
      <c r="E538" t="s">
        <v>78</v>
      </c>
      <c r="F538" s="71">
        <v>40544</v>
      </c>
      <c r="G538">
        <v>20541834.074900139</v>
      </c>
      <c r="H538">
        <v>20541834.074900139</v>
      </c>
      <c r="I538">
        <v>20541834.074900139</v>
      </c>
      <c r="J538">
        <v>20541834.074900139</v>
      </c>
      <c r="K538">
        <v>20541834.074900139</v>
      </c>
      <c r="L538">
        <v>20541834.074900139</v>
      </c>
      <c r="M538">
        <v>20541834.074900139</v>
      </c>
      <c r="N538">
        <v>20541834.074900139</v>
      </c>
      <c r="O538">
        <v>20541834.074900139</v>
      </c>
      <c r="P538">
        <v>20541834.074900139</v>
      </c>
      <c r="Q538">
        <v>20541834.074900139</v>
      </c>
      <c r="R538">
        <v>20541834.074900139</v>
      </c>
      <c r="S538">
        <v>20541834.074900139</v>
      </c>
      <c r="T538">
        <v>20541834.074900139</v>
      </c>
      <c r="U538">
        <v>20541834.074900139</v>
      </c>
    </row>
    <row r="539" spans="1:30" x14ac:dyDescent="0.25">
      <c r="A539" t="s">
        <v>61</v>
      </c>
      <c r="B539" t="s">
        <v>76</v>
      </c>
      <c r="C539" t="s">
        <v>77</v>
      </c>
      <c r="D539" t="s">
        <v>82</v>
      </c>
      <c r="E539" t="s">
        <v>78</v>
      </c>
      <c r="F539" s="71">
        <v>40909</v>
      </c>
      <c r="G539">
        <v>26624749.618619662</v>
      </c>
      <c r="H539">
        <v>26624749.618619662</v>
      </c>
      <c r="I539">
        <v>26624749.618619662</v>
      </c>
      <c r="J539">
        <v>26624749.618619662</v>
      </c>
      <c r="K539">
        <v>26624749.618619662</v>
      </c>
      <c r="L539">
        <v>26624749.618619662</v>
      </c>
      <c r="M539">
        <v>26624749.618619662</v>
      </c>
      <c r="N539">
        <v>26624749.618619662</v>
      </c>
      <c r="O539">
        <v>26624749.618619662</v>
      </c>
      <c r="P539">
        <v>26624749.618619662</v>
      </c>
      <c r="Q539">
        <v>26624749.618619662</v>
      </c>
      <c r="R539">
        <v>26624749.618619662</v>
      </c>
      <c r="S539">
        <v>26624749.618619662</v>
      </c>
      <c r="T539">
        <v>26624749.618619662</v>
      </c>
    </row>
    <row r="540" spans="1:30" x14ac:dyDescent="0.25">
      <c r="A540" t="s">
        <v>61</v>
      </c>
      <c r="B540" t="s">
        <v>76</v>
      </c>
      <c r="C540" t="s">
        <v>77</v>
      </c>
      <c r="D540" t="s">
        <v>82</v>
      </c>
      <c r="E540" t="s">
        <v>78</v>
      </c>
      <c r="F540" s="71">
        <v>41275</v>
      </c>
      <c r="G540">
        <v>25304835.198048461</v>
      </c>
      <c r="H540">
        <v>25304835.198048461</v>
      </c>
      <c r="I540">
        <v>25304835.198048461</v>
      </c>
      <c r="J540">
        <v>25304835.198048461</v>
      </c>
      <c r="K540">
        <v>25304835.198048461</v>
      </c>
      <c r="L540">
        <v>25304835.198048461</v>
      </c>
      <c r="M540">
        <v>25304835.198048461</v>
      </c>
      <c r="N540">
        <v>25304835.198048461</v>
      </c>
      <c r="O540">
        <v>25304835.198048461</v>
      </c>
      <c r="P540">
        <v>25304835.198048461</v>
      </c>
      <c r="Q540">
        <v>25304835.198048461</v>
      </c>
      <c r="R540">
        <v>25304835.198048461</v>
      </c>
      <c r="S540">
        <v>25304835.198048461</v>
      </c>
    </row>
    <row r="541" spans="1:30" x14ac:dyDescent="0.25">
      <c r="A541" t="s">
        <v>61</v>
      </c>
      <c r="B541" t="s">
        <v>76</v>
      </c>
      <c r="C541" t="s">
        <v>77</v>
      </c>
      <c r="D541" t="s">
        <v>82</v>
      </c>
      <c r="E541" t="s">
        <v>78</v>
      </c>
      <c r="F541" s="71">
        <v>41640</v>
      </c>
      <c r="G541">
        <v>26218039.44892773</v>
      </c>
      <c r="H541">
        <v>26218039.44892773</v>
      </c>
      <c r="I541">
        <v>26218039.44892773</v>
      </c>
      <c r="J541">
        <v>26218039.44892773</v>
      </c>
      <c r="K541">
        <v>26218039.44892773</v>
      </c>
      <c r="L541">
        <v>26218039.44892773</v>
      </c>
      <c r="M541">
        <v>26218039.44892773</v>
      </c>
      <c r="N541">
        <v>26218039.44892773</v>
      </c>
      <c r="O541">
        <v>26218039.44892773</v>
      </c>
      <c r="P541">
        <v>26218039.44892773</v>
      </c>
      <c r="Q541">
        <v>26218039.44892773</v>
      </c>
      <c r="R541">
        <v>26218039.44892773</v>
      </c>
    </row>
    <row r="542" spans="1:30" x14ac:dyDescent="0.25">
      <c r="A542" t="s">
        <v>61</v>
      </c>
      <c r="B542" t="s">
        <v>76</v>
      </c>
      <c r="C542" t="s">
        <v>77</v>
      </c>
      <c r="D542" t="s">
        <v>82</v>
      </c>
      <c r="E542" t="s">
        <v>78</v>
      </c>
      <c r="F542" s="71">
        <v>42005</v>
      </c>
      <c r="G542">
        <v>35687137.612522326</v>
      </c>
      <c r="H542">
        <v>35687137.612522326</v>
      </c>
      <c r="I542">
        <v>35687137.612522326</v>
      </c>
      <c r="J542">
        <v>35687137.612522326</v>
      </c>
      <c r="K542">
        <v>35687137.612522326</v>
      </c>
      <c r="L542">
        <v>35687137.612522326</v>
      </c>
      <c r="M542">
        <v>35687137.612522326</v>
      </c>
      <c r="N542">
        <v>35687137.612522326</v>
      </c>
      <c r="O542">
        <v>35687137.612522326</v>
      </c>
      <c r="P542">
        <v>35687137.612522326</v>
      </c>
      <c r="Q542">
        <v>35687137.612522326</v>
      </c>
    </row>
    <row r="543" spans="1:30" x14ac:dyDescent="0.25">
      <c r="A543" t="s">
        <v>61</v>
      </c>
      <c r="B543" t="s">
        <v>76</v>
      </c>
      <c r="C543" t="s">
        <v>77</v>
      </c>
      <c r="D543" t="s">
        <v>82</v>
      </c>
      <c r="E543" t="s">
        <v>78</v>
      </c>
      <c r="F543" s="71">
        <v>42370</v>
      </c>
      <c r="G543">
        <v>48957477.780365176</v>
      </c>
      <c r="H543">
        <v>48957477.780365176</v>
      </c>
      <c r="I543">
        <v>48957477.780365176</v>
      </c>
      <c r="J543">
        <v>48957477.780365176</v>
      </c>
      <c r="K543">
        <v>48957477.780365176</v>
      </c>
      <c r="L543">
        <v>48957477.780365176</v>
      </c>
      <c r="M543">
        <v>48957477.780365176</v>
      </c>
      <c r="N543">
        <v>48957477.780365176</v>
      </c>
      <c r="O543">
        <v>48957477.780365176</v>
      </c>
      <c r="P543">
        <v>48957477.780365176</v>
      </c>
    </row>
    <row r="544" spans="1:30" x14ac:dyDescent="0.25">
      <c r="A544" t="s">
        <v>61</v>
      </c>
      <c r="B544" t="s">
        <v>76</v>
      </c>
      <c r="C544" t="s">
        <v>77</v>
      </c>
      <c r="D544" t="s">
        <v>82</v>
      </c>
      <c r="E544" t="s">
        <v>78</v>
      </c>
      <c r="F544" s="71">
        <v>42736</v>
      </c>
      <c r="G544">
        <v>40232654.552418344</v>
      </c>
      <c r="H544">
        <v>40232654.552418344</v>
      </c>
      <c r="I544">
        <v>40232654.552418344</v>
      </c>
      <c r="J544">
        <v>40232654.552418344</v>
      </c>
      <c r="K544">
        <v>40232654.552418344</v>
      </c>
      <c r="L544">
        <v>40232654.552418344</v>
      </c>
      <c r="M544">
        <v>40232654.552418344</v>
      </c>
      <c r="N544">
        <v>40232654.552418344</v>
      </c>
      <c r="O544">
        <v>40232654.552418344</v>
      </c>
    </row>
    <row r="545" spans="1:31" x14ac:dyDescent="0.25">
      <c r="A545" t="s">
        <v>61</v>
      </c>
      <c r="B545" t="s">
        <v>76</v>
      </c>
      <c r="C545" t="s">
        <v>77</v>
      </c>
      <c r="D545" t="s">
        <v>82</v>
      </c>
      <c r="E545" t="s">
        <v>78</v>
      </c>
      <c r="F545" s="71">
        <v>43101</v>
      </c>
      <c r="G545">
        <v>38123754.230968177</v>
      </c>
      <c r="H545">
        <v>38123754.230968177</v>
      </c>
      <c r="I545">
        <v>38123754.230968177</v>
      </c>
      <c r="J545">
        <v>38123754.230968177</v>
      </c>
      <c r="K545">
        <v>38123754.230968177</v>
      </c>
      <c r="L545">
        <v>38123754.230968177</v>
      </c>
      <c r="M545">
        <v>38123754.230968177</v>
      </c>
      <c r="N545">
        <v>38123754.230968177</v>
      </c>
    </row>
    <row r="546" spans="1:31" x14ac:dyDescent="0.25">
      <c r="A546" t="s">
        <v>61</v>
      </c>
      <c r="B546" t="s">
        <v>76</v>
      </c>
      <c r="C546" t="s">
        <v>77</v>
      </c>
      <c r="D546" t="s">
        <v>82</v>
      </c>
      <c r="E546" t="s">
        <v>78</v>
      </c>
      <c r="F546" s="71">
        <v>43466</v>
      </c>
      <c r="G546">
        <v>46563833.301314458</v>
      </c>
      <c r="H546">
        <v>46563833.301314458</v>
      </c>
      <c r="I546">
        <v>46563833.301314458</v>
      </c>
      <c r="J546">
        <v>46563833.301314458</v>
      </c>
      <c r="K546">
        <v>46563833.301314458</v>
      </c>
      <c r="L546">
        <v>46563833.301314458</v>
      </c>
      <c r="M546">
        <v>46563833.301314458</v>
      </c>
    </row>
    <row r="547" spans="1:31" x14ac:dyDescent="0.25">
      <c r="A547" t="s">
        <v>61</v>
      </c>
      <c r="B547" t="s">
        <v>76</v>
      </c>
      <c r="C547" t="s">
        <v>77</v>
      </c>
      <c r="D547" t="s">
        <v>82</v>
      </c>
      <c r="E547" t="s">
        <v>78</v>
      </c>
      <c r="F547" s="71">
        <v>43831</v>
      </c>
      <c r="G547">
        <v>55763396.413731784</v>
      </c>
      <c r="H547">
        <v>55763396.413731784</v>
      </c>
      <c r="I547">
        <v>55763396.413731784</v>
      </c>
      <c r="J547">
        <v>55763396.413731784</v>
      </c>
      <c r="K547">
        <v>55763396.413731784</v>
      </c>
      <c r="L547">
        <v>55763396.413731784</v>
      </c>
    </row>
    <row r="548" spans="1:31" x14ac:dyDescent="0.25">
      <c r="A548" t="s">
        <v>61</v>
      </c>
      <c r="B548" t="s">
        <v>76</v>
      </c>
      <c r="C548" t="s">
        <v>77</v>
      </c>
      <c r="D548" t="s">
        <v>82</v>
      </c>
      <c r="E548" t="s">
        <v>78</v>
      </c>
      <c r="F548" s="71">
        <v>44197</v>
      </c>
      <c r="G548">
        <v>52777815.539026603</v>
      </c>
      <c r="H548">
        <v>52777815.539026603</v>
      </c>
      <c r="I548">
        <v>52777815.539026603</v>
      </c>
      <c r="J548">
        <v>52777815.539026603</v>
      </c>
      <c r="K548">
        <v>52777815.539026603</v>
      </c>
    </row>
    <row r="549" spans="1:31" x14ac:dyDescent="0.25">
      <c r="A549" t="s">
        <v>61</v>
      </c>
      <c r="B549" t="s">
        <v>76</v>
      </c>
      <c r="C549" t="s">
        <v>77</v>
      </c>
      <c r="D549" t="s">
        <v>82</v>
      </c>
      <c r="E549" t="s">
        <v>78</v>
      </c>
      <c r="F549" s="71">
        <v>44562</v>
      </c>
      <c r="G549">
        <v>73623808.5844087</v>
      </c>
      <c r="H549">
        <v>73623808.5844087</v>
      </c>
      <c r="I549">
        <v>73623808.5844087</v>
      </c>
      <c r="J549">
        <v>73623808.5844087</v>
      </c>
    </row>
    <row r="550" spans="1:31" x14ac:dyDescent="0.25">
      <c r="A550" t="s">
        <v>61</v>
      </c>
      <c r="B550" t="s">
        <v>76</v>
      </c>
      <c r="C550" t="s">
        <v>77</v>
      </c>
      <c r="D550" t="s">
        <v>82</v>
      </c>
      <c r="E550" t="s">
        <v>78</v>
      </c>
      <c r="F550" s="71">
        <v>44927</v>
      </c>
      <c r="G550">
        <v>71580507.563091591</v>
      </c>
      <c r="H550">
        <v>71580507.563091591</v>
      </c>
      <c r="I550">
        <v>71580507.563091591</v>
      </c>
    </row>
    <row r="551" spans="1:31" x14ac:dyDescent="0.25">
      <c r="A551" t="s">
        <v>61</v>
      </c>
      <c r="B551" t="s">
        <v>76</v>
      </c>
      <c r="C551" t="s">
        <v>77</v>
      </c>
      <c r="D551" t="s">
        <v>82</v>
      </c>
      <c r="E551" t="s">
        <v>78</v>
      </c>
      <c r="F551" s="71">
        <v>45292</v>
      </c>
      <c r="G551">
        <v>91143967.000972956</v>
      </c>
      <c r="H551">
        <v>91143967.000972956</v>
      </c>
    </row>
    <row r="552" spans="1:31" x14ac:dyDescent="0.25">
      <c r="A552" t="s">
        <v>61</v>
      </c>
      <c r="B552" t="s">
        <v>76</v>
      </c>
      <c r="C552" t="s">
        <v>77</v>
      </c>
      <c r="D552" t="s">
        <v>82</v>
      </c>
      <c r="E552" t="s">
        <v>78</v>
      </c>
      <c r="F552" s="71">
        <v>45658</v>
      </c>
      <c r="G552">
        <v>45735049.963823497</v>
      </c>
    </row>
    <row r="553" spans="1:31" x14ac:dyDescent="0.25">
      <c r="A553" t="s">
        <v>61</v>
      </c>
      <c r="B553" t="s">
        <v>79</v>
      </c>
      <c r="C553" t="s">
        <v>77</v>
      </c>
      <c r="D553" t="s">
        <v>82</v>
      </c>
      <c r="E553" t="s">
        <v>78</v>
      </c>
      <c r="F553" s="71">
        <v>36892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25">
      <c r="A554" t="s">
        <v>61</v>
      </c>
      <c r="B554" t="s">
        <v>79</v>
      </c>
      <c r="C554" t="s">
        <v>77</v>
      </c>
      <c r="D554" t="s">
        <v>82</v>
      </c>
      <c r="E554" t="s">
        <v>78</v>
      </c>
      <c r="F554" s="71">
        <v>37257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1" x14ac:dyDescent="0.25">
      <c r="A555" t="s">
        <v>61</v>
      </c>
      <c r="B555" t="s">
        <v>79</v>
      </c>
      <c r="C555" t="s">
        <v>77</v>
      </c>
      <c r="D555" t="s">
        <v>82</v>
      </c>
      <c r="E555" t="s">
        <v>78</v>
      </c>
      <c r="F555" s="71">
        <v>37622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31" x14ac:dyDescent="0.25">
      <c r="A556" t="s">
        <v>61</v>
      </c>
      <c r="B556" t="s">
        <v>79</v>
      </c>
      <c r="C556" t="s">
        <v>77</v>
      </c>
      <c r="D556" t="s">
        <v>82</v>
      </c>
      <c r="E556" t="s">
        <v>78</v>
      </c>
      <c r="F556" s="71">
        <v>37987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31" x14ac:dyDescent="0.25">
      <c r="A557" t="s">
        <v>61</v>
      </c>
      <c r="B557" t="s">
        <v>79</v>
      </c>
      <c r="C557" t="s">
        <v>77</v>
      </c>
      <c r="D557" t="s">
        <v>82</v>
      </c>
      <c r="E557" t="s">
        <v>78</v>
      </c>
      <c r="F557" s="71">
        <v>38353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31" x14ac:dyDescent="0.25">
      <c r="A558" t="s">
        <v>61</v>
      </c>
      <c r="B558" t="s">
        <v>79</v>
      </c>
      <c r="C558" t="s">
        <v>77</v>
      </c>
      <c r="D558" t="s">
        <v>82</v>
      </c>
      <c r="E558" t="s">
        <v>78</v>
      </c>
      <c r="F558" s="71">
        <v>38718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31" x14ac:dyDescent="0.25">
      <c r="A559" t="s">
        <v>61</v>
      </c>
      <c r="B559" t="s">
        <v>79</v>
      </c>
      <c r="C559" t="s">
        <v>77</v>
      </c>
      <c r="D559" t="s">
        <v>82</v>
      </c>
      <c r="E559" t="s">
        <v>78</v>
      </c>
      <c r="F559" s="71">
        <v>39083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31" x14ac:dyDescent="0.25">
      <c r="A560" t="s">
        <v>61</v>
      </c>
      <c r="B560" t="s">
        <v>79</v>
      </c>
      <c r="C560" t="s">
        <v>77</v>
      </c>
      <c r="D560" t="s">
        <v>82</v>
      </c>
      <c r="E560" t="s">
        <v>78</v>
      </c>
      <c r="F560" s="71">
        <v>39448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3" x14ac:dyDescent="0.25">
      <c r="A561" t="s">
        <v>61</v>
      </c>
      <c r="B561" t="s">
        <v>79</v>
      </c>
      <c r="C561" t="s">
        <v>77</v>
      </c>
      <c r="D561" t="s">
        <v>82</v>
      </c>
      <c r="E561" t="s">
        <v>78</v>
      </c>
      <c r="F561" s="71">
        <v>39814</v>
      </c>
      <c r="G561">
        <v>0</v>
      </c>
      <c r="H561">
        <v>0</v>
      </c>
      <c r="I561">
        <v>0</v>
      </c>
      <c r="J561">
        <v>0</v>
      </c>
      <c r="K561">
        <v>3015077.19</v>
      </c>
      <c r="L561">
        <v>3015077.19</v>
      </c>
      <c r="M561">
        <v>3015077.19</v>
      </c>
      <c r="N561">
        <v>3015077.19</v>
      </c>
      <c r="O561">
        <v>3015077.19</v>
      </c>
      <c r="P561">
        <v>3015077.19</v>
      </c>
      <c r="Q561">
        <v>3015077.19</v>
      </c>
      <c r="R561">
        <v>3015077.19</v>
      </c>
      <c r="S561">
        <v>3015077.19</v>
      </c>
      <c r="T561">
        <v>3015077.19</v>
      </c>
      <c r="U561">
        <v>3015077.19</v>
      </c>
      <c r="V561">
        <v>3015077.19</v>
      </c>
      <c r="W561">
        <v>3015077.19</v>
      </c>
    </row>
    <row r="562" spans="1:23" x14ac:dyDescent="0.25">
      <c r="A562" t="s">
        <v>61</v>
      </c>
      <c r="B562" t="s">
        <v>79</v>
      </c>
      <c r="C562" t="s">
        <v>77</v>
      </c>
      <c r="D562" t="s">
        <v>82</v>
      </c>
      <c r="E562" t="s">
        <v>78</v>
      </c>
      <c r="F562" s="71">
        <v>40179</v>
      </c>
      <c r="G562">
        <v>0</v>
      </c>
      <c r="H562">
        <v>0</v>
      </c>
      <c r="I562">
        <v>0</v>
      </c>
      <c r="J562">
        <v>7692827.5499999998</v>
      </c>
      <c r="K562">
        <v>7531474.75</v>
      </c>
      <c r="L562">
        <v>8067507.0199999996</v>
      </c>
      <c r="M562">
        <v>8004420.4499999993</v>
      </c>
      <c r="N562">
        <v>8005058.3499999996</v>
      </c>
      <c r="O562">
        <v>8008633.3499999996</v>
      </c>
      <c r="P562">
        <v>8009926.5999999996</v>
      </c>
      <c r="Q562">
        <v>8009926.5999999996</v>
      </c>
      <c r="R562">
        <v>8009926.5999999996</v>
      </c>
      <c r="S562">
        <v>8011988.5999999996</v>
      </c>
      <c r="T562">
        <v>8011988.5999999996</v>
      </c>
      <c r="U562">
        <v>8011988.5999999996</v>
      </c>
      <c r="V562">
        <v>8011988.5999999996</v>
      </c>
    </row>
    <row r="563" spans="1:23" x14ac:dyDescent="0.25">
      <c r="A563" t="s">
        <v>61</v>
      </c>
      <c r="B563" t="s">
        <v>79</v>
      </c>
      <c r="C563" t="s">
        <v>77</v>
      </c>
      <c r="D563" t="s">
        <v>82</v>
      </c>
      <c r="E563" t="s">
        <v>78</v>
      </c>
      <c r="F563" s="71">
        <v>40544</v>
      </c>
      <c r="G563">
        <v>0</v>
      </c>
      <c r="H563">
        <v>0</v>
      </c>
      <c r="I563">
        <v>9194350.7699999996</v>
      </c>
      <c r="J563">
        <v>10932330.779999999</v>
      </c>
      <c r="K563">
        <v>12111359.17</v>
      </c>
      <c r="L563">
        <v>12299387.17</v>
      </c>
      <c r="M563">
        <v>13017566.32</v>
      </c>
      <c r="N563">
        <v>13019325.17</v>
      </c>
      <c r="O563">
        <v>13019325.17</v>
      </c>
      <c r="P563">
        <v>13026320.35</v>
      </c>
      <c r="Q563">
        <v>13026320.35</v>
      </c>
      <c r="R563">
        <v>13026320.35</v>
      </c>
      <c r="S563">
        <v>13026320.35</v>
      </c>
      <c r="T563">
        <v>13026320.35</v>
      </c>
      <c r="U563">
        <v>13026320.35</v>
      </c>
    </row>
    <row r="564" spans="1:23" x14ac:dyDescent="0.25">
      <c r="A564" t="s">
        <v>61</v>
      </c>
      <c r="B564" t="s">
        <v>79</v>
      </c>
      <c r="C564" t="s">
        <v>77</v>
      </c>
      <c r="D564" t="s">
        <v>82</v>
      </c>
      <c r="E564" t="s">
        <v>78</v>
      </c>
      <c r="F564" s="71">
        <v>40909</v>
      </c>
      <c r="G564">
        <v>0</v>
      </c>
      <c r="H564">
        <v>17354367.5</v>
      </c>
      <c r="I564">
        <v>24617743.850000001</v>
      </c>
      <c r="J564">
        <v>23921348.48</v>
      </c>
      <c r="K564">
        <v>27297472.039999999</v>
      </c>
      <c r="L564">
        <v>27901249.609999999</v>
      </c>
      <c r="M564">
        <v>27833220.399999999</v>
      </c>
      <c r="N564">
        <v>27843451.73</v>
      </c>
      <c r="O564">
        <v>27843408.5</v>
      </c>
      <c r="P564">
        <v>27843408.5</v>
      </c>
      <c r="Q564">
        <v>27757403.699999999</v>
      </c>
      <c r="R564">
        <v>27757403.699999999</v>
      </c>
      <c r="S564">
        <v>27757403.699999999</v>
      </c>
      <c r="T564">
        <v>27757403.699999999</v>
      </c>
    </row>
    <row r="565" spans="1:23" x14ac:dyDescent="0.25">
      <c r="A565" t="s">
        <v>61</v>
      </c>
      <c r="B565" t="s">
        <v>79</v>
      </c>
      <c r="C565" t="s">
        <v>77</v>
      </c>
      <c r="D565" t="s">
        <v>82</v>
      </c>
      <c r="E565" t="s">
        <v>78</v>
      </c>
      <c r="F565" s="71">
        <v>41275</v>
      </c>
      <c r="G565">
        <v>1887638.96</v>
      </c>
      <c r="H565">
        <v>6813616.0899999999</v>
      </c>
      <c r="I565">
        <v>9685488.0899999999</v>
      </c>
      <c r="J565">
        <v>10348938.41</v>
      </c>
      <c r="K565">
        <v>12139783.09</v>
      </c>
      <c r="L565">
        <v>12072592.16</v>
      </c>
      <c r="M565">
        <v>12194812.609999999</v>
      </c>
      <c r="N565">
        <v>12205019.609999999</v>
      </c>
      <c r="O565">
        <v>12190516.390000001</v>
      </c>
      <c r="P565">
        <v>12190193.369999999</v>
      </c>
      <c r="Q565">
        <v>12190193.369999999</v>
      </c>
      <c r="R565">
        <v>12083995.699999999</v>
      </c>
      <c r="S565">
        <v>12083995.699999999</v>
      </c>
    </row>
    <row r="566" spans="1:23" x14ac:dyDescent="0.25">
      <c r="A566" t="s">
        <v>61</v>
      </c>
      <c r="B566" t="s">
        <v>79</v>
      </c>
      <c r="C566" t="s">
        <v>77</v>
      </c>
      <c r="D566" t="s">
        <v>82</v>
      </c>
      <c r="E566" t="s">
        <v>78</v>
      </c>
      <c r="F566" s="71">
        <v>41640</v>
      </c>
      <c r="G566">
        <v>1167251.08</v>
      </c>
      <c r="H566">
        <v>11309409.810000001</v>
      </c>
      <c r="I566">
        <v>11023357.92</v>
      </c>
      <c r="J566">
        <v>13418158.140000001</v>
      </c>
      <c r="K566">
        <v>17396264.609999999</v>
      </c>
      <c r="L566">
        <v>17558314.609999999</v>
      </c>
      <c r="M566">
        <v>17554910.960000001</v>
      </c>
      <c r="N566">
        <v>18589718.940000001</v>
      </c>
      <c r="O566">
        <v>18576171.940000001</v>
      </c>
      <c r="P566">
        <v>18576171.940000001</v>
      </c>
      <c r="Q566">
        <v>18576151.940000001</v>
      </c>
      <c r="R566">
        <v>18576151.940000001</v>
      </c>
    </row>
    <row r="567" spans="1:23" x14ac:dyDescent="0.25">
      <c r="A567" t="s">
        <v>61</v>
      </c>
      <c r="B567" t="s">
        <v>79</v>
      </c>
      <c r="C567" t="s">
        <v>77</v>
      </c>
      <c r="D567" t="s">
        <v>82</v>
      </c>
      <c r="E567" t="s">
        <v>78</v>
      </c>
      <c r="F567" s="71">
        <v>42005</v>
      </c>
      <c r="G567">
        <v>4937313.63</v>
      </c>
      <c r="H567">
        <v>13906120.83</v>
      </c>
      <c r="I567">
        <v>19238146.34</v>
      </c>
      <c r="J567">
        <v>19968879.390000001</v>
      </c>
      <c r="K567">
        <v>20209340.600000001</v>
      </c>
      <c r="L567">
        <v>21796839.100000001</v>
      </c>
      <c r="M567">
        <v>22076420.530000001</v>
      </c>
      <c r="N567">
        <v>21923913.280000001</v>
      </c>
      <c r="O567">
        <v>21940564.039999999</v>
      </c>
      <c r="P567">
        <v>21940565.039999999</v>
      </c>
      <c r="Q567">
        <v>21940561.039999999</v>
      </c>
    </row>
    <row r="568" spans="1:23" x14ac:dyDescent="0.25">
      <c r="A568" t="s">
        <v>61</v>
      </c>
      <c r="B568" t="s">
        <v>79</v>
      </c>
      <c r="C568" t="s">
        <v>77</v>
      </c>
      <c r="D568" t="s">
        <v>82</v>
      </c>
      <c r="E568" t="s">
        <v>78</v>
      </c>
      <c r="F568" s="71">
        <v>42370</v>
      </c>
      <c r="G568">
        <v>2905028.57</v>
      </c>
      <c r="H568">
        <v>11859823.789999999</v>
      </c>
      <c r="I568">
        <v>20817435.629999999</v>
      </c>
      <c r="J568">
        <v>32163410.68</v>
      </c>
      <c r="K568">
        <v>34860481.799999997</v>
      </c>
      <c r="L568">
        <v>35421996.810000002</v>
      </c>
      <c r="M568">
        <v>35849532.030000001</v>
      </c>
      <c r="N568">
        <v>36188465.939999998</v>
      </c>
      <c r="O568">
        <v>36198982.939999998</v>
      </c>
      <c r="P568">
        <v>36322941.920000002</v>
      </c>
    </row>
    <row r="569" spans="1:23" x14ac:dyDescent="0.25">
      <c r="A569" t="s">
        <v>61</v>
      </c>
      <c r="B569" t="s">
        <v>79</v>
      </c>
      <c r="C569" t="s">
        <v>77</v>
      </c>
      <c r="D569" t="s">
        <v>82</v>
      </c>
      <c r="E569" t="s">
        <v>78</v>
      </c>
      <c r="F569" s="71">
        <v>42736</v>
      </c>
      <c r="G569">
        <v>2280304.5</v>
      </c>
      <c r="H569">
        <v>11363092.890000001</v>
      </c>
      <c r="I569">
        <v>22835894.489999998</v>
      </c>
      <c r="J569">
        <v>25875664.370000001</v>
      </c>
      <c r="K569">
        <v>27163638.030000001</v>
      </c>
      <c r="L569">
        <v>27785694.469999999</v>
      </c>
      <c r="M569">
        <v>27991795.969999999</v>
      </c>
      <c r="N569">
        <v>27752596.789999999</v>
      </c>
      <c r="O569">
        <v>28216714.140000001</v>
      </c>
    </row>
    <row r="570" spans="1:23" x14ac:dyDescent="0.25">
      <c r="A570" t="s">
        <v>61</v>
      </c>
      <c r="B570" t="s">
        <v>79</v>
      </c>
      <c r="C570" t="s">
        <v>77</v>
      </c>
      <c r="D570" t="s">
        <v>82</v>
      </c>
      <c r="E570" t="s">
        <v>78</v>
      </c>
      <c r="F570" s="71">
        <v>43101</v>
      </c>
      <c r="G570">
        <v>2203582.06</v>
      </c>
      <c r="H570">
        <v>7182622.9000000004</v>
      </c>
      <c r="I570">
        <v>12940036.57</v>
      </c>
      <c r="J570">
        <v>20076877.109999999</v>
      </c>
      <c r="K570">
        <v>20359927.100000001</v>
      </c>
      <c r="L570">
        <v>21135801.059999999</v>
      </c>
      <c r="M570">
        <v>25355381.5</v>
      </c>
      <c r="N570">
        <v>25358185.800000001</v>
      </c>
    </row>
    <row r="571" spans="1:23" x14ac:dyDescent="0.25">
      <c r="A571" t="s">
        <v>61</v>
      </c>
      <c r="B571" t="s">
        <v>79</v>
      </c>
      <c r="C571" t="s">
        <v>77</v>
      </c>
      <c r="D571" t="s">
        <v>82</v>
      </c>
      <c r="E571" t="s">
        <v>78</v>
      </c>
      <c r="F571" s="71">
        <v>43466</v>
      </c>
      <c r="G571">
        <v>1186432.17</v>
      </c>
      <c r="H571">
        <v>14177582.390000001</v>
      </c>
      <c r="I571">
        <v>31215888.940000001</v>
      </c>
      <c r="J571">
        <v>38804831.880000003</v>
      </c>
      <c r="K571">
        <v>48906209.060000002</v>
      </c>
      <c r="L571">
        <v>48059277.810000002</v>
      </c>
      <c r="M571">
        <v>48981092.790000007</v>
      </c>
    </row>
    <row r="572" spans="1:23" x14ac:dyDescent="0.25">
      <c r="A572" t="s">
        <v>61</v>
      </c>
      <c r="B572" t="s">
        <v>79</v>
      </c>
      <c r="C572" t="s">
        <v>77</v>
      </c>
      <c r="D572" t="s">
        <v>82</v>
      </c>
      <c r="E572" t="s">
        <v>78</v>
      </c>
      <c r="F572" s="71">
        <v>43831</v>
      </c>
      <c r="G572">
        <v>2290558.42</v>
      </c>
      <c r="H572">
        <v>19121141.190000001</v>
      </c>
      <c r="I572">
        <v>33082573.129999999</v>
      </c>
      <c r="J572">
        <v>49228572.810000002</v>
      </c>
      <c r="K572">
        <v>65751525.270000003</v>
      </c>
      <c r="L572">
        <v>67747162.400000006</v>
      </c>
    </row>
    <row r="573" spans="1:23" x14ac:dyDescent="0.25">
      <c r="A573" t="s">
        <v>61</v>
      </c>
      <c r="B573" t="s">
        <v>79</v>
      </c>
      <c r="C573" t="s">
        <v>77</v>
      </c>
      <c r="D573" t="s">
        <v>82</v>
      </c>
      <c r="E573" t="s">
        <v>78</v>
      </c>
      <c r="F573" s="71">
        <v>44197</v>
      </c>
      <c r="G573">
        <v>2770941.22</v>
      </c>
      <c r="H573">
        <v>21942918.280000001</v>
      </c>
      <c r="I573">
        <v>30185702.539999999</v>
      </c>
      <c r="J573">
        <v>33664327.07</v>
      </c>
      <c r="K573">
        <v>37161589.030000001</v>
      </c>
    </row>
    <row r="574" spans="1:23" x14ac:dyDescent="0.25">
      <c r="A574" t="s">
        <v>61</v>
      </c>
      <c r="B574" t="s">
        <v>79</v>
      </c>
      <c r="C574" t="s">
        <v>77</v>
      </c>
      <c r="D574" t="s">
        <v>82</v>
      </c>
      <c r="E574" t="s">
        <v>78</v>
      </c>
      <c r="F574" s="71">
        <v>44562</v>
      </c>
      <c r="G574">
        <v>3095378.94</v>
      </c>
      <c r="H574">
        <v>20915706.280000001</v>
      </c>
      <c r="I574">
        <v>44492145.669999987</v>
      </c>
      <c r="J574">
        <v>55869794.359999999</v>
      </c>
    </row>
    <row r="575" spans="1:23" x14ac:dyDescent="0.25">
      <c r="A575" t="s">
        <v>61</v>
      </c>
      <c r="B575" t="s">
        <v>79</v>
      </c>
      <c r="C575" t="s">
        <v>77</v>
      </c>
      <c r="D575" t="s">
        <v>82</v>
      </c>
      <c r="E575" t="s">
        <v>78</v>
      </c>
      <c r="F575" s="71">
        <v>44927</v>
      </c>
      <c r="G575">
        <v>1092871.22</v>
      </c>
      <c r="H575">
        <v>12117367.630000001</v>
      </c>
      <c r="I575">
        <v>30207437.510000002</v>
      </c>
    </row>
    <row r="576" spans="1:23" x14ac:dyDescent="0.25">
      <c r="A576" t="s">
        <v>61</v>
      </c>
      <c r="B576" t="s">
        <v>79</v>
      </c>
      <c r="C576" t="s">
        <v>77</v>
      </c>
      <c r="D576" t="s">
        <v>82</v>
      </c>
      <c r="E576" t="s">
        <v>78</v>
      </c>
      <c r="F576" s="71">
        <v>45292</v>
      </c>
      <c r="G576">
        <v>1417654.58</v>
      </c>
      <c r="H576">
        <v>17077689.850000001</v>
      </c>
    </row>
    <row r="577" spans="1:31" x14ac:dyDescent="0.25">
      <c r="A577" t="s">
        <v>61</v>
      </c>
      <c r="B577" t="s">
        <v>79</v>
      </c>
      <c r="C577" t="s">
        <v>77</v>
      </c>
      <c r="D577" t="s">
        <v>82</v>
      </c>
      <c r="E577" t="s">
        <v>78</v>
      </c>
      <c r="F577" s="71">
        <v>45658</v>
      </c>
      <c r="G577">
        <v>2180560.48</v>
      </c>
    </row>
    <row r="578" spans="1:31" x14ac:dyDescent="0.25">
      <c r="A578" t="s">
        <v>61</v>
      </c>
      <c r="B578" t="s">
        <v>80</v>
      </c>
      <c r="C578" t="s">
        <v>77</v>
      </c>
      <c r="D578" t="s">
        <v>82</v>
      </c>
      <c r="E578" t="s">
        <v>78</v>
      </c>
      <c r="F578" s="71">
        <v>36892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25">
      <c r="A579" t="s">
        <v>61</v>
      </c>
      <c r="B579" t="s">
        <v>80</v>
      </c>
      <c r="C579" t="s">
        <v>77</v>
      </c>
      <c r="D579" t="s">
        <v>82</v>
      </c>
      <c r="E579" t="s">
        <v>78</v>
      </c>
      <c r="F579" s="71">
        <v>37257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1" x14ac:dyDescent="0.25">
      <c r="A580" t="s">
        <v>61</v>
      </c>
      <c r="B580" t="s">
        <v>80</v>
      </c>
      <c r="C580" t="s">
        <v>77</v>
      </c>
      <c r="D580" t="s">
        <v>82</v>
      </c>
      <c r="E580" t="s">
        <v>78</v>
      </c>
      <c r="F580" s="71">
        <v>37622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31" x14ac:dyDescent="0.25">
      <c r="A581" t="s">
        <v>61</v>
      </c>
      <c r="B581" t="s">
        <v>80</v>
      </c>
      <c r="C581" t="s">
        <v>77</v>
      </c>
      <c r="D581" t="s">
        <v>82</v>
      </c>
      <c r="E581" t="s">
        <v>78</v>
      </c>
      <c r="F581" s="71">
        <v>37987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31" x14ac:dyDescent="0.25">
      <c r="A582" t="s">
        <v>61</v>
      </c>
      <c r="B582" t="s">
        <v>80</v>
      </c>
      <c r="C582" t="s">
        <v>77</v>
      </c>
      <c r="D582" t="s">
        <v>82</v>
      </c>
      <c r="E582" t="s">
        <v>78</v>
      </c>
      <c r="F582" s="71">
        <v>38353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31" x14ac:dyDescent="0.25">
      <c r="A583" t="s">
        <v>61</v>
      </c>
      <c r="B583" t="s">
        <v>80</v>
      </c>
      <c r="C583" t="s">
        <v>77</v>
      </c>
      <c r="D583" t="s">
        <v>82</v>
      </c>
      <c r="E583" t="s">
        <v>78</v>
      </c>
      <c r="F583" s="71">
        <v>38718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31" x14ac:dyDescent="0.25">
      <c r="A584" t="s">
        <v>61</v>
      </c>
      <c r="B584" t="s">
        <v>80</v>
      </c>
      <c r="C584" t="s">
        <v>77</v>
      </c>
      <c r="D584" t="s">
        <v>82</v>
      </c>
      <c r="E584" t="s">
        <v>78</v>
      </c>
      <c r="F584" s="71">
        <v>39083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31" x14ac:dyDescent="0.25">
      <c r="A585" t="s">
        <v>61</v>
      </c>
      <c r="B585" t="s">
        <v>80</v>
      </c>
      <c r="C585" t="s">
        <v>77</v>
      </c>
      <c r="D585" t="s">
        <v>82</v>
      </c>
      <c r="E585" t="s">
        <v>78</v>
      </c>
      <c r="F585" s="71">
        <v>39448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31" x14ac:dyDescent="0.25">
      <c r="A586" t="s">
        <v>61</v>
      </c>
      <c r="B586" t="s">
        <v>80</v>
      </c>
      <c r="C586" t="s">
        <v>77</v>
      </c>
      <c r="D586" t="s">
        <v>82</v>
      </c>
      <c r="E586" t="s">
        <v>78</v>
      </c>
      <c r="F586" s="71">
        <v>39814</v>
      </c>
      <c r="G586">
        <v>0</v>
      </c>
      <c r="H586">
        <v>0</v>
      </c>
      <c r="I586">
        <v>0</v>
      </c>
      <c r="J586">
        <v>0</v>
      </c>
      <c r="K586">
        <v>3015077.19</v>
      </c>
      <c r="L586">
        <v>3015077.19</v>
      </c>
      <c r="M586">
        <v>3015077.19</v>
      </c>
      <c r="N586">
        <v>3015077.19</v>
      </c>
      <c r="O586">
        <v>3015077.19</v>
      </c>
      <c r="P586">
        <v>3015077.19</v>
      </c>
      <c r="Q586">
        <v>3015077.19</v>
      </c>
      <c r="R586">
        <v>3015077.19</v>
      </c>
      <c r="S586">
        <v>3015077.19</v>
      </c>
      <c r="T586">
        <v>3015077.19</v>
      </c>
      <c r="U586">
        <v>3015077.19</v>
      </c>
      <c r="V586">
        <v>3015077.19</v>
      </c>
      <c r="W586">
        <v>3015077.19</v>
      </c>
    </row>
    <row r="587" spans="1:31" x14ac:dyDescent="0.25">
      <c r="A587" t="s">
        <v>61</v>
      </c>
      <c r="B587" t="s">
        <v>80</v>
      </c>
      <c r="C587" t="s">
        <v>77</v>
      </c>
      <c r="D587" t="s">
        <v>82</v>
      </c>
      <c r="E587" t="s">
        <v>78</v>
      </c>
      <c r="F587" s="71">
        <v>40179</v>
      </c>
      <c r="G587">
        <v>0</v>
      </c>
      <c r="H587">
        <v>0</v>
      </c>
      <c r="I587">
        <v>0</v>
      </c>
      <c r="J587">
        <v>5999582.3399999999</v>
      </c>
      <c r="K587">
        <v>6544230.54</v>
      </c>
      <c r="L587">
        <v>7604888.4199999999</v>
      </c>
      <c r="M587">
        <v>8004420.4499999993</v>
      </c>
      <c r="N587">
        <v>8005058.3499999996</v>
      </c>
      <c r="O587">
        <v>8008633.3499999996</v>
      </c>
      <c r="P587">
        <v>8009926.5999999996</v>
      </c>
      <c r="Q587">
        <v>8009926.5999999996</v>
      </c>
      <c r="R587">
        <v>8009926.5999999996</v>
      </c>
      <c r="S587">
        <v>8011988.5999999996</v>
      </c>
      <c r="T587">
        <v>8011988.5999999996</v>
      </c>
      <c r="U587">
        <v>8011988.5999999996</v>
      </c>
      <c r="V587">
        <v>8011988.5999999996</v>
      </c>
    </row>
    <row r="588" spans="1:31" x14ac:dyDescent="0.25">
      <c r="A588" t="s">
        <v>61</v>
      </c>
      <c r="B588" t="s">
        <v>80</v>
      </c>
      <c r="C588" t="s">
        <v>77</v>
      </c>
      <c r="D588" t="s">
        <v>82</v>
      </c>
      <c r="E588" t="s">
        <v>78</v>
      </c>
      <c r="F588" s="71">
        <v>40544</v>
      </c>
      <c r="G588">
        <v>0</v>
      </c>
      <c r="H588">
        <v>0</v>
      </c>
      <c r="I588">
        <v>6738802.5700000003</v>
      </c>
      <c r="J588">
        <v>9777836.3699999992</v>
      </c>
      <c r="K588">
        <v>11764696.16</v>
      </c>
      <c r="L588">
        <v>11994223.41</v>
      </c>
      <c r="M588">
        <v>13005160.32</v>
      </c>
      <c r="N588">
        <v>13019325.17</v>
      </c>
      <c r="O588">
        <v>13019325.17</v>
      </c>
      <c r="P588">
        <v>13026320.35</v>
      </c>
      <c r="Q588">
        <v>13026320.35</v>
      </c>
      <c r="R588">
        <v>13026320.35</v>
      </c>
      <c r="S588">
        <v>13026320.35</v>
      </c>
      <c r="T588">
        <v>13026320.35</v>
      </c>
      <c r="U588">
        <v>13026320.35</v>
      </c>
    </row>
    <row r="589" spans="1:31" x14ac:dyDescent="0.25">
      <c r="A589" t="s">
        <v>61</v>
      </c>
      <c r="B589" t="s">
        <v>80</v>
      </c>
      <c r="C589" t="s">
        <v>77</v>
      </c>
      <c r="D589" t="s">
        <v>82</v>
      </c>
      <c r="E589" t="s">
        <v>78</v>
      </c>
      <c r="F589" s="71">
        <v>40909</v>
      </c>
      <c r="G589">
        <v>0</v>
      </c>
      <c r="H589">
        <v>4362210.87</v>
      </c>
      <c r="I589">
        <v>12314212.32</v>
      </c>
      <c r="J589">
        <v>19470891.640000001</v>
      </c>
      <c r="K589">
        <v>22888210.07</v>
      </c>
      <c r="L589">
        <v>27312566.449999999</v>
      </c>
      <c r="M589">
        <v>27680858.039999999</v>
      </c>
      <c r="N589">
        <v>27720697.530000001</v>
      </c>
      <c r="O589">
        <v>27736747.100000001</v>
      </c>
      <c r="P589">
        <v>27753187.699999999</v>
      </c>
      <c r="Q589">
        <v>27757403.699999999</v>
      </c>
      <c r="R589">
        <v>27757403.699999999</v>
      </c>
      <c r="S589">
        <v>27757403.699999999</v>
      </c>
      <c r="T589">
        <v>27757403.699999999</v>
      </c>
    </row>
    <row r="590" spans="1:31" x14ac:dyDescent="0.25">
      <c r="A590" t="s">
        <v>61</v>
      </c>
      <c r="B590" t="s">
        <v>80</v>
      </c>
      <c r="C590" t="s">
        <v>77</v>
      </c>
      <c r="D590" t="s">
        <v>82</v>
      </c>
      <c r="E590" t="s">
        <v>78</v>
      </c>
      <c r="F590" s="71">
        <v>41275</v>
      </c>
      <c r="G590">
        <v>128348.52</v>
      </c>
      <c r="H590">
        <v>1296026.44</v>
      </c>
      <c r="I590">
        <v>6353895.0300000003</v>
      </c>
      <c r="J590">
        <v>8183315.879999999</v>
      </c>
      <c r="K590">
        <v>10732921.51</v>
      </c>
      <c r="L590">
        <v>11805428.23</v>
      </c>
      <c r="M590">
        <v>12025408.6</v>
      </c>
      <c r="N590">
        <v>12037516.220000001</v>
      </c>
      <c r="O590">
        <v>12058018.720000001</v>
      </c>
      <c r="P590">
        <v>12061470.699999999</v>
      </c>
      <c r="Q590">
        <v>12063820.699999999</v>
      </c>
      <c r="R590">
        <v>12083995.699999999</v>
      </c>
      <c r="S590">
        <v>12083995.699999999</v>
      </c>
    </row>
    <row r="591" spans="1:31" x14ac:dyDescent="0.25">
      <c r="A591" t="s">
        <v>61</v>
      </c>
      <c r="B591" t="s">
        <v>80</v>
      </c>
      <c r="C591" t="s">
        <v>77</v>
      </c>
      <c r="D591" t="s">
        <v>82</v>
      </c>
      <c r="E591" t="s">
        <v>78</v>
      </c>
      <c r="F591" s="71">
        <v>41640</v>
      </c>
      <c r="G591">
        <v>140915.07999999999</v>
      </c>
      <c r="H591">
        <v>3956247.41</v>
      </c>
      <c r="I591">
        <v>9109359.6000000015</v>
      </c>
      <c r="J591">
        <v>9627917.5099999998</v>
      </c>
      <c r="K591">
        <v>17226118.98</v>
      </c>
      <c r="L591">
        <v>17469906.23</v>
      </c>
      <c r="M591">
        <v>17520139.440000001</v>
      </c>
      <c r="N591">
        <v>18574242.940000001</v>
      </c>
      <c r="O591">
        <v>18576151.940000001</v>
      </c>
      <c r="P591">
        <v>18576151.940000001</v>
      </c>
      <c r="Q591">
        <v>18576151.940000001</v>
      </c>
      <c r="R591">
        <v>18576151.940000001</v>
      </c>
    </row>
    <row r="592" spans="1:31" x14ac:dyDescent="0.25">
      <c r="A592" t="s">
        <v>61</v>
      </c>
      <c r="B592" t="s">
        <v>80</v>
      </c>
      <c r="C592" t="s">
        <v>77</v>
      </c>
      <c r="D592" t="s">
        <v>82</v>
      </c>
      <c r="E592" t="s">
        <v>78</v>
      </c>
      <c r="F592" s="71">
        <v>42005</v>
      </c>
      <c r="G592">
        <v>415755.99</v>
      </c>
      <c r="H592">
        <v>3762576.59</v>
      </c>
      <c r="I592">
        <v>13446690.699999999</v>
      </c>
      <c r="J592">
        <v>18626273.82</v>
      </c>
      <c r="K592">
        <v>19326523.16</v>
      </c>
      <c r="L592">
        <v>21535551.960000001</v>
      </c>
      <c r="M592">
        <v>21920056.030000001</v>
      </c>
      <c r="N592">
        <v>21923892.280000001</v>
      </c>
      <c r="O592">
        <v>21940561.039999999</v>
      </c>
      <c r="P592">
        <v>21940561.039999999</v>
      </c>
      <c r="Q592">
        <v>21940561.039999999</v>
      </c>
    </row>
    <row r="593" spans="1:31" x14ac:dyDescent="0.25">
      <c r="A593" t="s">
        <v>61</v>
      </c>
      <c r="B593" t="s">
        <v>80</v>
      </c>
      <c r="C593" t="s">
        <v>77</v>
      </c>
      <c r="D593" t="s">
        <v>82</v>
      </c>
      <c r="E593" t="s">
        <v>78</v>
      </c>
      <c r="F593" s="71">
        <v>42370</v>
      </c>
      <c r="G593">
        <v>261389.5</v>
      </c>
      <c r="H593">
        <v>4869033.32</v>
      </c>
      <c r="I593">
        <v>16028301.550000001</v>
      </c>
      <c r="J593">
        <v>30137871.300000001</v>
      </c>
      <c r="K593">
        <v>32498062.030000001</v>
      </c>
      <c r="L593">
        <v>34062013.43</v>
      </c>
      <c r="M593">
        <v>34807916.520000003</v>
      </c>
      <c r="N593">
        <v>35196316.939999998</v>
      </c>
      <c r="O593">
        <v>35207646.439999998</v>
      </c>
      <c r="P593">
        <v>35282169.82</v>
      </c>
    </row>
    <row r="594" spans="1:31" x14ac:dyDescent="0.25">
      <c r="A594" t="s">
        <v>61</v>
      </c>
      <c r="B594" t="s">
        <v>80</v>
      </c>
      <c r="C594" t="s">
        <v>77</v>
      </c>
      <c r="D594" t="s">
        <v>82</v>
      </c>
      <c r="E594" t="s">
        <v>78</v>
      </c>
      <c r="F594" s="71">
        <v>42736</v>
      </c>
      <c r="G594">
        <v>314776</v>
      </c>
      <c r="H594">
        <v>5217777.05</v>
      </c>
      <c r="I594">
        <v>18707980.940000001</v>
      </c>
      <c r="J594">
        <v>24262295.370000001</v>
      </c>
      <c r="K594">
        <v>25778729.609999999</v>
      </c>
      <c r="L594">
        <v>27078134.559999999</v>
      </c>
      <c r="M594">
        <v>27470657.289999999</v>
      </c>
      <c r="N594">
        <v>27633568.510000002</v>
      </c>
      <c r="O594">
        <v>28125842.640000001</v>
      </c>
    </row>
    <row r="595" spans="1:31" x14ac:dyDescent="0.25">
      <c r="A595" t="s">
        <v>61</v>
      </c>
      <c r="B595" t="s">
        <v>80</v>
      </c>
      <c r="C595" t="s">
        <v>77</v>
      </c>
      <c r="D595" t="s">
        <v>82</v>
      </c>
      <c r="E595" t="s">
        <v>78</v>
      </c>
      <c r="F595" s="71">
        <v>43101</v>
      </c>
      <c r="G595">
        <v>1210592.8</v>
      </c>
      <c r="H595">
        <v>4424474.75</v>
      </c>
      <c r="I595">
        <v>9089778.4199999999</v>
      </c>
      <c r="J595">
        <v>14593477.9</v>
      </c>
      <c r="K595">
        <v>18435778.870000001</v>
      </c>
      <c r="L595">
        <v>19801937.050000001</v>
      </c>
      <c r="M595">
        <v>24493013.16</v>
      </c>
      <c r="N595">
        <v>24537821.460000001</v>
      </c>
    </row>
    <row r="596" spans="1:31" x14ac:dyDescent="0.25">
      <c r="A596" t="s">
        <v>61</v>
      </c>
      <c r="B596" t="s">
        <v>80</v>
      </c>
      <c r="C596" t="s">
        <v>77</v>
      </c>
      <c r="D596" t="s">
        <v>82</v>
      </c>
      <c r="E596" t="s">
        <v>78</v>
      </c>
      <c r="F596" s="71">
        <v>43466</v>
      </c>
      <c r="G596">
        <v>231979</v>
      </c>
      <c r="H596">
        <v>6769002.3899999987</v>
      </c>
      <c r="I596">
        <v>20065760.850000001</v>
      </c>
      <c r="J596">
        <v>33709395.259999998</v>
      </c>
      <c r="K596">
        <v>36120064.020000003</v>
      </c>
      <c r="L596">
        <v>46767335.320000008</v>
      </c>
      <c r="M596">
        <v>48816010.270000003</v>
      </c>
    </row>
    <row r="597" spans="1:31" x14ac:dyDescent="0.25">
      <c r="A597" t="s">
        <v>61</v>
      </c>
      <c r="B597" t="s">
        <v>80</v>
      </c>
      <c r="C597" t="s">
        <v>77</v>
      </c>
      <c r="D597" t="s">
        <v>82</v>
      </c>
      <c r="E597" t="s">
        <v>78</v>
      </c>
      <c r="F597" s="71">
        <v>43831</v>
      </c>
      <c r="G597">
        <v>856050.48</v>
      </c>
      <c r="H597">
        <v>11869007.800000001</v>
      </c>
      <c r="I597">
        <v>24381747.129999999</v>
      </c>
      <c r="J597">
        <v>40359563.369999997</v>
      </c>
      <c r="K597">
        <v>51852640.86999999</v>
      </c>
      <c r="L597">
        <v>58335258.030000001</v>
      </c>
    </row>
    <row r="598" spans="1:31" x14ac:dyDescent="0.25">
      <c r="A598" t="s">
        <v>61</v>
      </c>
      <c r="B598" t="s">
        <v>80</v>
      </c>
      <c r="C598" t="s">
        <v>77</v>
      </c>
      <c r="D598" t="s">
        <v>82</v>
      </c>
      <c r="E598" t="s">
        <v>78</v>
      </c>
      <c r="F598" s="71">
        <v>44197</v>
      </c>
      <c r="G598">
        <v>659049.84000000008</v>
      </c>
      <c r="H598">
        <v>16897493.030000001</v>
      </c>
      <c r="I598">
        <v>27773018.210000001</v>
      </c>
      <c r="J598">
        <v>31147728.219999999</v>
      </c>
      <c r="K598">
        <v>35211772.700000003</v>
      </c>
    </row>
    <row r="599" spans="1:31" x14ac:dyDescent="0.25">
      <c r="A599" t="s">
        <v>61</v>
      </c>
      <c r="B599" t="s">
        <v>80</v>
      </c>
      <c r="C599" t="s">
        <v>77</v>
      </c>
      <c r="D599" t="s">
        <v>82</v>
      </c>
      <c r="E599" t="s">
        <v>78</v>
      </c>
      <c r="F599" s="71">
        <v>44562</v>
      </c>
      <c r="G599">
        <v>2231721.41</v>
      </c>
      <c r="H599">
        <v>12214443.210000001</v>
      </c>
      <c r="I599">
        <v>34299801.310000002</v>
      </c>
      <c r="J599">
        <v>53245386.539999999</v>
      </c>
    </row>
    <row r="600" spans="1:31" x14ac:dyDescent="0.25">
      <c r="A600" t="s">
        <v>61</v>
      </c>
      <c r="B600" t="s">
        <v>80</v>
      </c>
      <c r="C600" t="s">
        <v>77</v>
      </c>
      <c r="D600" t="s">
        <v>82</v>
      </c>
      <c r="E600" t="s">
        <v>78</v>
      </c>
      <c r="F600" s="71">
        <v>44927</v>
      </c>
      <c r="G600">
        <v>293313.24</v>
      </c>
      <c r="H600">
        <v>8721719.9000000004</v>
      </c>
      <c r="I600">
        <v>26652649.25</v>
      </c>
    </row>
    <row r="601" spans="1:31" x14ac:dyDescent="0.25">
      <c r="A601" t="s">
        <v>61</v>
      </c>
      <c r="B601" t="s">
        <v>80</v>
      </c>
      <c r="C601" t="s">
        <v>77</v>
      </c>
      <c r="D601" t="s">
        <v>82</v>
      </c>
      <c r="E601" t="s">
        <v>78</v>
      </c>
      <c r="F601" s="71">
        <v>45292</v>
      </c>
      <c r="G601">
        <v>899361.62</v>
      </c>
      <c r="H601">
        <v>13232024.25</v>
      </c>
    </row>
    <row r="602" spans="1:31" x14ac:dyDescent="0.25">
      <c r="A602" t="s">
        <v>61</v>
      </c>
      <c r="B602" t="s">
        <v>80</v>
      </c>
      <c r="C602" t="s">
        <v>77</v>
      </c>
      <c r="D602" t="s">
        <v>82</v>
      </c>
      <c r="E602" t="s">
        <v>78</v>
      </c>
      <c r="F602" s="71">
        <v>45658</v>
      </c>
      <c r="G602">
        <v>1354884.84</v>
      </c>
    </row>
    <row r="603" spans="1:31" x14ac:dyDescent="0.25">
      <c r="A603" t="s">
        <v>62</v>
      </c>
      <c r="B603" t="s">
        <v>76</v>
      </c>
      <c r="C603" t="s">
        <v>77</v>
      </c>
      <c r="D603" t="s">
        <v>82</v>
      </c>
      <c r="E603" t="s">
        <v>78</v>
      </c>
      <c r="F603" s="71">
        <v>36892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25">
      <c r="A604" t="s">
        <v>62</v>
      </c>
      <c r="B604" t="s">
        <v>76</v>
      </c>
      <c r="C604" t="s">
        <v>77</v>
      </c>
      <c r="D604" t="s">
        <v>82</v>
      </c>
      <c r="E604" t="s">
        <v>78</v>
      </c>
      <c r="F604" s="71">
        <v>37257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1" x14ac:dyDescent="0.25">
      <c r="A605" t="s">
        <v>62</v>
      </c>
      <c r="B605" t="s">
        <v>76</v>
      </c>
      <c r="C605" t="s">
        <v>77</v>
      </c>
      <c r="D605" t="s">
        <v>82</v>
      </c>
      <c r="E605" t="s">
        <v>78</v>
      </c>
      <c r="F605" s="71">
        <v>37622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31" x14ac:dyDescent="0.25">
      <c r="A606" t="s">
        <v>62</v>
      </c>
      <c r="B606" t="s">
        <v>76</v>
      </c>
      <c r="C606" t="s">
        <v>77</v>
      </c>
      <c r="D606" t="s">
        <v>82</v>
      </c>
      <c r="E606" t="s">
        <v>78</v>
      </c>
      <c r="F606" s="71">
        <v>37987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31" x14ac:dyDescent="0.25">
      <c r="A607" t="s">
        <v>62</v>
      </c>
      <c r="B607" t="s">
        <v>76</v>
      </c>
      <c r="C607" t="s">
        <v>77</v>
      </c>
      <c r="D607" t="s">
        <v>82</v>
      </c>
      <c r="E607" t="s">
        <v>78</v>
      </c>
      <c r="F607" s="71">
        <v>38353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31" x14ac:dyDescent="0.25">
      <c r="A608" t="s">
        <v>62</v>
      </c>
      <c r="B608" t="s">
        <v>76</v>
      </c>
      <c r="C608" t="s">
        <v>77</v>
      </c>
      <c r="D608" t="s">
        <v>82</v>
      </c>
      <c r="E608" t="s">
        <v>78</v>
      </c>
      <c r="F608" s="71">
        <v>38718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5" x14ac:dyDescent="0.25">
      <c r="A609" t="s">
        <v>62</v>
      </c>
      <c r="B609" t="s">
        <v>76</v>
      </c>
      <c r="C609" t="s">
        <v>77</v>
      </c>
      <c r="D609" t="s">
        <v>82</v>
      </c>
      <c r="E609" t="s">
        <v>78</v>
      </c>
      <c r="F609" s="71">
        <v>39083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62</v>
      </c>
      <c r="B610" t="s">
        <v>76</v>
      </c>
      <c r="C610" t="s">
        <v>77</v>
      </c>
      <c r="D610" t="s">
        <v>82</v>
      </c>
      <c r="E610" t="s">
        <v>78</v>
      </c>
      <c r="F610" s="71">
        <v>39448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5" x14ac:dyDescent="0.25">
      <c r="A611" t="s">
        <v>62</v>
      </c>
      <c r="B611" t="s">
        <v>76</v>
      </c>
      <c r="C611" t="s">
        <v>77</v>
      </c>
      <c r="D611" t="s">
        <v>82</v>
      </c>
      <c r="E611" t="s">
        <v>78</v>
      </c>
      <c r="F611" s="71">
        <v>39814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5" x14ac:dyDescent="0.25">
      <c r="A612" t="s">
        <v>62</v>
      </c>
      <c r="B612" t="s">
        <v>76</v>
      </c>
      <c r="C612" t="s">
        <v>77</v>
      </c>
      <c r="D612" t="s">
        <v>82</v>
      </c>
      <c r="E612" t="s">
        <v>78</v>
      </c>
      <c r="F612" s="71">
        <v>40179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5" x14ac:dyDescent="0.25">
      <c r="A613" t="s">
        <v>62</v>
      </c>
      <c r="B613" t="s">
        <v>76</v>
      </c>
      <c r="C613" t="s">
        <v>77</v>
      </c>
      <c r="D613" t="s">
        <v>82</v>
      </c>
      <c r="E613" t="s">
        <v>78</v>
      </c>
      <c r="F613" s="71">
        <v>40544</v>
      </c>
      <c r="G613">
        <v>5599828</v>
      </c>
      <c r="H613">
        <v>5599828</v>
      </c>
      <c r="I613">
        <v>5599828</v>
      </c>
      <c r="J613">
        <v>5599828</v>
      </c>
      <c r="K613">
        <v>5599828</v>
      </c>
      <c r="L613">
        <v>5599828</v>
      </c>
      <c r="M613">
        <v>5599828</v>
      </c>
      <c r="N613">
        <v>5599828</v>
      </c>
      <c r="O613">
        <v>5599828</v>
      </c>
      <c r="P613">
        <v>5599828</v>
      </c>
      <c r="Q613">
        <v>5599828</v>
      </c>
      <c r="R613">
        <v>5599828</v>
      </c>
      <c r="S613">
        <v>5599828</v>
      </c>
      <c r="T613">
        <v>5599828</v>
      </c>
      <c r="U613">
        <v>5599828</v>
      </c>
    </row>
    <row r="614" spans="1:25" x14ac:dyDescent="0.25">
      <c r="A614" t="s">
        <v>62</v>
      </c>
      <c r="B614" t="s">
        <v>76</v>
      </c>
      <c r="C614" t="s">
        <v>77</v>
      </c>
      <c r="D614" t="s">
        <v>82</v>
      </c>
      <c r="E614" t="s">
        <v>78</v>
      </c>
      <c r="F614" s="71">
        <v>40909</v>
      </c>
      <c r="G614">
        <v>13658783.33</v>
      </c>
      <c r="H614">
        <v>13658783.33</v>
      </c>
      <c r="I614">
        <v>13658783.33</v>
      </c>
      <c r="J614">
        <v>13658783.33</v>
      </c>
      <c r="K614">
        <v>13658783.33</v>
      </c>
      <c r="L614">
        <v>13658783.33</v>
      </c>
      <c r="M614">
        <v>13658783.33</v>
      </c>
      <c r="N614">
        <v>13658783.33</v>
      </c>
      <c r="O614">
        <v>13658783.33</v>
      </c>
      <c r="P614">
        <v>13658783.33</v>
      </c>
      <c r="Q614">
        <v>13658783.33</v>
      </c>
      <c r="R614">
        <v>13658783.33</v>
      </c>
      <c r="S614">
        <v>13658783.33</v>
      </c>
      <c r="T614">
        <v>13658783.33</v>
      </c>
    </row>
    <row r="615" spans="1:25" x14ac:dyDescent="0.25">
      <c r="A615" t="s">
        <v>62</v>
      </c>
      <c r="B615" t="s">
        <v>76</v>
      </c>
      <c r="C615" t="s">
        <v>77</v>
      </c>
      <c r="D615" t="s">
        <v>82</v>
      </c>
      <c r="E615" t="s">
        <v>78</v>
      </c>
      <c r="F615" s="71">
        <v>41275</v>
      </c>
      <c r="G615">
        <v>15784147.7224</v>
      </c>
      <c r="H615">
        <v>15784147.7224</v>
      </c>
      <c r="I615">
        <v>15784147.7224</v>
      </c>
      <c r="J615">
        <v>15784147.7224</v>
      </c>
      <c r="K615">
        <v>15784147.7224</v>
      </c>
      <c r="L615">
        <v>15784147.7224</v>
      </c>
      <c r="M615">
        <v>15784147.7224</v>
      </c>
      <c r="N615">
        <v>15784147.7224</v>
      </c>
      <c r="O615">
        <v>15784147.7224</v>
      </c>
      <c r="P615">
        <v>15784147.7224</v>
      </c>
      <c r="Q615">
        <v>15784147.7224</v>
      </c>
      <c r="R615">
        <v>15784147.7224</v>
      </c>
      <c r="S615">
        <v>15784147.7224</v>
      </c>
    </row>
    <row r="616" spans="1:25" x14ac:dyDescent="0.25">
      <c r="A616" t="s">
        <v>62</v>
      </c>
      <c r="B616" t="s">
        <v>76</v>
      </c>
      <c r="C616" t="s">
        <v>77</v>
      </c>
      <c r="D616" t="s">
        <v>82</v>
      </c>
      <c r="E616" t="s">
        <v>78</v>
      </c>
      <c r="F616" s="71">
        <v>41640</v>
      </c>
      <c r="G616">
        <v>25262466.4976</v>
      </c>
      <c r="H616">
        <v>25262466.4976</v>
      </c>
      <c r="I616">
        <v>25262466.4976</v>
      </c>
      <c r="J616">
        <v>25262466.4976</v>
      </c>
      <c r="K616">
        <v>25262466.4976</v>
      </c>
      <c r="L616">
        <v>25262466.4976</v>
      </c>
      <c r="M616">
        <v>25262466.4976</v>
      </c>
      <c r="N616">
        <v>25262466.4976</v>
      </c>
      <c r="O616">
        <v>25262466.4976</v>
      </c>
      <c r="P616">
        <v>25262466.4976</v>
      </c>
      <c r="Q616">
        <v>25262466.4976</v>
      </c>
      <c r="R616">
        <v>25262466.4976</v>
      </c>
    </row>
    <row r="617" spans="1:25" x14ac:dyDescent="0.25">
      <c r="A617" t="s">
        <v>62</v>
      </c>
      <c r="B617" t="s">
        <v>76</v>
      </c>
      <c r="C617" t="s">
        <v>77</v>
      </c>
      <c r="D617" t="s">
        <v>82</v>
      </c>
      <c r="E617" t="s">
        <v>78</v>
      </c>
      <c r="F617" s="71">
        <v>42005</v>
      </c>
      <c r="G617">
        <v>42256078.799999997</v>
      </c>
      <c r="H617">
        <v>42256078.799999997</v>
      </c>
      <c r="I617">
        <v>42256078.799999997</v>
      </c>
      <c r="J617">
        <v>42256078.799999997</v>
      </c>
      <c r="K617">
        <v>42256078.799999997</v>
      </c>
      <c r="L617">
        <v>42256078.799999997</v>
      </c>
      <c r="M617">
        <v>42256078.799999997</v>
      </c>
      <c r="N617">
        <v>42256078.799999997</v>
      </c>
      <c r="O617">
        <v>42256078.799999997</v>
      </c>
      <c r="P617">
        <v>42256078.799999997</v>
      </c>
      <c r="Q617">
        <v>42256078.799999997</v>
      </c>
    </row>
    <row r="618" spans="1:25" x14ac:dyDescent="0.25">
      <c r="A618" t="s">
        <v>62</v>
      </c>
      <c r="B618" t="s">
        <v>76</v>
      </c>
      <c r="C618" t="s">
        <v>77</v>
      </c>
      <c r="D618" t="s">
        <v>82</v>
      </c>
      <c r="E618" t="s">
        <v>78</v>
      </c>
      <c r="F618" s="71">
        <v>42370</v>
      </c>
      <c r="G618">
        <v>52746314.679999992</v>
      </c>
      <c r="H618">
        <v>52746314.679999992</v>
      </c>
      <c r="I618">
        <v>52746314.679999992</v>
      </c>
      <c r="J618">
        <v>52746314.679999992</v>
      </c>
      <c r="K618">
        <v>52746314.679999992</v>
      </c>
      <c r="L618">
        <v>52746314.679999992</v>
      </c>
      <c r="M618">
        <v>52746314.679999992</v>
      </c>
      <c r="N618">
        <v>52746314.679999992</v>
      </c>
      <c r="O618">
        <v>52746314.679999992</v>
      </c>
      <c r="P618">
        <v>52746314.679999992</v>
      </c>
    </row>
    <row r="619" spans="1:25" x14ac:dyDescent="0.25">
      <c r="A619" t="s">
        <v>62</v>
      </c>
      <c r="B619" t="s">
        <v>76</v>
      </c>
      <c r="C619" t="s">
        <v>77</v>
      </c>
      <c r="D619" t="s">
        <v>82</v>
      </c>
      <c r="E619" t="s">
        <v>78</v>
      </c>
      <c r="F619" s="71">
        <v>42736</v>
      </c>
      <c r="G619">
        <v>55959254.159999996</v>
      </c>
      <c r="H619">
        <v>55959254.159999996</v>
      </c>
      <c r="I619">
        <v>55959254.159999996</v>
      </c>
      <c r="J619">
        <v>55959254.159999996</v>
      </c>
      <c r="K619">
        <v>55959254.159999996</v>
      </c>
      <c r="L619">
        <v>55959254.159999996</v>
      </c>
      <c r="M619">
        <v>55959254.159999996</v>
      </c>
      <c r="N619">
        <v>55959254.159999996</v>
      </c>
      <c r="O619">
        <v>55959254.159999996</v>
      </c>
    </row>
    <row r="620" spans="1:25" x14ac:dyDescent="0.25">
      <c r="A620" t="s">
        <v>62</v>
      </c>
      <c r="B620" t="s">
        <v>76</v>
      </c>
      <c r="C620" t="s">
        <v>77</v>
      </c>
      <c r="D620" t="s">
        <v>82</v>
      </c>
      <c r="E620" t="s">
        <v>78</v>
      </c>
      <c r="F620" s="71">
        <v>43101</v>
      </c>
      <c r="G620">
        <v>61755824.359999999</v>
      </c>
      <c r="H620">
        <v>61755824.359999999</v>
      </c>
      <c r="I620">
        <v>61755824.359999999</v>
      </c>
      <c r="J620">
        <v>61755824.359999999</v>
      </c>
      <c r="K620">
        <v>61755824.359999999</v>
      </c>
      <c r="L620">
        <v>61755824.359999999</v>
      </c>
      <c r="M620">
        <v>61755824.359999999</v>
      </c>
      <c r="N620">
        <v>61755824.359999999</v>
      </c>
    </row>
    <row r="621" spans="1:25" x14ac:dyDescent="0.25">
      <c r="A621" t="s">
        <v>62</v>
      </c>
      <c r="B621" t="s">
        <v>76</v>
      </c>
      <c r="C621" t="s">
        <v>77</v>
      </c>
      <c r="D621" t="s">
        <v>82</v>
      </c>
      <c r="E621" t="s">
        <v>78</v>
      </c>
      <c r="F621" s="71">
        <v>43466</v>
      </c>
      <c r="G621">
        <v>71065674.829999998</v>
      </c>
      <c r="H621">
        <v>71065674.829999998</v>
      </c>
      <c r="I621">
        <v>71065674.829999998</v>
      </c>
      <c r="J621">
        <v>71065674.829999998</v>
      </c>
      <c r="K621">
        <v>71065674.829999998</v>
      </c>
      <c r="L621">
        <v>71065674.829999998</v>
      </c>
      <c r="M621">
        <v>71065674.829999998</v>
      </c>
    </row>
    <row r="622" spans="1:25" x14ac:dyDescent="0.25">
      <c r="A622" t="s">
        <v>62</v>
      </c>
      <c r="B622" t="s">
        <v>76</v>
      </c>
      <c r="C622" t="s">
        <v>77</v>
      </c>
      <c r="D622" t="s">
        <v>82</v>
      </c>
      <c r="E622" t="s">
        <v>78</v>
      </c>
      <c r="F622" s="71">
        <v>43831</v>
      </c>
      <c r="G622">
        <v>95165111.090000018</v>
      </c>
      <c r="H622">
        <v>95165111.090000018</v>
      </c>
      <c r="I622">
        <v>95165111.090000018</v>
      </c>
      <c r="J622">
        <v>95165111.090000018</v>
      </c>
      <c r="K622">
        <v>95165111.090000018</v>
      </c>
      <c r="L622">
        <v>95165111.090000018</v>
      </c>
    </row>
    <row r="623" spans="1:25" x14ac:dyDescent="0.25">
      <c r="A623" t="s">
        <v>62</v>
      </c>
      <c r="B623" t="s">
        <v>76</v>
      </c>
      <c r="C623" t="s">
        <v>77</v>
      </c>
      <c r="D623" t="s">
        <v>82</v>
      </c>
      <c r="E623" t="s">
        <v>78</v>
      </c>
      <c r="F623" s="71">
        <v>44197</v>
      </c>
      <c r="G623">
        <v>115493274.26000001</v>
      </c>
      <c r="H623">
        <v>115493274.26000001</v>
      </c>
      <c r="I623">
        <v>115493274.26000001</v>
      </c>
      <c r="J623">
        <v>115493274.26000001</v>
      </c>
      <c r="K623">
        <v>115493274.26000001</v>
      </c>
    </row>
    <row r="624" spans="1:25" x14ac:dyDescent="0.25">
      <c r="A624" t="s">
        <v>62</v>
      </c>
      <c r="B624" t="s">
        <v>76</v>
      </c>
      <c r="C624" t="s">
        <v>77</v>
      </c>
      <c r="D624" t="s">
        <v>82</v>
      </c>
      <c r="E624" t="s">
        <v>78</v>
      </c>
      <c r="F624" s="71">
        <v>44562</v>
      </c>
      <c r="G624">
        <v>126708131.16</v>
      </c>
      <c r="H624">
        <v>126708131.16</v>
      </c>
      <c r="I624">
        <v>126708131.16</v>
      </c>
      <c r="J624">
        <v>126708131.16</v>
      </c>
    </row>
    <row r="625" spans="1:31" x14ac:dyDescent="0.25">
      <c r="A625" t="s">
        <v>62</v>
      </c>
      <c r="B625" t="s">
        <v>76</v>
      </c>
      <c r="C625" t="s">
        <v>77</v>
      </c>
      <c r="D625" t="s">
        <v>82</v>
      </c>
      <c r="E625" t="s">
        <v>78</v>
      </c>
      <c r="F625" s="71">
        <v>44927</v>
      </c>
      <c r="G625">
        <v>133843669.06999999</v>
      </c>
      <c r="H625">
        <v>133843669.06999999</v>
      </c>
      <c r="I625">
        <v>133843669.06999999</v>
      </c>
    </row>
    <row r="626" spans="1:31" x14ac:dyDescent="0.25">
      <c r="A626" t="s">
        <v>62</v>
      </c>
      <c r="B626" t="s">
        <v>76</v>
      </c>
      <c r="C626" t="s">
        <v>77</v>
      </c>
      <c r="D626" t="s">
        <v>82</v>
      </c>
      <c r="E626" t="s">
        <v>78</v>
      </c>
      <c r="F626" s="71">
        <v>45292</v>
      </c>
      <c r="G626">
        <v>136014990.50999999</v>
      </c>
      <c r="H626">
        <v>136014990.50999999</v>
      </c>
    </row>
    <row r="627" spans="1:31" x14ac:dyDescent="0.25">
      <c r="A627" t="s">
        <v>62</v>
      </c>
      <c r="B627" t="s">
        <v>76</v>
      </c>
      <c r="C627" t="s">
        <v>77</v>
      </c>
      <c r="D627" t="s">
        <v>82</v>
      </c>
      <c r="E627" t="s">
        <v>78</v>
      </c>
      <c r="F627" s="71">
        <v>45658</v>
      </c>
      <c r="G627">
        <v>58554583.790000007</v>
      </c>
    </row>
    <row r="628" spans="1:31" x14ac:dyDescent="0.25">
      <c r="A628" t="s">
        <v>62</v>
      </c>
      <c r="B628" t="s">
        <v>79</v>
      </c>
      <c r="C628" t="s">
        <v>77</v>
      </c>
      <c r="D628" t="s">
        <v>82</v>
      </c>
      <c r="E628" t="s">
        <v>78</v>
      </c>
      <c r="F628" s="71">
        <v>36892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25">
      <c r="A629" t="s">
        <v>62</v>
      </c>
      <c r="B629" t="s">
        <v>79</v>
      </c>
      <c r="C629" t="s">
        <v>77</v>
      </c>
      <c r="D629" t="s">
        <v>82</v>
      </c>
      <c r="E629" t="s">
        <v>78</v>
      </c>
      <c r="F629" s="71">
        <v>37257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1" x14ac:dyDescent="0.25">
      <c r="A630" t="s">
        <v>62</v>
      </c>
      <c r="B630" t="s">
        <v>79</v>
      </c>
      <c r="C630" t="s">
        <v>77</v>
      </c>
      <c r="D630" t="s">
        <v>82</v>
      </c>
      <c r="E630" t="s">
        <v>78</v>
      </c>
      <c r="F630" s="71">
        <v>37622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31" x14ac:dyDescent="0.25">
      <c r="A631" t="s">
        <v>62</v>
      </c>
      <c r="B631" t="s">
        <v>79</v>
      </c>
      <c r="C631" t="s">
        <v>77</v>
      </c>
      <c r="D631" t="s">
        <v>82</v>
      </c>
      <c r="E631" t="s">
        <v>78</v>
      </c>
      <c r="F631" s="71">
        <v>37987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31" x14ac:dyDescent="0.25">
      <c r="A632" t="s">
        <v>62</v>
      </c>
      <c r="B632" t="s">
        <v>79</v>
      </c>
      <c r="C632" t="s">
        <v>77</v>
      </c>
      <c r="D632" t="s">
        <v>82</v>
      </c>
      <c r="E632" t="s">
        <v>78</v>
      </c>
      <c r="F632" s="71">
        <v>38353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31" x14ac:dyDescent="0.25">
      <c r="A633" t="s">
        <v>62</v>
      </c>
      <c r="B633" t="s">
        <v>79</v>
      </c>
      <c r="C633" t="s">
        <v>77</v>
      </c>
      <c r="D633" t="s">
        <v>82</v>
      </c>
      <c r="E633" t="s">
        <v>78</v>
      </c>
      <c r="F633" s="71">
        <v>38718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31" x14ac:dyDescent="0.25">
      <c r="A634" t="s">
        <v>62</v>
      </c>
      <c r="B634" t="s">
        <v>79</v>
      </c>
      <c r="C634" t="s">
        <v>77</v>
      </c>
      <c r="D634" t="s">
        <v>82</v>
      </c>
      <c r="E634" t="s">
        <v>78</v>
      </c>
      <c r="F634" s="71">
        <v>39083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31" x14ac:dyDescent="0.25">
      <c r="A635" t="s">
        <v>62</v>
      </c>
      <c r="B635" t="s">
        <v>79</v>
      </c>
      <c r="C635" t="s">
        <v>77</v>
      </c>
      <c r="D635" t="s">
        <v>82</v>
      </c>
      <c r="E635" t="s">
        <v>78</v>
      </c>
      <c r="F635" s="71">
        <v>39448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31" x14ac:dyDescent="0.25">
      <c r="A636" t="s">
        <v>62</v>
      </c>
      <c r="B636" t="s">
        <v>79</v>
      </c>
      <c r="C636" t="s">
        <v>77</v>
      </c>
      <c r="D636" t="s">
        <v>82</v>
      </c>
      <c r="E636" t="s">
        <v>78</v>
      </c>
      <c r="F636" s="71">
        <v>39814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31" x14ac:dyDescent="0.25">
      <c r="A637" t="s">
        <v>62</v>
      </c>
      <c r="B637" t="s">
        <v>79</v>
      </c>
      <c r="C637" t="s">
        <v>77</v>
      </c>
      <c r="D637" t="s">
        <v>82</v>
      </c>
      <c r="E637" t="s">
        <v>78</v>
      </c>
      <c r="F637" s="71">
        <v>40179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31" x14ac:dyDescent="0.25">
      <c r="A638" t="s">
        <v>62</v>
      </c>
      <c r="B638" t="s">
        <v>79</v>
      </c>
      <c r="C638" t="s">
        <v>77</v>
      </c>
      <c r="D638" t="s">
        <v>82</v>
      </c>
      <c r="E638" t="s">
        <v>78</v>
      </c>
      <c r="F638" s="71">
        <v>40544</v>
      </c>
      <c r="G638">
        <v>0</v>
      </c>
      <c r="H638">
        <v>0</v>
      </c>
      <c r="I638">
        <v>0</v>
      </c>
      <c r="J638">
        <v>3284898.27</v>
      </c>
      <c r="K638">
        <v>4527838.42</v>
      </c>
      <c r="L638">
        <v>4583773.8499999996</v>
      </c>
      <c r="M638">
        <v>5003487.2699999996</v>
      </c>
      <c r="N638">
        <v>5333370.3599999994</v>
      </c>
      <c r="O638">
        <v>5471450.3700000001</v>
      </c>
      <c r="P638">
        <v>5529553.1899999985</v>
      </c>
      <c r="Q638">
        <v>5678447.5999999996</v>
      </c>
      <c r="R638">
        <v>5484614.7699999996</v>
      </c>
      <c r="S638">
        <v>5484914.7699999996</v>
      </c>
      <c r="T638">
        <v>5421281.8799999999</v>
      </c>
      <c r="U638">
        <v>5421279.8799999999</v>
      </c>
    </row>
    <row r="639" spans="1:31" x14ac:dyDescent="0.25">
      <c r="A639" t="s">
        <v>62</v>
      </c>
      <c r="B639" t="s">
        <v>79</v>
      </c>
      <c r="C639" t="s">
        <v>77</v>
      </c>
      <c r="D639" t="s">
        <v>82</v>
      </c>
      <c r="E639" t="s">
        <v>78</v>
      </c>
      <c r="F639" s="71">
        <v>40909</v>
      </c>
      <c r="G639">
        <v>0</v>
      </c>
      <c r="H639">
        <v>0</v>
      </c>
      <c r="I639">
        <v>2764646.41</v>
      </c>
      <c r="J639">
        <v>3759125.19</v>
      </c>
      <c r="K639">
        <v>4666106.9399999985</v>
      </c>
      <c r="L639">
        <v>4946374.2899999991</v>
      </c>
      <c r="M639">
        <v>4989827.459999999</v>
      </c>
      <c r="N639">
        <v>7713467.5999999996</v>
      </c>
      <c r="O639">
        <v>8774920.7599999998</v>
      </c>
      <c r="P639">
        <v>9616210.1500000004</v>
      </c>
      <c r="Q639">
        <v>10042568.640000001</v>
      </c>
      <c r="R639">
        <v>10023380.060000001</v>
      </c>
      <c r="S639">
        <v>9974845.6599999983</v>
      </c>
      <c r="T639">
        <v>9974845.660000002</v>
      </c>
    </row>
    <row r="640" spans="1:31" x14ac:dyDescent="0.25">
      <c r="A640" t="s">
        <v>62</v>
      </c>
      <c r="B640" t="s">
        <v>79</v>
      </c>
      <c r="C640" t="s">
        <v>77</v>
      </c>
      <c r="D640" t="s">
        <v>82</v>
      </c>
      <c r="E640" t="s">
        <v>78</v>
      </c>
      <c r="F640" s="71">
        <v>41275</v>
      </c>
      <c r="G640">
        <v>0</v>
      </c>
      <c r="H640">
        <v>2300666.15</v>
      </c>
      <c r="I640">
        <v>3070513.29</v>
      </c>
      <c r="J640">
        <v>4325801.62</v>
      </c>
      <c r="K640">
        <v>3976779.31</v>
      </c>
      <c r="L640">
        <v>4045597.16</v>
      </c>
      <c r="M640">
        <v>6455917.0499999998</v>
      </c>
      <c r="N640">
        <v>6975983.0580000002</v>
      </c>
      <c r="O640">
        <v>7830709.1879999992</v>
      </c>
      <c r="P640">
        <v>6966923.8380000005</v>
      </c>
      <c r="Q640">
        <v>6911858.8880000003</v>
      </c>
      <c r="R640">
        <v>6954099.6879999992</v>
      </c>
      <c r="S640">
        <v>7086967.9680000003</v>
      </c>
    </row>
    <row r="641" spans="1:31" x14ac:dyDescent="0.25">
      <c r="A641" t="s">
        <v>62</v>
      </c>
      <c r="B641" t="s">
        <v>79</v>
      </c>
      <c r="C641" t="s">
        <v>77</v>
      </c>
      <c r="D641" t="s">
        <v>82</v>
      </c>
      <c r="E641" t="s">
        <v>78</v>
      </c>
      <c r="F641" s="71">
        <v>41640</v>
      </c>
      <c r="G641">
        <v>415376.8</v>
      </c>
      <c r="H641">
        <v>4077809.85</v>
      </c>
      <c r="I641">
        <v>9009342.8699999992</v>
      </c>
      <c r="J641">
        <v>10871549.84</v>
      </c>
      <c r="K641">
        <v>13070844.34</v>
      </c>
      <c r="L641">
        <v>14577175.550000001</v>
      </c>
      <c r="M641">
        <v>16629302.660800001</v>
      </c>
      <c r="N641">
        <v>17339862.477000002</v>
      </c>
      <c r="O641">
        <v>17710314.870000001</v>
      </c>
      <c r="P641">
        <v>22046226.760000002</v>
      </c>
      <c r="Q641">
        <v>22433963.852000009</v>
      </c>
      <c r="R641">
        <v>22673514.011999991</v>
      </c>
    </row>
    <row r="642" spans="1:31" x14ac:dyDescent="0.25">
      <c r="A642" t="s">
        <v>62</v>
      </c>
      <c r="B642" t="s">
        <v>79</v>
      </c>
      <c r="C642" t="s">
        <v>77</v>
      </c>
      <c r="D642" t="s">
        <v>82</v>
      </c>
      <c r="E642" t="s">
        <v>78</v>
      </c>
      <c r="F642" s="71">
        <v>42005</v>
      </c>
      <c r="G642">
        <v>380276.24</v>
      </c>
      <c r="H642">
        <v>4928003.0299999993</v>
      </c>
      <c r="I642">
        <v>8578646.2100000009</v>
      </c>
      <c r="J642">
        <v>11912640.27</v>
      </c>
      <c r="K642">
        <v>15602901.77</v>
      </c>
      <c r="L642">
        <v>17753509.267000001</v>
      </c>
      <c r="M642">
        <v>19526497.416000001</v>
      </c>
      <c r="N642">
        <v>20241517.125999998</v>
      </c>
      <c r="O642">
        <v>20294257.399999999</v>
      </c>
      <c r="P642">
        <v>20992628.121000011</v>
      </c>
      <c r="Q642">
        <v>21014575.706999999</v>
      </c>
    </row>
    <row r="643" spans="1:31" x14ac:dyDescent="0.25">
      <c r="A643" t="s">
        <v>62</v>
      </c>
      <c r="B643" t="s">
        <v>79</v>
      </c>
      <c r="C643" t="s">
        <v>77</v>
      </c>
      <c r="D643" t="s">
        <v>82</v>
      </c>
      <c r="E643" t="s">
        <v>78</v>
      </c>
      <c r="F643" s="71">
        <v>42370</v>
      </c>
      <c r="G643">
        <v>556320.31000000006</v>
      </c>
      <c r="H643">
        <v>9247528.370000001</v>
      </c>
      <c r="I643">
        <v>13505524.98</v>
      </c>
      <c r="J643">
        <v>20646609.219999999</v>
      </c>
      <c r="K643">
        <v>23968962.478</v>
      </c>
      <c r="L643">
        <v>26260710.879000001</v>
      </c>
      <c r="M643">
        <v>27395584.983259998</v>
      </c>
      <c r="N643">
        <v>29098489.992070001</v>
      </c>
      <c r="O643">
        <v>29738307.11796999</v>
      </c>
      <c r="P643">
        <v>30053519.973653331</v>
      </c>
    </row>
    <row r="644" spans="1:31" x14ac:dyDescent="0.25">
      <c r="A644" t="s">
        <v>62</v>
      </c>
      <c r="B644" t="s">
        <v>79</v>
      </c>
      <c r="C644" t="s">
        <v>77</v>
      </c>
      <c r="D644" t="s">
        <v>82</v>
      </c>
      <c r="E644" t="s">
        <v>78</v>
      </c>
      <c r="F644" s="71">
        <v>42736</v>
      </c>
      <c r="G644">
        <v>560801.29</v>
      </c>
      <c r="H644">
        <v>7049628.8400000008</v>
      </c>
      <c r="I644">
        <v>12474198.529999999</v>
      </c>
      <c r="J644">
        <v>18785164.584709998</v>
      </c>
      <c r="K644">
        <v>24580094.962230161</v>
      </c>
      <c r="L644">
        <v>26528497.93398086</v>
      </c>
      <c r="M644">
        <v>27715395.89328612</v>
      </c>
      <c r="N644">
        <v>28767086.537642781</v>
      </c>
      <c r="O644">
        <v>29562056.215408389</v>
      </c>
    </row>
    <row r="645" spans="1:31" x14ac:dyDescent="0.25">
      <c r="A645" t="s">
        <v>62</v>
      </c>
      <c r="B645" t="s">
        <v>79</v>
      </c>
      <c r="C645" t="s">
        <v>77</v>
      </c>
      <c r="D645" t="s">
        <v>82</v>
      </c>
      <c r="E645" t="s">
        <v>78</v>
      </c>
      <c r="F645" s="71">
        <v>43101</v>
      </c>
      <c r="G645">
        <v>2058772.86</v>
      </c>
      <c r="H645">
        <v>9369801.3100000005</v>
      </c>
      <c r="I645">
        <v>22602164.121300001</v>
      </c>
      <c r="J645">
        <v>29177394.223199058</v>
      </c>
      <c r="K645">
        <v>34946079.385417514</v>
      </c>
      <c r="L645">
        <v>38471854.103229322</v>
      </c>
      <c r="M645">
        <v>42077951.043567456</v>
      </c>
      <c r="N645">
        <v>46606935.677793883</v>
      </c>
    </row>
    <row r="646" spans="1:31" x14ac:dyDescent="0.25">
      <c r="A646" t="s">
        <v>62</v>
      </c>
      <c r="B646" t="s">
        <v>79</v>
      </c>
      <c r="C646" t="s">
        <v>77</v>
      </c>
      <c r="D646" t="s">
        <v>82</v>
      </c>
      <c r="E646" t="s">
        <v>78</v>
      </c>
      <c r="F646" s="71">
        <v>43466</v>
      </c>
      <c r="G646">
        <v>602647.37</v>
      </c>
      <c r="H646">
        <v>11097092.055035001</v>
      </c>
      <c r="I646">
        <v>23430312.75603044</v>
      </c>
      <c r="J646">
        <v>32445294.593003292</v>
      </c>
      <c r="K646">
        <v>41198049.228651859</v>
      </c>
      <c r="L646">
        <v>47247398.29729709</v>
      </c>
      <c r="M646">
        <v>49862823.701867998</v>
      </c>
    </row>
    <row r="647" spans="1:31" x14ac:dyDescent="0.25">
      <c r="A647" t="s">
        <v>62</v>
      </c>
      <c r="B647" t="s">
        <v>79</v>
      </c>
      <c r="C647" t="s">
        <v>77</v>
      </c>
      <c r="D647" t="s">
        <v>82</v>
      </c>
      <c r="E647" t="s">
        <v>78</v>
      </c>
      <c r="F647" s="71">
        <v>43831</v>
      </c>
      <c r="G647">
        <v>576031.48</v>
      </c>
      <c r="H647">
        <v>7509013.8750398885</v>
      </c>
      <c r="I647">
        <v>14727407.142088519</v>
      </c>
      <c r="J647">
        <v>17439849.344737049</v>
      </c>
      <c r="K647">
        <v>26589591.383476939</v>
      </c>
      <c r="L647">
        <v>30871109.318176221</v>
      </c>
    </row>
    <row r="648" spans="1:31" x14ac:dyDescent="0.25">
      <c r="A648" t="s">
        <v>62</v>
      </c>
      <c r="B648" t="s">
        <v>79</v>
      </c>
      <c r="C648" t="s">
        <v>77</v>
      </c>
      <c r="D648" t="s">
        <v>82</v>
      </c>
      <c r="E648" t="s">
        <v>78</v>
      </c>
      <c r="F648" s="71">
        <v>44197</v>
      </c>
      <c r="G648">
        <v>2153383.52</v>
      </c>
      <c r="H648">
        <v>11595344.341247169</v>
      </c>
      <c r="I648">
        <v>17491714.956903469</v>
      </c>
      <c r="J648">
        <v>26517290.370813079</v>
      </c>
      <c r="K648">
        <v>31558793.902007818</v>
      </c>
    </row>
    <row r="649" spans="1:31" x14ac:dyDescent="0.25">
      <c r="A649" t="s">
        <v>62</v>
      </c>
      <c r="B649" t="s">
        <v>79</v>
      </c>
      <c r="C649" t="s">
        <v>77</v>
      </c>
      <c r="D649" t="s">
        <v>82</v>
      </c>
      <c r="E649" t="s">
        <v>78</v>
      </c>
      <c r="F649" s="71">
        <v>44562</v>
      </c>
      <c r="G649">
        <v>334070.52333333332</v>
      </c>
      <c r="H649">
        <v>9699351.5538282245</v>
      </c>
      <c r="I649">
        <v>21171257.781700939</v>
      </c>
      <c r="J649">
        <v>32052863.007637531</v>
      </c>
    </row>
    <row r="650" spans="1:31" x14ac:dyDescent="0.25">
      <c r="A650" t="s">
        <v>62</v>
      </c>
      <c r="B650" t="s">
        <v>79</v>
      </c>
      <c r="C650" t="s">
        <v>77</v>
      </c>
      <c r="D650" t="s">
        <v>82</v>
      </c>
      <c r="E650" t="s">
        <v>78</v>
      </c>
      <c r="F650" s="71">
        <v>44927</v>
      </c>
      <c r="G650">
        <v>1365609.765970048</v>
      </c>
      <c r="H650">
        <v>11016174.424710819</v>
      </c>
      <c r="I650">
        <v>26037378.8775829</v>
      </c>
    </row>
    <row r="651" spans="1:31" x14ac:dyDescent="0.25">
      <c r="A651" t="s">
        <v>62</v>
      </c>
      <c r="B651" t="s">
        <v>79</v>
      </c>
      <c r="C651" t="s">
        <v>77</v>
      </c>
      <c r="D651" t="s">
        <v>82</v>
      </c>
      <c r="E651" t="s">
        <v>78</v>
      </c>
      <c r="F651" s="71">
        <v>45292</v>
      </c>
      <c r="G651">
        <v>1218736.8958204039</v>
      </c>
      <c r="H651">
        <v>11058555.035307091</v>
      </c>
    </row>
    <row r="652" spans="1:31" x14ac:dyDescent="0.25">
      <c r="A652" t="s">
        <v>62</v>
      </c>
      <c r="B652" t="s">
        <v>79</v>
      </c>
      <c r="C652" t="s">
        <v>77</v>
      </c>
      <c r="D652" t="s">
        <v>82</v>
      </c>
      <c r="E652" t="s">
        <v>78</v>
      </c>
      <c r="F652" s="71">
        <v>45658</v>
      </c>
      <c r="G652">
        <v>1086945.357614879</v>
      </c>
    </row>
    <row r="653" spans="1:31" x14ac:dyDescent="0.25">
      <c r="A653" t="s">
        <v>62</v>
      </c>
      <c r="B653" t="s">
        <v>80</v>
      </c>
      <c r="C653" t="s">
        <v>77</v>
      </c>
      <c r="D653" t="s">
        <v>82</v>
      </c>
      <c r="E653" t="s">
        <v>78</v>
      </c>
      <c r="F653" s="71">
        <v>36892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25">
      <c r="A654" t="s">
        <v>62</v>
      </c>
      <c r="B654" t="s">
        <v>80</v>
      </c>
      <c r="C654" t="s">
        <v>77</v>
      </c>
      <c r="D654" t="s">
        <v>82</v>
      </c>
      <c r="E654" t="s">
        <v>78</v>
      </c>
      <c r="F654" s="71">
        <v>37257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1" x14ac:dyDescent="0.25">
      <c r="A655" t="s">
        <v>62</v>
      </c>
      <c r="B655" t="s">
        <v>80</v>
      </c>
      <c r="C655" t="s">
        <v>77</v>
      </c>
      <c r="D655" t="s">
        <v>82</v>
      </c>
      <c r="E655" t="s">
        <v>78</v>
      </c>
      <c r="F655" s="71">
        <v>37622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31" x14ac:dyDescent="0.25">
      <c r="A656" t="s">
        <v>62</v>
      </c>
      <c r="B656" t="s">
        <v>80</v>
      </c>
      <c r="C656" t="s">
        <v>77</v>
      </c>
      <c r="D656" t="s">
        <v>82</v>
      </c>
      <c r="E656" t="s">
        <v>78</v>
      </c>
      <c r="F656" s="71">
        <v>37987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7" x14ac:dyDescent="0.25">
      <c r="A657" t="s">
        <v>62</v>
      </c>
      <c r="B657" t="s">
        <v>80</v>
      </c>
      <c r="C657" t="s">
        <v>77</v>
      </c>
      <c r="D657" t="s">
        <v>82</v>
      </c>
      <c r="E657" t="s">
        <v>78</v>
      </c>
      <c r="F657" s="71">
        <v>38353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 t="s">
        <v>62</v>
      </c>
      <c r="B658" t="s">
        <v>80</v>
      </c>
      <c r="C658" t="s">
        <v>77</v>
      </c>
      <c r="D658" t="s">
        <v>82</v>
      </c>
      <c r="E658" t="s">
        <v>78</v>
      </c>
      <c r="F658" s="71">
        <v>38718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7" x14ac:dyDescent="0.25">
      <c r="A659" t="s">
        <v>62</v>
      </c>
      <c r="B659" t="s">
        <v>80</v>
      </c>
      <c r="C659" t="s">
        <v>77</v>
      </c>
      <c r="D659" t="s">
        <v>82</v>
      </c>
      <c r="E659" t="s">
        <v>78</v>
      </c>
      <c r="F659" s="71">
        <v>39083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7" x14ac:dyDescent="0.25">
      <c r="A660" t="s">
        <v>62</v>
      </c>
      <c r="B660" t="s">
        <v>80</v>
      </c>
      <c r="C660" t="s">
        <v>77</v>
      </c>
      <c r="D660" t="s">
        <v>82</v>
      </c>
      <c r="E660" t="s">
        <v>78</v>
      </c>
      <c r="F660" s="71">
        <v>39448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7" x14ac:dyDescent="0.25">
      <c r="A661" t="s">
        <v>62</v>
      </c>
      <c r="B661" t="s">
        <v>80</v>
      </c>
      <c r="C661" t="s">
        <v>77</v>
      </c>
      <c r="D661" t="s">
        <v>82</v>
      </c>
      <c r="E661" t="s">
        <v>78</v>
      </c>
      <c r="F661" s="71">
        <v>39814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7" x14ac:dyDescent="0.25">
      <c r="A662" t="s">
        <v>62</v>
      </c>
      <c r="B662" t="s">
        <v>80</v>
      </c>
      <c r="C662" t="s">
        <v>77</v>
      </c>
      <c r="D662" t="s">
        <v>82</v>
      </c>
      <c r="E662" t="s">
        <v>78</v>
      </c>
      <c r="F662" s="71">
        <v>40179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7" x14ac:dyDescent="0.25">
      <c r="A663" t="s">
        <v>62</v>
      </c>
      <c r="B663" t="s">
        <v>80</v>
      </c>
      <c r="C663" t="s">
        <v>77</v>
      </c>
      <c r="D663" t="s">
        <v>82</v>
      </c>
      <c r="E663" t="s">
        <v>78</v>
      </c>
      <c r="F663" s="71">
        <v>40544</v>
      </c>
      <c r="G663">
        <v>0</v>
      </c>
      <c r="H663">
        <v>0</v>
      </c>
      <c r="I663">
        <v>0</v>
      </c>
      <c r="J663">
        <v>2097654.2599999998</v>
      </c>
      <c r="K663">
        <v>3488818.2</v>
      </c>
      <c r="L663">
        <v>3987127.54</v>
      </c>
      <c r="M663">
        <v>4322036.24</v>
      </c>
      <c r="N663">
        <v>5320349.34</v>
      </c>
      <c r="O663">
        <v>5368246.1599999992</v>
      </c>
      <c r="P663">
        <v>5378283.0499999998</v>
      </c>
      <c r="Q663">
        <v>5496100.4199999999</v>
      </c>
      <c r="R663">
        <v>5400840.8099999996</v>
      </c>
      <c r="S663">
        <v>5412646.7300000004</v>
      </c>
      <c r="T663">
        <v>5429461.2400000002</v>
      </c>
      <c r="U663">
        <v>5429461.2399999993</v>
      </c>
    </row>
    <row r="664" spans="1:27" x14ac:dyDescent="0.25">
      <c r="A664" t="s">
        <v>62</v>
      </c>
      <c r="B664" t="s">
        <v>80</v>
      </c>
      <c r="C664" t="s">
        <v>77</v>
      </c>
      <c r="D664" t="s">
        <v>82</v>
      </c>
      <c r="E664" t="s">
        <v>78</v>
      </c>
      <c r="F664" s="71">
        <v>40909</v>
      </c>
      <c r="G664">
        <v>0</v>
      </c>
      <c r="H664">
        <v>0</v>
      </c>
      <c r="I664">
        <v>1403562.34</v>
      </c>
      <c r="J664">
        <v>2280310.5299999998</v>
      </c>
      <c r="K664">
        <v>3014708.939999999</v>
      </c>
      <c r="L664">
        <v>3983355.48</v>
      </c>
      <c r="M664">
        <v>4365387</v>
      </c>
      <c r="N664">
        <v>5015965.2300000004</v>
      </c>
      <c r="O664">
        <v>7675468.1199999992</v>
      </c>
      <c r="P664">
        <v>7883315.9399999985</v>
      </c>
      <c r="Q664">
        <v>9259588.1999999993</v>
      </c>
      <c r="R664">
        <v>9274691.1600000001</v>
      </c>
      <c r="S664">
        <v>9983894.7199999988</v>
      </c>
      <c r="T664">
        <v>9991886.870000001</v>
      </c>
    </row>
    <row r="665" spans="1:27" x14ac:dyDescent="0.25">
      <c r="A665" t="s">
        <v>62</v>
      </c>
      <c r="B665" t="s">
        <v>80</v>
      </c>
      <c r="C665" t="s">
        <v>77</v>
      </c>
      <c r="D665" t="s">
        <v>82</v>
      </c>
      <c r="E665" t="s">
        <v>78</v>
      </c>
      <c r="F665" s="71">
        <v>41275</v>
      </c>
      <c r="G665">
        <v>0</v>
      </c>
      <c r="H665">
        <v>492546.8</v>
      </c>
      <c r="I665">
        <v>866148.22000000009</v>
      </c>
      <c r="J665">
        <v>1240460.21</v>
      </c>
      <c r="K665">
        <v>2628733.2999999998</v>
      </c>
      <c r="L665">
        <v>2873041.07</v>
      </c>
      <c r="M665">
        <v>3827803.14</v>
      </c>
      <c r="N665">
        <v>4690517.8380000005</v>
      </c>
      <c r="O665">
        <v>5017979.0479999986</v>
      </c>
      <c r="P665">
        <v>5702403.1780000003</v>
      </c>
      <c r="Q665">
        <v>5716599.0479999986</v>
      </c>
      <c r="R665">
        <v>6431583.9179999996</v>
      </c>
      <c r="S665">
        <v>6457901.5880000005</v>
      </c>
    </row>
    <row r="666" spans="1:27" x14ac:dyDescent="0.25">
      <c r="A666" t="s">
        <v>62</v>
      </c>
      <c r="B666" t="s">
        <v>80</v>
      </c>
      <c r="C666" t="s">
        <v>77</v>
      </c>
      <c r="D666" t="s">
        <v>82</v>
      </c>
      <c r="E666" t="s">
        <v>78</v>
      </c>
      <c r="F666" s="71">
        <v>41640</v>
      </c>
      <c r="G666">
        <v>24240.71</v>
      </c>
      <c r="H666">
        <v>807824.29</v>
      </c>
      <c r="I666">
        <v>2407867.1800000002</v>
      </c>
      <c r="J666">
        <v>3879821.43</v>
      </c>
      <c r="K666">
        <v>6781889.7400000002</v>
      </c>
      <c r="L666">
        <v>9303568.7600000016</v>
      </c>
      <c r="M666">
        <v>11168860.7708</v>
      </c>
      <c r="N666">
        <v>12275620.939999999</v>
      </c>
      <c r="O666">
        <v>12759126.283</v>
      </c>
      <c r="P666">
        <v>20140461.019000001</v>
      </c>
      <c r="Q666">
        <v>21697703.458000019</v>
      </c>
      <c r="R666">
        <v>21765846.973999999</v>
      </c>
    </row>
    <row r="667" spans="1:27" x14ac:dyDescent="0.25">
      <c r="A667" t="s">
        <v>62</v>
      </c>
      <c r="B667" t="s">
        <v>80</v>
      </c>
      <c r="C667" t="s">
        <v>77</v>
      </c>
      <c r="D667" t="s">
        <v>82</v>
      </c>
      <c r="E667" t="s">
        <v>78</v>
      </c>
      <c r="F667" s="71">
        <v>42005</v>
      </c>
      <c r="G667">
        <v>18468.43</v>
      </c>
      <c r="H667">
        <v>1156388.29</v>
      </c>
      <c r="I667">
        <v>2976718.43</v>
      </c>
      <c r="J667">
        <v>5334617.7699999996</v>
      </c>
      <c r="K667">
        <v>8393009.2799999993</v>
      </c>
      <c r="L667">
        <v>10912905.893999999</v>
      </c>
      <c r="M667">
        <v>12749120.559</v>
      </c>
      <c r="N667">
        <v>15332491.857999999</v>
      </c>
      <c r="O667">
        <v>16568962.140000001</v>
      </c>
      <c r="P667">
        <v>18149680.34300001</v>
      </c>
      <c r="Q667">
        <v>19076506.668000009</v>
      </c>
    </row>
    <row r="668" spans="1:27" x14ac:dyDescent="0.25">
      <c r="A668" t="s">
        <v>62</v>
      </c>
      <c r="B668" t="s">
        <v>80</v>
      </c>
      <c r="C668" t="s">
        <v>77</v>
      </c>
      <c r="D668" t="s">
        <v>82</v>
      </c>
      <c r="E668" t="s">
        <v>78</v>
      </c>
      <c r="F668" s="71">
        <v>42370</v>
      </c>
      <c r="G668">
        <v>229892.27</v>
      </c>
      <c r="H668">
        <v>3558158.32</v>
      </c>
      <c r="I668">
        <v>7032425.7699999996</v>
      </c>
      <c r="J668">
        <v>10811056.619999999</v>
      </c>
      <c r="K668">
        <v>14218988.6</v>
      </c>
      <c r="L668">
        <v>16751667.613</v>
      </c>
      <c r="M668">
        <v>20870044.339140002</v>
      </c>
      <c r="N668">
        <v>23529322.001419999</v>
      </c>
      <c r="O668">
        <v>25324288.20905</v>
      </c>
      <c r="P668">
        <v>26060770.391261999</v>
      </c>
    </row>
    <row r="669" spans="1:27" x14ac:dyDescent="0.25">
      <c r="A669" t="s">
        <v>62</v>
      </c>
      <c r="B669" t="s">
        <v>80</v>
      </c>
      <c r="C669" t="s">
        <v>77</v>
      </c>
      <c r="D669" t="s">
        <v>82</v>
      </c>
      <c r="E669" t="s">
        <v>78</v>
      </c>
      <c r="F669" s="71">
        <v>42736</v>
      </c>
      <c r="G669">
        <v>64846.80000000001</v>
      </c>
      <c r="H669">
        <v>1835056.2</v>
      </c>
      <c r="I669">
        <v>4796661.32</v>
      </c>
      <c r="J669">
        <v>8627204.0289999992</v>
      </c>
      <c r="K669">
        <v>14066140.986253779</v>
      </c>
      <c r="L669">
        <v>17945585.100874308</v>
      </c>
      <c r="M669">
        <v>21325395.33546726</v>
      </c>
      <c r="N669">
        <v>22874860.589541901</v>
      </c>
      <c r="O669">
        <v>24791393.0068352</v>
      </c>
    </row>
    <row r="670" spans="1:27" x14ac:dyDescent="0.25">
      <c r="A670" t="s">
        <v>62</v>
      </c>
      <c r="B670" t="s">
        <v>80</v>
      </c>
      <c r="C670" t="s">
        <v>77</v>
      </c>
      <c r="D670" t="s">
        <v>82</v>
      </c>
      <c r="E670" t="s">
        <v>78</v>
      </c>
      <c r="F670" s="71">
        <v>43101</v>
      </c>
      <c r="G670">
        <v>244219.28</v>
      </c>
      <c r="H670">
        <v>3175633.78</v>
      </c>
      <c r="I670">
        <v>8709322.6499999985</v>
      </c>
      <c r="J670">
        <v>14031905.5044415</v>
      </c>
      <c r="K670">
        <v>19681003.30933791</v>
      </c>
      <c r="L670">
        <v>23759424.783330511</v>
      </c>
      <c r="M670">
        <v>29767005.208704501</v>
      </c>
      <c r="N670">
        <v>35644188.44538714</v>
      </c>
    </row>
    <row r="671" spans="1:27" x14ac:dyDescent="0.25">
      <c r="A671" t="s">
        <v>62</v>
      </c>
      <c r="B671" t="s">
        <v>80</v>
      </c>
      <c r="C671" t="s">
        <v>77</v>
      </c>
      <c r="D671" t="s">
        <v>82</v>
      </c>
      <c r="E671" t="s">
        <v>78</v>
      </c>
      <c r="F671" s="71">
        <v>43466</v>
      </c>
      <c r="G671">
        <v>78033.709999999992</v>
      </c>
      <c r="H671">
        <v>1970955.07</v>
      </c>
      <c r="I671">
        <v>5814997.816369839</v>
      </c>
      <c r="J671">
        <v>14140429.174988421</v>
      </c>
      <c r="K671">
        <v>20323465.01158062</v>
      </c>
      <c r="L671">
        <v>30074371.828737091</v>
      </c>
      <c r="M671">
        <v>34883749.49545221</v>
      </c>
    </row>
    <row r="672" spans="1:27" x14ac:dyDescent="0.25">
      <c r="A672" t="s">
        <v>62</v>
      </c>
      <c r="B672" t="s">
        <v>80</v>
      </c>
      <c r="C672" t="s">
        <v>77</v>
      </c>
      <c r="D672" t="s">
        <v>82</v>
      </c>
      <c r="E672" t="s">
        <v>78</v>
      </c>
      <c r="F672" s="71">
        <v>43831</v>
      </c>
      <c r="G672">
        <v>46690.259999999987</v>
      </c>
      <c r="H672">
        <v>2692390.5081160949</v>
      </c>
      <c r="I672">
        <v>6376573.6754089538</v>
      </c>
      <c r="J672">
        <v>8509538.5334392879</v>
      </c>
      <c r="K672">
        <v>16829803.521125801</v>
      </c>
      <c r="L672">
        <v>20746076.749834061</v>
      </c>
    </row>
    <row r="673" spans="1:31" x14ac:dyDescent="0.25">
      <c r="A673" t="s">
        <v>62</v>
      </c>
      <c r="B673" t="s">
        <v>80</v>
      </c>
      <c r="C673" t="s">
        <v>77</v>
      </c>
      <c r="D673" t="s">
        <v>82</v>
      </c>
      <c r="E673" t="s">
        <v>78</v>
      </c>
      <c r="F673" s="71">
        <v>44197</v>
      </c>
      <c r="G673">
        <v>783711.03</v>
      </c>
      <c r="H673">
        <v>4383348.7777653681</v>
      </c>
      <c r="I673">
        <v>6344936.3384551387</v>
      </c>
      <c r="J673">
        <v>9987335.821401218</v>
      </c>
      <c r="K673">
        <v>15358040.67191186</v>
      </c>
    </row>
    <row r="674" spans="1:31" x14ac:dyDescent="0.25">
      <c r="A674" t="s">
        <v>62</v>
      </c>
      <c r="B674" t="s">
        <v>80</v>
      </c>
      <c r="C674" t="s">
        <v>77</v>
      </c>
      <c r="D674" t="s">
        <v>82</v>
      </c>
      <c r="E674" t="s">
        <v>78</v>
      </c>
      <c r="F674" s="71">
        <v>44562</v>
      </c>
      <c r="G674">
        <v>14587.38</v>
      </c>
      <c r="H674">
        <v>2537409.659768308</v>
      </c>
      <c r="I674">
        <v>7388851.4547722023</v>
      </c>
      <c r="J674">
        <v>15454608.57290704</v>
      </c>
    </row>
    <row r="675" spans="1:31" x14ac:dyDescent="0.25">
      <c r="A675" t="s">
        <v>62</v>
      </c>
      <c r="B675" t="s">
        <v>80</v>
      </c>
      <c r="C675" t="s">
        <v>77</v>
      </c>
      <c r="D675" t="s">
        <v>82</v>
      </c>
      <c r="E675" t="s">
        <v>78</v>
      </c>
      <c r="F675" s="71">
        <v>44927</v>
      </c>
      <c r="G675">
        <v>13062.81</v>
      </c>
      <c r="H675">
        <v>2692449.7310710568</v>
      </c>
      <c r="I675">
        <v>8102480.0057471972</v>
      </c>
    </row>
    <row r="676" spans="1:31" x14ac:dyDescent="0.25">
      <c r="A676" t="s">
        <v>62</v>
      </c>
      <c r="B676" t="s">
        <v>80</v>
      </c>
      <c r="C676" t="s">
        <v>77</v>
      </c>
      <c r="D676" t="s">
        <v>82</v>
      </c>
      <c r="E676" t="s">
        <v>78</v>
      </c>
      <c r="F676" s="71">
        <v>45292</v>
      </c>
      <c r="G676">
        <v>284327.09399999998</v>
      </c>
      <c r="H676">
        <v>3367730.6906788661</v>
      </c>
    </row>
    <row r="677" spans="1:31" x14ac:dyDescent="0.25">
      <c r="A677" t="s">
        <v>62</v>
      </c>
      <c r="B677" t="s">
        <v>80</v>
      </c>
      <c r="C677" t="s">
        <v>77</v>
      </c>
      <c r="D677" t="s">
        <v>82</v>
      </c>
      <c r="E677" t="s">
        <v>78</v>
      </c>
      <c r="F677" s="71">
        <v>45658</v>
      </c>
      <c r="G677">
        <v>254726.736</v>
      </c>
    </row>
    <row r="678" spans="1:31" x14ac:dyDescent="0.25">
      <c r="A678" t="s">
        <v>63</v>
      </c>
      <c r="B678" t="s">
        <v>76</v>
      </c>
      <c r="C678" t="s">
        <v>77</v>
      </c>
      <c r="D678" t="s">
        <v>82</v>
      </c>
      <c r="E678" t="s">
        <v>78</v>
      </c>
      <c r="F678" s="71">
        <v>36892</v>
      </c>
      <c r="G678">
        <v>19110.919999999998</v>
      </c>
      <c r="H678">
        <v>19110.919999999998</v>
      </c>
      <c r="I678">
        <v>19110.919999999998</v>
      </c>
      <c r="J678">
        <v>19110.919999999998</v>
      </c>
      <c r="K678">
        <v>19110.919999999998</v>
      </c>
      <c r="L678">
        <v>19110.919999999998</v>
      </c>
      <c r="M678">
        <v>19110.919999999998</v>
      </c>
      <c r="N678">
        <v>19110.919999999998</v>
      </c>
      <c r="O678">
        <v>19110.919999999998</v>
      </c>
      <c r="P678">
        <v>19110.919999999998</v>
      </c>
      <c r="Q678">
        <v>19110.919999999998</v>
      </c>
      <c r="R678">
        <v>19110.919999999998</v>
      </c>
      <c r="S678">
        <v>19110.919999999998</v>
      </c>
      <c r="T678">
        <v>19110.919999999998</v>
      </c>
      <c r="U678">
        <v>19110.919999999998</v>
      </c>
      <c r="V678">
        <v>19110.919999999998</v>
      </c>
      <c r="W678">
        <v>19110.919999999998</v>
      </c>
      <c r="X678">
        <v>19110.919999999998</v>
      </c>
      <c r="Y678">
        <v>19110.919999999998</v>
      </c>
      <c r="Z678">
        <v>19110.919999999998</v>
      </c>
      <c r="AA678">
        <v>19110.919999999998</v>
      </c>
      <c r="AB678">
        <v>19110.919999999998</v>
      </c>
      <c r="AC678">
        <v>19110.919999999998</v>
      </c>
      <c r="AD678">
        <v>19110.919999999998</v>
      </c>
      <c r="AE678">
        <v>19110.919999999998</v>
      </c>
    </row>
    <row r="679" spans="1:31" x14ac:dyDescent="0.25">
      <c r="A679" t="s">
        <v>63</v>
      </c>
      <c r="B679" t="s">
        <v>76</v>
      </c>
      <c r="C679" t="s">
        <v>77</v>
      </c>
      <c r="D679" t="s">
        <v>82</v>
      </c>
      <c r="E679" t="s">
        <v>78</v>
      </c>
      <c r="F679" s="71">
        <v>37257</v>
      </c>
      <c r="G679">
        <v>515737.3</v>
      </c>
      <c r="H679">
        <v>515737.3</v>
      </c>
      <c r="I679">
        <v>515737.3</v>
      </c>
      <c r="J679">
        <v>515737.3</v>
      </c>
      <c r="K679">
        <v>515737.3</v>
      </c>
      <c r="L679">
        <v>515737.3</v>
      </c>
      <c r="M679">
        <v>515737.3</v>
      </c>
      <c r="N679">
        <v>515737.3</v>
      </c>
      <c r="O679">
        <v>515737.3</v>
      </c>
      <c r="P679">
        <v>515737.3</v>
      </c>
      <c r="Q679">
        <v>515737.3</v>
      </c>
      <c r="R679">
        <v>515737.3</v>
      </c>
      <c r="S679">
        <v>515737.3</v>
      </c>
      <c r="T679">
        <v>515737.3</v>
      </c>
      <c r="U679">
        <v>515737.3</v>
      </c>
      <c r="V679">
        <v>515737.3</v>
      </c>
      <c r="W679">
        <v>515737.3</v>
      </c>
      <c r="X679">
        <v>515737.3</v>
      </c>
      <c r="Y679">
        <v>515737.3</v>
      </c>
      <c r="Z679">
        <v>515737.3</v>
      </c>
      <c r="AA679">
        <v>515737.3</v>
      </c>
      <c r="AB679">
        <v>515737.3</v>
      </c>
      <c r="AC679">
        <v>515737.3</v>
      </c>
      <c r="AD679">
        <v>515737.3</v>
      </c>
    </row>
    <row r="680" spans="1:31" x14ac:dyDescent="0.25">
      <c r="A680" t="s">
        <v>63</v>
      </c>
      <c r="B680" t="s">
        <v>76</v>
      </c>
      <c r="C680" t="s">
        <v>77</v>
      </c>
      <c r="D680" t="s">
        <v>82</v>
      </c>
      <c r="E680" t="s">
        <v>78</v>
      </c>
      <c r="F680" s="71">
        <v>37622</v>
      </c>
      <c r="G680">
        <v>725627.62999999989</v>
      </c>
      <c r="H680">
        <v>725627.62999999989</v>
      </c>
      <c r="I680">
        <v>725627.62999999989</v>
      </c>
      <c r="J680">
        <v>725627.62999999989</v>
      </c>
      <c r="K680">
        <v>725627.62999999989</v>
      </c>
      <c r="L680">
        <v>725627.62999999989</v>
      </c>
      <c r="M680">
        <v>725627.62999999989</v>
      </c>
      <c r="N680">
        <v>725627.62999999989</v>
      </c>
      <c r="O680">
        <v>725627.62999999989</v>
      </c>
      <c r="P680">
        <v>725627.62999999989</v>
      </c>
      <c r="Q680">
        <v>725627.62999999989</v>
      </c>
      <c r="R680">
        <v>725627.62999999989</v>
      </c>
      <c r="S680">
        <v>725627.62999999989</v>
      </c>
      <c r="T680">
        <v>725627.62999999989</v>
      </c>
      <c r="U680">
        <v>725627.62999999989</v>
      </c>
      <c r="V680">
        <v>725627.62999999989</v>
      </c>
      <c r="W680">
        <v>725627.62999999989</v>
      </c>
      <c r="X680">
        <v>725627.62999999989</v>
      </c>
      <c r="Y680">
        <v>725627.62999999989</v>
      </c>
      <c r="Z680">
        <v>725627.62999999989</v>
      </c>
      <c r="AA680">
        <v>725627.62999999989</v>
      </c>
      <c r="AB680">
        <v>725627.62999999989</v>
      </c>
      <c r="AC680">
        <v>725627.62999999989</v>
      </c>
    </row>
    <row r="681" spans="1:31" x14ac:dyDescent="0.25">
      <c r="A681" t="s">
        <v>63</v>
      </c>
      <c r="B681" t="s">
        <v>76</v>
      </c>
      <c r="C681" t="s">
        <v>77</v>
      </c>
      <c r="D681" t="s">
        <v>82</v>
      </c>
      <c r="E681" t="s">
        <v>78</v>
      </c>
      <c r="F681" s="71">
        <v>37987</v>
      </c>
      <c r="G681">
        <v>1896159.99</v>
      </c>
      <c r="H681">
        <v>1896159.99</v>
      </c>
      <c r="I681">
        <v>1896159.99</v>
      </c>
      <c r="J681">
        <v>1896159.99</v>
      </c>
      <c r="K681">
        <v>1896159.99</v>
      </c>
      <c r="L681">
        <v>1896159.99</v>
      </c>
      <c r="M681">
        <v>1896159.99</v>
      </c>
      <c r="N681">
        <v>1896159.99</v>
      </c>
      <c r="O681">
        <v>1896159.99</v>
      </c>
      <c r="P681">
        <v>1896159.99</v>
      </c>
      <c r="Q681">
        <v>1896159.99</v>
      </c>
      <c r="R681">
        <v>1896159.99</v>
      </c>
      <c r="S681">
        <v>1896159.99</v>
      </c>
      <c r="T681">
        <v>1896159.99</v>
      </c>
      <c r="U681">
        <v>1896159.99</v>
      </c>
      <c r="V681">
        <v>1896159.99</v>
      </c>
      <c r="W681">
        <v>1896159.99</v>
      </c>
      <c r="X681">
        <v>1896159.99</v>
      </c>
      <c r="Y681">
        <v>1896159.99</v>
      </c>
      <c r="Z681">
        <v>1896159.99</v>
      </c>
      <c r="AA681">
        <v>1896159.99</v>
      </c>
      <c r="AB681">
        <v>1896159.99</v>
      </c>
    </row>
    <row r="682" spans="1:31" x14ac:dyDescent="0.25">
      <c r="A682" t="s">
        <v>63</v>
      </c>
      <c r="B682" t="s">
        <v>76</v>
      </c>
      <c r="C682" t="s">
        <v>77</v>
      </c>
      <c r="D682" t="s">
        <v>82</v>
      </c>
      <c r="E682" t="s">
        <v>78</v>
      </c>
      <c r="F682" s="71">
        <v>38353</v>
      </c>
      <c r="G682">
        <v>18205793.469999999</v>
      </c>
      <c r="H682">
        <v>18205793.469999999</v>
      </c>
      <c r="I682">
        <v>18205793.469999999</v>
      </c>
      <c r="J682">
        <v>18205793.469999999</v>
      </c>
      <c r="K682">
        <v>18205793.469999999</v>
      </c>
      <c r="L682">
        <v>18205793.469999999</v>
      </c>
      <c r="M682">
        <v>18205793.469999999</v>
      </c>
      <c r="N682">
        <v>18205793.469999999</v>
      </c>
      <c r="O682">
        <v>18205793.469999999</v>
      </c>
      <c r="P682">
        <v>18205793.469999999</v>
      </c>
      <c r="Q682">
        <v>18205793.469999999</v>
      </c>
      <c r="R682">
        <v>18205793.469999999</v>
      </c>
      <c r="S682">
        <v>18205793.469999999</v>
      </c>
      <c r="T682">
        <v>18205793.469999999</v>
      </c>
      <c r="U682">
        <v>18205793.469999999</v>
      </c>
      <c r="V682">
        <v>18205793.469999999</v>
      </c>
      <c r="W682">
        <v>18205793.469999999</v>
      </c>
      <c r="X682">
        <v>18205793.469999999</v>
      </c>
      <c r="Y682">
        <v>18205793.469999999</v>
      </c>
      <c r="Z682">
        <v>18205793.469999999</v>
      </c>
      <c r="AA682">
        <v>18205793.469999999</v>
      </c>
    </row>
    <row r="683" spans="1:31" x14ac:dyDescent="0.25">
      <c r="A683" t="s">
        <v>63</v>
      </c>
      <c r="B683" t="s">
        <v>76</v>
      </c>
      <c r="C683" t="s">
        <v>77</v>
      </c>
      <c r="D683" t="s">
        <v>82</v>
      </c>
      <c r="E683" t="s">
        <v>78</v>
      </c>
      <c r="F683" s="71">
        <v>38718</v>
      </c>
      <c r="G683">
        <v>32330881.66</v>
      </c>
      <c r="H683">
        <v>32330881.66</v>
      </c>
      <c r="I683">
        <v>32330881.66</v>
      </c>
      <c r="J683">
        <v>32330881.66</v>
      </c>
      <c r="K683">
        <v>32330881.66</v>
      </c>
      <c r="L683">
        <v>32330881.66</v>
      </c>
      <c r="M683">
        <v>32330881.66</v>
      </c>
      <c r="N683">
        <v>32330881.66</v>
      </c>
      <c r="O683">
        <v>32330881.66</v>
      </c>
      <c r="P683">
        <v>32330881.66</v>
      </c>
      <c r="Q683">
        <v>32330881.66</v>
      </c>
      <c r="R683">
        <v>32330881.66</v>
      </c>
      <c r="S683">
        <v>32330881.66</v>
      </c>
      <c r="T683">
        <v>32330881.66</v>
      </c>
      <c r="U683">
        <v>32330881.66</v>
      </c>
      <c r="V683">
        <v>32330881.66</v>
      </c>
      <c r="W683">
        <v>32330881.66</v>
      </c>
      <c r="X683">
        <v>32330881.66</v>
      </c>
      <c r="Y683">
        <v>32330881.66</v>
      </c>
      <c r="Z683">
        <v>32330881.66</v>
      </c>
    </row>
    <row r="684" spans="1:31" x14ac:dyDescent="0.25">
      <c r="A684" t="s">
        <v>63</v>
      </c>
      <c r="B684" t="s">
        <v>76</v>
      </c>
      <c r="C684" t="s">
        <v>77</v>
      </c>
      <c r="D684" t="s">
        <v>82</v>
      </c>
      <c r="E684" t="s">
        <v>78</v>
      </c>
      <c r="F684" s="71">
        <v>39083</v>
      </c>
      <c r="G684">
        <v>39530358.850000001</v>
      </c>
      <c r="H684">
        <v>39530358.850000001</v>
      </c>
      <c r="I684">
        <v>39530358.850000001</v>
      </c>
      <c r="J684">
        <v>39530358.850000001</v>
      </c>
      <c r="K684">
        <v>39530358.850000001</v>
      </c>
      <c r="L684">
        <v>39530358.850000001</v>
      </c>
      <c r="M684">
        <v>39530358.850000001</v>
      </c>
      <c r="N684">
        <v>39530358.850000001</v>
      </c>
      <c r="O684">
        <v>39530358.850000001</v>
      </c>
      <c r="P684">
        <v>39530358.850000001</v>
      </c>
      <c r="Q684">
        <v>39530358.850000001</v>
      </c>
      <c r="R684">
        <v>39530358.850000001</v>
      </c>
      <c r="S684">
        <v>39530358.850000001</v>
      </c>
      <c r="T684">
        <v>39530358.850000001</v>
      </c>
      <c r="U684">
        <v>39530358.850000001</v>
      </c>
      <c r="V684">
        <v>39530358.850000001</v>
      </c>
      <c r="W684">
        <v>39530358.850000001</v>
      </c>
      <c r="X684">
        <v>39530358.850000001</v>
      </c>
      <c r="Y684">
        <v>39530358.850000001</v>
      </c>
    </row>
    <row r="685" spans="1:31" x14ac:dyDescent="0.25">
      <c r="A685" t="s">
        <v>63</v>
      </c>
      <c r="B685" t="s">
        <v>76</v>
      </c>
      <c r="C685" t="s">
        <v>77</v>
      </c>
      <c r="D685" t="s">
        <v>82</v>
      </c>
      <c r="E685" t="s">
        <v>78</v>
      </c>
      <c r="F685" s="71">
        <v>39448</v>
      </c>
      <c r="G685">
        <v>40738299.779999986</v>
      </c>
      <c r="H685">
        <v>40738299.779999986</v>
      </c>
      <c r="I685">
        <v>40738299.779999986</v>
      </c>
      <c r="J685">
        <v>40738299.779999986</v>
      </c>
      <c r="K685">
        <v>40738299.779999986</v>
      </c>
      <c r="L685">
        <v>40738299.779999986</v>
      </c>
      <c r="M685">
        <v>40738299.779999986</v>
      </c>
      <c r="N685">
        <v>40738299.779999986</v>
      </c>
      <c r="O685">
        <v>40738299.779999986</v>
      </c>
      <c r="P685">
        <v>40738299.779999986</v>
      </c>
      <c r="Q685">
        <v>40738299.779999986</v>
      </c>
      <c r="R685">
        <v>40738299.779999986</v>
      </c>
      <c r="S685">
        <v>40738299.779999986</v>
      </c>
      <c r="T685">
        <v>40738299.779999986</v>
      </c>
      <c r="U685">
        <v>40738299.779999986</v>
      </c>
      <c r="V685">
        <v>40738299.779999986</v>
      </c>
      <c r="W685">
        <v>40738299.779999986</v>
      </c>
      <c r="X685">
        <v>40738299.779999986</v>
      </c>
    </row>
    <row r="686" spans="1:31" x14ac:dyDescent="0.25">
      <c r="A686" t="s">
        <v>63</v>
      </c>
      <c r="B686" t="s">
        <v>76</v>
      </c>
      <c r="C686" t="s">
        <v>77</v>
      </c>
      <c r="D686" t="s">
        <v>82</v>
      </c>
      <c r="E686" t="s">
        <v>78</v>
      </c>
      <c r="F686" s="71">
        <v>39814</v>
      </c>
      <c r="G686">
        <v>33904751.857490003</v>
      </c>
      <c r="H686">
        <v>33904751.857490003</v>
      </c>
      <c r="I686">
        <v>33904751.857490003</v>
      </c>
      <c r="J686">
        <v>33904751.857490003</v>
      </c>
      <c r="K686">
        <v>33904751.857490003</v>
      </c>
      <c r="L686">
        <v>33904751.857490003</v>
      </c>
      <c r="M686">
        <v>33904751.857490003</v>
      </c>
      <c r="N686">
        <v>33904751.857490003</v>
      </c>
      <c r="O686">
        <v>33904751.857490003</v>
      </c>
      <c r="P686">
        <v>33904751.857490003</v>
      </c>
      <c r="Q686">
        <v>33904751.857490003</v>
      </c>
      <c r="R686">
        <v>33904751.857490003</v>
      </c>
      <c r="S686">
        <v>33904751.857490003</v>
      </c>
      <c r="T686">
        <v>33904751.857490003</v>
      </c>
      <c r="U686">
        <v>33904751.857490003</v>
      </c>
      <c r="V686">
        <v>33904751.857490003</v>
      </c>
      <c r="W686">
        <v>33904751.857490003</v>
      </c>
    </row>
    <row r="687" spans="1:31" x14ac:dyDescent="0.25">
      <c r="A687" t="s">
        <v>63</v>
      </c>
      <c r="B687" t="s">
        <v>76</v>
      </c>
      <c r="C687" t="s">
        <v>77</v>
      </c>
      <c r="D687" t="s">
        <v>82</v>
      </c>
      <c r="E687" t="s">
        <v>78</v>
      </c>
      <c r="F687" s="71">
        <v>40179</v>
      </c>
      <c r="G687">
        <v>32850792.489999991</v>
      </c>
      <c r="H687">
        <v>32850792.489999991</v>
      </c>
      <c r="I687">
        <v>32850792.489999991</v>
      </c>
      <c r="J687">
        <v>32850792.489999991</v>
      </c>
      <c r="K687">
        <v>32850792.489999991</v>
      </c>
      <c r="L687">
        <v>32850792.489999991</v>
      </c>
      <c r="M687">
        <v>32850792.489999991</v>
      </c>
      <c r="N687">
        <v>32850792.489999991</v>
      </c>
      <c r="O687">
        <v>32850792.489999991</v>
      </c>
      <c r="P687">
        <v>32850792.489999991</v>
      </c>
      <c r="Q687">
        <v>32850792.489999991</v>
      </c>
      <c r="R687">
        <v>32850792.489999991</v>
      </c>
      <c r="S687">
        <v>32850792.489999991</v>
      </c>
      <c r="T687">
        <v>32850792.489999991</v>
      </c>
      <c r="U687">
        <v>32850792.489999991</v>
      </c>
      <c r="V687">
        <v>32850792.489999991</v>
      </c>
    </row>
    <row r="688" spans="1:31" x14ac:dyDescent="0.25">
      <c r="A688" t="s">
        <v>63</v>
      </c>
      <c r="B688" t="s">
        <v>76</v>
      </c>
      <c r="C688" t="s">
        <v>77</v>
      </c>
      <c r="D688" t="s">
        <v>82</v>
      </c>
      <c r="E688" t="s">
        <v>78</v>
      </c>
      <c r="F688" s="71">
        <v>40544</v>
      </c>
      <c r="G688">
        <v>39024914.149999991</v>
      </c>
      <c r="H688">
        <v>39024914.149999991</v>
      </c>
      <c r="I688">
        <v>39024914.149999991</v>
      </c>
      <c r="J688">
        <v>39024914.149999991</v>
      </c>
      <c r="K688">
        <v>39024914.149999991</v>
      </c>
      <c r="L688">
        <v>39024914.149999991</v>
      </c>
      <c r="M688">
        <v>39024914.149999991</v>
      </c>
      <c r="N688">
        <v>39024914.149999991</v>
      </c>
      <c r="O688">
        <v>39024914.149999991</v>
      </c>
      <c r="P688">
        <v>39024914.149999991</v>
      </c>
      <c r="Q688">
        <v>39024914.149999991</v>
      </c>
      <c r="R688">
        <v>39024914.149999991</v>
      </c>
      <c r="S688">
        <v>39024914.149999991</v>
      </c>
      <c r="T688">
        <v>39024914.149999991</v>
      </c>
      <c r="U688">
        <v>39024914.149999991</v>
      </c>
    </row>
    <row r="689" spans="1:31" x14ac:dyDescent="0.25">
      <c r="A689" t="s">
        <v>63</v>
      </c>
      <c r="B689" t="s">
        <v>76</v>
      </c>
      <c r="C689" t="s">
        <v>77</v>
      </c>
      <c r="D689" t="s">
        <v>82</v>
      </c>
      <c r="E689" t="s">
        <v>78</v>
      </c>
      <c r="F689" s="71">
        <v>40909</v>
      </c>
      <c r="G689">
        <v>53606203.860000007</v>
      </c>
      <c r="H689">
        <v>53606203.860000007</v>
      </c>
      <c r="I689">
        <v>53606203.860000007</v>
      </c>
      <c r="J689">
        <v>53606203.860000007</v>
      </c>
      <c r="K689">
        <v>53606203.860000007</v>
      </c>
      <c r="L689">
        <v>53606203.860000007</v>
      </c>
      <c r="M689">
        <v>53606203.860000007</v>
      </c>
      <c r="N689">
        <v>53606203.860000007</v>
      </c>
      <c r="O689">
        <v>53606203.860000007</v>
      </c>
      <c r="P689">
        <v>53606203.860000007</v>
      </c>
      <c r="Q689">
        <v>53606203.860000007</v>
      </c>
      <c r="R689">
        <v>53606203.860000007</v>
      </c>
      <c r="S689">
        <v>53606203.860000007</v>
      </c>
      <c r="T689">
        <v>53606203.860000007</v>
      </c>
    </row>
    <row r="690" spans="1:31" x14ac:dyDescent="0.25">
      <c r="A690" t="s">
        <v>63</v>
      </c>
      <c r="B690" t="s">
        <v>76</v>
      </c>
      <c r="C690" t="s">
        <v>77</v>
      </c>
      <c r="D690" t="s">
        <v>82</v>
      </c>
      <c r="E690" t="s">
        <v>78</v>
      </c>
      <c r="F690" s="71">
        <v>41275</v>
      </c>
      <c r="G690">
        <v>70613542.959999993</v>
      </c>
      <c r="H690">
        <v>70613542.959999993</v>
      </c>
      <c r="I690">
        <v>70613542.959999993</v>
      </c>
      <c r="J690">
        <v>70613542.959999993</v>
      </c>
      <c r="K690">
        <v>70613542.959999993</v>
      </c>
      <c r="L690">
        <v>70613542.959999993</v>
      </c>
      <c r="M690">
        <v>70613542.959999993</v>
      </c>
      <c r="N690">
        <v>70613542.959999993</v>
      </c>
      <c r="O690">
        <v>70613542.959999993</v>
      </c>
      <c r="P690">
        <v>70613542.959999993</v>
      </c>
      <c r="Q690">
        <v>70613542.959999993</v>
      </c>
      <c r="R690">
        <v>70613542.959999993</v>
      </c>
      <c r="S690">
        <v>70613542.959999993</v>
      </c>
    </row>
    <row r="691" spans="1:31" x14ac:dyDescent="0.25">
      <c r="A691" t="s">
        <v>63</v>
      </c>
      <c r="B691" t="s">
        <v>76</v>
      </c>
      <c r="C691" t="s">
        <v>77</v>
      </c>
      <c r="D691" t="s">
        <v>82</v>
      </c>
      <c r="E691" t="s">
        <v>78</v>
      </c>
      <c r="F691" s="71">
        <v>41640</v>
      </c>
      <c r="G691">
        <v>79023453.009999961</v>
      </c>
      <c r="H691">
        <v>79023453.009999961</v>
      </c>
      <c r="I691">
        <v>79023453.009999961</v>
      </c>
      <c r="J691">
        <v>79023453.009999961</v>
      </c>
      <c r="K691">
        <v>79023453.009999961</v>
      </c>
      <c r="L691">
        <v>79023453.009999961</v>
      </c>
      <c r="M691">
        <v>79023453.009999961</v>
      </c>
      <c r="N691">
        <v>79023453.009999961</v>
      </c>
      <c r="O691">
        <v>79023453.009999961</v>
      </c>
      <c r="P691">
        <v>79023453.009999961</v>
      </c>
      <c r="Q691">
        <v>79023453.009999961</v>
      </c>
      <c r="R691">
        <v>79023453.009999961</v>
      </c>
    </row>
    <row r="692" spans="1:31" x14ac:dyDescent="0.25">
      <c r="A692" t="s">
        <v>63</v>
      </c>
      <c r="B692" t="s">
        <v>76</v>
      </c>
      <c r="C692" t="s">
        <v>77</v>
      </c>
      <c r="D692" t="s">
        <v>82</v>
      </c>
      <c r="E692" t="s">
        <v>78</v>
      </c>
      <c r="F692" s="71">
        <v>42005</v>
      </c>
      <c r="G692">
        <v>82981221.568103582</v>
      </c>
      <c r="H692">
        <v>82981221.568103582</v>
      </c>
      <c r="I692">
        <v>82981221.568103582</v>
      </c>
      <c r="J692">
        <v>82981221.568103582</v>
      </c>
      <c r="K692">
        <v>82981221.568103582</v>
      </c>
      <c r="L692">
        <v>82981221.568103582</v>
      </c>
      <c r="M692">
        <v>82981221.568103582</v>
      </c>
      <c r="N692">
        <v>82981221.568103582</v>
      </c>
      <c r="O692">
        <v>82981221.568103582</v>
      </c>
      <c r="P692">
        <v>82981221.568103582</v>
      </c>
      <c r="Q692">
        <v>82981221.568103582</v>
      </c>
    </row>
    <row r="693" spans="1:31" x14ac:dyDescent="0.25">
      <c r="A693" t="s">
        <v>63</v>
      </c>
      <c r="B693" t="s">
        <v>76</v>
      </c>
      <c r="C693" t="s">
        <v>77</v>
      </c>
      <c r="D693" t="s">
        <v>82</v>
      </c>
      <c r="E693" t="s">
        <v>78</v>
      </c>
      <c r="F693" s="71">
        <v>42370</v>
      </c>
      <c r="G693">
        <v>97587706.670203388</v>
      </c>
      <c r="H693">
        <v>97587706.670203388</v>
      </c>
      <c r="I693">
        <v>97587706.670203388</v>
      </c>
      <c r="J693">
        <v>97587706.670203388</v>
      </c>
      <c r="K693">
        <v>97587706.670203388</v>
      </c>
      <c r="L693">
        <v>97587706.670203388</v>
      </c>
      <c r="M693">
        <v>97587706.670203388</v>
      </c>
      <c r="N693">
        <v>97587706.670203388</v>
      </c>
      <c r="O693">
        <v>97587706.670203388</v>
      </c>
      <c r="P693">
        <v>97587706.670203388</v>
      </c>
    </row>
    <row r="694" spans="1:31" x14ac:dyDescent="0.25">
      <c r="A694" t="s">
        <v>63</v>
      </c>
      <c r="B694" t="s">
        <v>76</v>
      </c>
      <c r="C694" t="s">
        <v>77</v>
      </c>
      <c r="D694" t="s">
        <v>82</v>
      </c>
      <c r="E694" t="s">
        <v>78</v>
      </c>
      <c r="F694" s="71">
        <v>42736</v>
      </c>
      <c r="G694">
        <v>127877101.81</v>
      </c>
      <c r="H694">
        <v>127877101.81</v>
      </c>
      <c r="I694">
        <v>127877101.81</v>
      </c>
      <c r="J694">
        <v>127877101.81</v>
      </c>
      <c r="K694">
        <v>127877101.81</v>
      </c>
      <c r="L694">
        <v>127877101.81</v>
      </c>
      <c r="M694">
        <v>127877101.81</v>
      </c>
      <c r="N694">
        <v>127877101.81</v>
      </c>
      <c r="O694">
        <v>127877101.81</v>
      </c>
    </row>
    <row r="695" spans="1:31" x14ac:dyDescent="0.25">
      <c r="A695" t="s">
        <v>63</v>
      </c>
      <c r="B695" t="s">
        <v>76</v>
      </c>
      <c r="C695" t="s">
        <v>77</v>
      </c>
      <c r="D695" t="s">
        <v>82</v>
      </c>
      <c r="E695" t="s">
        <v>78</v>
      </c>
      <c r="F695" s="71">
        <v>43101</v>
      </c>
      <c r="G695">
        <v>172213595.83000001</v>
      </c>
      <c r="H695">
        <v>172213595.83000001</v>
      </c>
      <c r="I695">
        <v>172213595.83000001</v>
      </c>
      <c r="J695">
        <v>172213595.83000001</v>
      </c>
      <c r="K695">
        <v>172213595.83000001</v>
      </c>
      <c r="L695">
        <v>172213595.83000001</v>
      </c>
      <c r="M695">
        <v>172213595.83000001</v>
      </c>
      <c r="N695">
        <v>172213595.83000001</v>
      </c>
    </row>
    <row r="696" spans="1:31" x14ac:dyDescent="0.25">
      <c r="A696" t="s">
        <v>63</v>
      </c>
      <c r="B696" t="s">
        <v>76</v>
      </c>
      <c r="C696" t="s">
        <v>77</v>
      </c>
      <c r="D696" t="s">
        <v>82</v>
      </c>
      <c r="E696" t="s">
        <v>78</v>
      </c>
      <c r="F696" s="71">
        <v>43466</v>
      </c>
      <c r="G696">
        <v>224716626.97299999</v>
      </c>
      <c r="H696">
        <v>224716626.97299999</v>
      </c>
      <c r="I696">
        <v>224716626.97299999</v>
      </c>
      <c r="J696">
        <v>224716626.97299999</v>
      </c>
      <c r="K696">
        <v>224716626.97299999</v>
      </c>
      <c r="L696">
        <v>224716626.97299999</v>
      </c>
      <c r="M696">
        <v>224716626.97299999</v>
      </c>
    </row>
    <row r="697" spans="1:31" x14ac:dyDescent="0.25">
      <c r="A697" t="s">
        <v>63</v>
      </c>
      <c r="B697" t="s">
        <v>76</v>
      </c>
      <c r="C697" t="s">
        <v>77</v>
      </c>
      <c r="D697" t="s">
        <v>82</v>
      </c>
      <c r="E697" t="s">
        <v>78</v>
      </c>
      <c r="F697" s="71">
        <v>43831</v>
      </c>
      <c r="G697">
        <v>238754702.51699999</v>
      </c>
      <c r="H697">
        <v>238754702.51699999</v>
      </c>
      <c r="I697">
        <v>238754702.51699999</v>
      </c>
      <c r="J697">
        <v>238754702.51699999</v>
      </c>
      <c r="K697">
        <v>238754702.51699999</v>
      </c>
      <c r="L697">
        <v>238754702.51699999</v>
      </c>
    </row>
    <row r="698" spans="1:31" x14ac:dyDescent="0.25">
      <c r="A698" t="s">
        <v>63</v>
      </c>
      <c r="B698" t="s">
        <v>76</v>
      </c>
      <c r="C698" t="s">
        <v>77</v>
      </c>
      <c r="D698" t="s">
        <v>82</v>
      </c>
      <c r="E698" t="s">
        <v>78</v>
      </c>
      <c r="F698" s="71">
        <v>44197</v>
      </c>
      <c r="G698">
        <v>226034822.14999989</v>
      </c>
      <c r="H698">
        <v>226034822.14999989</v>
      </c>
      <c r="I698">
        <v>226034822.14999989</v>
      </c>
      <c r="J698">
        <v>226034822.14999989</v>
      </c>
      <c r="K698">
        <v>226034822.14999989</v>
      </c>
    </row>
    <row r="699" spans="1:31" x14ac:dyDescent="0.25">
      <c r="A699" t="s">
        <v>63</v>
      </c>
      <c r="B699" t="s">
        <v>76</v>
      </c>
      <c r="C699" t="s">
        <v>77</v>
      </c>
      <c r="D699" t="s">
        <v>82</v>
      </c>
      <c r="E699" t="s">
        <v>78</v>
      </c>
      <c r="F699" s="71">
        <v>44562</v>
      </c>
      <c r="G699">
        <v>240015168.28</v>
      </c>
      <c r="H699">
        <v>240015168.28</v>
      </c>
      <c r="I699">
        <v>240015168.28</v>
      </c>
      <c r="J699">
        <v>240015168.28</v>
      </c>
    </row>
    <row r="700" spans="1:31" x14ac:dyDescent="0.25">
      <c r="A700" t="s">
        <v>63</v>
      </c>
      <c r="B700" t="s">
        <v>76</v>
      </c>
      <c r="C700" t="s">
        <v>77</v>
      </c>
      <c r="D700" t="s">
        <v>82</v>
      </c>
      <c r="E700" t="s">
        <v>78</v>
      </c>
      <c r="F700" s="71">
        <v>44927</v>
      </c>
      <c r="G700">
        <v>232911832.05000001</v>
      </c>
      <c r="H700">
        <v>232911832.05000001</v>
      </c>
      <c r="I700">
        <v>232911832.05000001</v>
      </c>
    </row>
    <row r="701" spans="1:31" x14ac:dyDescent="0.25">
      <c r="A701" t="s">
        <v>63</v>
      </c>
      <c r="B701" t="s">
        <v>76</v>
      </c>
      <c r="C701" t="s">
        <v>77</v>
      </c>
      <c r="D701" t="s">
        <v>82</v>
      </c>
      <c r="E701" t="s">
        <v>78</v>
      </c>
      <c r="F701" s="71">
        <v>45292</v>
      </c>
      <c r="G701">
        <v>188792072.30000001</v>
      </c>
      <c r="H701">
        <v>188792072.30000001</v>
      </c>
    </row>
    <row r="702" spans="1:31" x14ac:dyDescent="0.25">
      <c r="A702" t="s">
        <v>63</v>
      </c>
      <c r="B702" t="s">
        <v>76</v>
      </c>
      <c r="C702" t="s">
        <v>77</v>
      </c>
      <c r="D702" t="s">
        <v>82</v>
      </c>
      <c r="E702" t="s">
        <v>78</v>
      </c>
      <c r="F702" s="71">
        <v>45658</v>
      </c>
      <c r="G702">
        <v>37190889.06000001</v>
      </c>
    </row>
    <row r="703" spans="1:31" x14ac:dyDescent="0.25">
      <c r="A703" t="s">
        <v>63</v>
      </c>
      <c r="B703" t="s">
        <v>79</v>
      </c>
      <c r="C703" t="s">
        <v>77</v>
      </c>
      <c r="D703" t="s">
        <v>82</v>
      </c>
      <c r="E703" t="s">
        <v>78</v>
      </c>
      <c r="F703" s="71">
        <v>36892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25">
      <c r="A704" t="s">
        <v>63</v>
      </c>
      <c r="B704" t="s">
        <v>79</v>
      </c>
      <c r="C704" t="s">
        <v>77</v>
      </c>
      <c r="D704" t="s">
        <v>82</v>
      </c>
      <c r="E704" t="s">
        <v>78</v>
      </c>
      <c r="F704" s="71">
        <v>37257</v>
      </c>
      <c r="G704">
        <v>0</v>
      </c>
      <c r="H704">
        <v>135904.51</v>
      </c>
      <c r="I704">
        <v>189323.2</v>
      </c>
      <c r="J704">
        <v>164996.71</v>
      </c>
      <c r="K704">
        <v>163482.1</v>
      </c>
      <c r="L704">
        <v>163482.1</v>
      </c>
      <c r="M704">
        <v>163482.1</v>
      </c>
      <c r="N704">
        <v>163482.1</v>
      </c>
      <c r="O704">
        <v>163482.1</v>
      </c>
      <c r="P704">
        <v>163482.1</v>
      </c>
      <c r="Q704">
        <v>163482.1</v>
      </c>
      <c r="R704">
        <v>163482.1</v>
      </c>
      <c r="S704">
        <v>163482.1</v>
      </c>
      <c r="T704">
        <v>163482.1</v>
      </c>
      <c r="U704">
        <v>163482.1</v>
      </c>
      <c r="V704">
        <v>163482.1</v>
      </c>
      <c r="W704">
        <v>163482.1</v>
      </c>
      <c r="X704">
        <v>163482.1</v>
      </c>
      <c r="Y704">
        <v>163482.1</v>
      </c>
      <c r="Z704">
        <v>163482.1</v>
      </c>
      <c r="AA704">
        <v>163482.1</v>
      </c>
      <c r="AB704">
        <v>163482.1</v>
      </c>
      <c r="AC704">
        <v>163482.1</v>
      </c>
      <c r="AD704">
        <v>163482.1</v>
      </c>
    </row>
    <row r="705" spans="1:29" x14ac:dyDescent="0.25">
      <c r="A705" t="s">
        <v>63</v>
      </c>
      <c r="B705" t="s">
        <v>79</v>
      </c>
      <c r="C705" t="s">
        <v>77</v>
      </c>
      <c r="D705" t="s">
        <v>82</v>
      </c>
      <c r="E705" t="s">
        <v>78</v>
      </c>
      <c r="F705" s="71">
        <v>37622</v>
      </c>
      <c r="G705">
        <v>118.75</v>
      </c>
      <c r="H705">
        <v>98699.199999999997</v>
      </c>
      <c r="I705">
        <v>209545.3</v>
      </c>
      <c r="J705">
        <v>254577.21</v>
      </c>
      <c r="K705">
        <v>408176.81</v>
      </c>
      <c r="L705">
        <v>357413.24</v>
      </c>
      <c r="M705">
        <v>387033.16</v>
      </c>
      <c r="N705">
        <v>818303.91999999993</v>
      </c>
      <c r="O705">
        <v>818301.99</v>
      </c>
      <c r="P705">
        <v>818217.83</v>
      </c>
      <c r="Q705">
        <v>817953.5199999999</v>
      </c>
      <c r="R705">
        <v>1005452.4</v>
      </c>
      <c r="S705">
        <v>1005465.31</v>
      </c>
      <c r="T705">
        <v>1002059.57</v>
      </c>
      <c r="U705">
        <v>1005323.89</v>
      </c>
      <c r="V705">
        <v>1005355.69</v>
      </c>
      <c r="W705">
        <v>1005356.01</v>
      </c>
      <c r="X705">
        <v>1005356.01</v>
      </c>
      <c r="Y705">
        <v>1030355.01</v>
      </c>
      <c r="Z705">
        <v>1060931.6000000001</v>
      </c>
      <c r="AA705">
        <v>963171.34</v>
      </c>
      <c r="AB705">
        <v>963190.53999999992</v>
      </c>
      <c r="AC705">
        <v>963190.53999999992</v>
      </c>
    </row>
    <row r="706" spans="1:29" x14ac:dyDescent="0.25">
      <c r="A706" t="s">
        <v>63</v>
      </c>
      <c r="B706" t="s">
        <v>79</v>
      </c>
      <c r="C706" t="s">
        <v>77</v>
      </c>
      <c r="D706" t="s">
        <v>82</v>
      </c>
      <c r="E706" t="s">
        <v>78</v>
      </c>
      <c r="F706" s="71">
        <v>37987</v>
      </c>
      <c r="G706">
        <v>1151</v>
      </c>
      <c r="H706">
        <v>331487.51</v>
      </c>
      <c r="I706">
        <v>430029.53</v>
      </c>
      <c r="J706">
        <v>361318.43000000011</v>
      </c>
      <c r="K706">
        <v>302665.64</v>
      </c>
      <c r="L706">
        <v>303654.61</v>
      </c>
      <c r="M706">
        <v>313702.77</v>
      </c>
      <c r="N706">
        <v>313966.55</v>
      </c>
      <c r="O706">
        <v>313966.55</v>
      </c>
      <c r="P706">
        <v>331640.69</v>
      </c>
      <c r="Q706">
        <v>320411.99</v>
      </c>
      <c r="R706">
        <v>320411.99</v>
      </c>
      <c r="S706">
        <v>320411.99</v>
      </c>
      <c r="T706">
        <v>320411.99</v>
      </c>
      <c r="U706">
        <v>320411.99</v>
      </c>
      <c r="V706">
        <v>320411.99</v>
      </c>
      <c r="W706">
        <v>320411.99</v>
      </c>
      <c r="X706">
        <v>320411.99</v>
      </c>
      <c r="Y706">
        <v>320411.99</v>
      </c>
      <c r="Z706">
        <v>320411.99</v>
      </c>
      <c r="AA706">
        <v>320411.99</v>
      </c>
      <c r="AB706">
        <v>320411.99</v>
      </c>
    </row>
    <row r="707" spans="1:29" x14ac:dyDescent="0.25">
      <c r="A707" t="s">
        <v>63</v>
      </c>
      <c r="B707" t="s">
        <v>79</v>
      </c>
      <c r="C707" t="s">
        <v>77</v>
      </c>
      <c r="D707" t="s">
        <v>82</v>
      </c>
      <c r="E707" t="s">
        <v>78</v>
      </c>
      <c r="F707" s="71">
        <v>38353</v>
      </c>
      <c r="G707">
        <v>144979</v>
      </c>
      <c r="H707">
        <v>4041453.74</v>
      </c>
      <c r="I707">
        <v>5809141.2400000002</v>
      </c>
      <c r="J707">
        <v>6268346.4800000004</v>
      </c>
      <c r="K707">
        <v>8795425.370000001</v>
      </c>
      <c r="L707">
        <v>8433789.8200000003</v>
      </c>
      <c r="M707">
        <v>10159130.539999999</v>
      </c>
      <c r="N707">
        <v>10070931.300000001</v>
      </c>
      <c r="O707">
        <v>10057483.6</v>
      </c>
      <c r="P707">
        <v>9840932.9299999997</v>
      </c>
      <c r="Q707">
        <v>10163558.779999999</v>
      </c>
      <c r="R707">
        <v>10009248.32</v>
      </c>
      <c r="S707">
        <v>10031203.439999999</v>
      </c>
      <c r="T707">
        <v>9791182.6600000001</v>
      </c>
      <c r="U707">
        <v>9748565.4800000004</v>
      </c>
      <c r="V707">
        <v>9767525.0800000001</v>
      </c>
      <c r="W707">
        <v>9781579.540000001</v>
      </c>
      <c r="X707">
        <v>9736924.4799999986</v>
      </c>
      <c r="Y707">
        <v>9737252.4300000016</v>
      </c>
      <c r="Z707">
        <v>9752016.3699999992</v>
      </c>
      <c r="AA707">
        <v>9808085.3699999992</v>
      </c>
    </row>
    <row r="708" spans="1:29" x14ac:dyDescent="0.25">
      <c r="A708" t="s">
        <v>63</v>
      </c>
      <c r="B708" t="s">
        <v>79</v>
      </c>
      <c r="C708" t="s">
        <v>77</v>
      </c>
      <c r="D708" t="s">
        <v>82</v>
      </c>
      <c r="E708" t="s">
        <v>78</v>
      </c>
      <c r="F708" s="71">
        <v>38718</v>
      </c>
      <c r="G708">
        <v>284959</v>
      </c>
      <c r="H708">
        <v>5819306.2699999996</v>
      </c>
      <c r="I708">
        <v>9961494.8100000005</v>
      </c>
      <c r="J708">
        <v>12490996.939999999</v>
      </c>
      <c r="K708">
        <v>13691466.73</v>
      </c>
      <c r="L708">
        <v>15520209.91</v>
      </c>
      <c r="M708">
        <v>16455817.640000001</v>
      </c>
      <c r="N708">
        <v>16623046.66</v>
      </c>
      <c r="O708">
        <v>16526746.779999999</v>
      </c>
      <c r="P708">
        <v>16445213.25</v>
      </c>
      <c r="Q708">
        <v>16448769.439999999</v>
      </c>
      <c r="R708">
        <v>16350170.539999999</v>
      </c>
      <c r="S708">
        <v>16480047.74</v>
      </c>
      <c r="T708">
        <v>16263949.640000001</v>
      </c>
      <c r="U708">
        <v>16181161.5</v>
      </c>
      <c r="V708">
        <v>16155551.82</v>
      </c>
      <c r="W708">
        <v>16310306.82</v>
      </c>
      <c r="X708">
        <v>16314607.779999999</v>
      </c>
      <c r="Y708">
        <v>16039382.119999999</v>
      </c>
      <c r="Z708">
        <v>16039758.369999999</v>
      </c>
    </row>
    <row r="709" spans="1:29" x14ac:dyDescent="0.25">
      <c r="A709" t="s">
        <v>63</v>
      </c>
      <c r="B709" t="s">
        <v>79</v>
      </c>
      <c r="C709" t="s">
        <v>77</v>
      </c>
      <c r="D709" t="s">
        <v>82</v>
      </c>
      <c r="E709" t="s">
        <v>78</v>
      </c>
      <c r="F709" s="71">
        <v>39083</v>
      </c>
      <c r="G709">
        <v>374273</v>
      </c>
      <c r="H709">
        <v>11749032.65</v>
      </c>
      <c r="I709">
        <v>19332523.300000001</v>
      </c>
      <c r="J709">
        <v>21109015.02</v>
      </c>
      <c r="K709">
        <v>27037064.109999999</v>
      </c>
      <c r="L709">
        <v>27436859.48</v>
      </c>
      <c r="M709">
        <v>30956010.620000001</v>
      </c>
      <c r="N709">
        <v>29604365.620000001</v>
      </c>
      <c r="O709">
        <v>29667894.41</v>
      </c>
      <c r="P709">
        <v>29407581.219999999</v>
      </c>
      <c r="Q709">
        <v>30202041.489999998</v>
      </c>
      <c r="R709">
        <v>29562220.140000001</v>
      </c>
      <c r="S709">
        <v>29548754.609999999</v>
      </c>
      <c r="T709">
        <v>29579081.440000001</v>
      </c>
      <c r="U709">
        <v>29554540.57</v>
      </c>
      <c r="V709">
        <v>31435403.07</v>
      </c>
      <c r="W709">
        <v>31452320.030000001</v>
      </c>
      <c r="X709">
        <v>31422562.300000001</v>
      </c>
      <c r="Y709">
        <v>31427921.59</v>
      </c>
    </row>
    <row r="710" spans="1:29" x14ac:dyDescent="0.25">
      <c r="A710" t="s">
        <v>63</v>
      </c>
      <c r="B710" t="s">
        <v>79</v>
      </c>
      <c r="C710" t="s">
        <v>77</v>
      </c>
      <c r="D710" t="s">
        <v>82</v>
      </c>
      <c r="E710" t="s">
        <v>78</v>
      </c>
      <c r="F710" s="71">
        <v>39448</v>
      </c>
      <c r="G710">
        <v>486160</v>
      </c>
      <c r="H710">
        <v>14102576.529999999</v>
      </c>
      <c r="I710">
        <v>22256197.84</v>
      </c>
      <c r="J710">
        <v>27194414.510000002</v>
      </c>
      <c r="K710">
        <v>29387145.039999999</v>
      </c>
      <c r="L710">
        <v>31457662.329999998</v>
      </c>
      <c r="M710">
        <v>31109913.210000001</v>
      </c>
      <c r="N710">
        <v>31488327.010000002</v>
      </c>
      <c r="O710">
        <v>30737928.629999999</v>
      </c>
      <c r="P710">
        <v>30882160.050000001</v>
      </c>
      <c r="Q710">
        <v>30584816.789999999</v>
      </c>
      <c r="R710">
        <v>30726482.280000001</v>
      </c>
      <c r="S710">
        <v>30595052.920000002</v>
      </c>
      <c r="T710">
        <v>30502524.079999998</v>
      </c>
      <c r="U710">
        <v>30553403.969999999</v>
      </c>
      <c r="V710">
        <v>30454931.440000001</v>
      </c>
      <c r="W710">
        <v>30498070.23</v>
      </c>
      <c r="X710">
        <v>30399587.890000001</v>
      </c>
    </row>
    <row r="711" spans="1:29" x14ac:dyDescent="0.25">
      <c r="A711" t="s">
        <v>63</v>
      </c>
      <c r="B711" t="s">
        <v>79</v>
      </c>
      <c r="C711" t="s">
        <v>77</v>
      </c>
      <c r="D711" t="s">
        <v>82</v>
      </c>
      <c r="E711" t="s">
        <v>78</v>
      </c>
      <c r="F711" s="71">
        <v>39814</v>
      </c>
      <c r="G711">
        <v>801989</v>
      </c>
      <c r="H711">
        <v>10340668.92</v>
      </c>
      <c r="I711">
        <v>16393289.789999999</v>
      </c>
      <c r="J711">
        <v>18990219.379999999</v>
      </c>
      <c r="K711">
        <v>21938149.68</v>
      </c>
      <c r="L711">
        <v>22642170.25</v>
      </c>
      <c r="M711">
        <v>23915816.460000001</v>
      </c>
      <c r="N711">
        <v>23745725.649999999</v>
      </c>
      <c r="O711">
        <v>23155955.34</v>
      </c>
      <c r="P711">
        <v>23097427.539999999</v>
      </c>
      <c r="Q711">
        <v>23129981.489999998</v>
      </c>
      <c r="R711">
        <v>22779103.68</v>
      </c>
      <c r="S711">
        <v>22869604.16</v>
      </c>
      <c r="T711">
        <v>22835847.640000001</v>
      </c>
      <c r="U711">
        <v>22893385.190000001</v>
      </c>
      <c r="V711">
        <v>22674327.829999998</v>
      </c>
      <c r="W711">
        <v>22554026.57</v>
      </c>
    </row>
    <row r="712" spans="1:29" x14ac:dyDescent="0.25">
      <c r="A712" t="s">
        <v>63</v>
      </c>
      <c r="B712" t="s">
        <v>79</v>
      </c>
      <c r="C712" t="s">
        <v>77</v>
      </c>
      <c r="D712" t="s">
        <v>82</v>
      </c>
      <c r="E712" t="s">
        <v>78</v>
      </c>
      <c r="F712" s="71">
        <v>40179</v>
      </c>
      <c r="G712">
        <v>0</v>
      </c>
      <c r="H712">
        <v>12585396.890000001</v>
      </c>
      <c r="I712">
        <v>18977869.300000001</v>
      </c>
      <c r="J712">
        <v>24469875.219999999</v>
      </c>
      <c r="K712">
        <v>24367822.48</v>
      </c>
      <c r="L712">
        <v>24487424.460000001</v>
      </c>
      <c r="M712">
        <v>24313673.25</v>
      </c>
      <c r="N712">
        <v>24021918.030000001</v>
      </c>
      <c r="O712">
        <v>23919541.77</v>
      </c>
      <c r="P712">
        <v>23984254.550000001</v>
      </c>
      <c r="Q712">
        <v>24307123.760000002</v>
      </c>
      <c r="R712">
        <v>24065144.559999999</v>
      </c>
      <c r="S712">
        <v>23940541.850000001</v>
      </c>
      <c r="T712">
        <v>23898425.399999999</v>
      </c>
      <c r="U712">
        <v>24321223.739999998</v>
      </c>
      <c r="V712">
        <v>24292286.41</v>
      </c>
    </row>
    <row r="713" spans="1:29" x14ac:dyDescent="0.25">
      <c r="A713" t="s">
        <v>63</v>
      </c>
      <c r="B713" t="s">
        <v>79</v>
      </c>
      <c r="C713" t="s">
        <v>77</v>
      </c>
      <c r="D713" t="s">
        <v>82</v>
      </c>
      <c r="E713" t="s">
        <v>78</v>
      </c>
      <c r="F713" s="71">
        <v>40544</v>
      </c>
      <c r="G713">
        <v>362546</v>
      </c>
      <c r="H713">
        <v>16743355.67</v>
      </c>
      <c r="I713">
        <v>23145436.739999998</v>
      </c>
      <c r="J713">
        <v>25858764.169999991</v>
      </c>
      <c r="K713">
        <v>27237931.16</v>
      </c>
      <c r="L713">
        <v>26932816.920000002</v>
      </c>
      <c r="M713">
        <v>28017453.719999999</v>
      </c>
      <c r="N713">
        <v>27881761.620000001</v>
      </c>
      <c r="O713">
        <v>27520008.07</v>
      </c>
      <c r="P713">
        <v>27393279.710000001</v>
      </c>
      <c r="Q713">
        <v>28174067.489999998</v>
      </c>
      <c r="R713">
        <v>28434992.02</v>
      </c>
      <c r="S713">
        <v>28406443.050000001</v>
      </c>
      <c r="T713">
        <v>28430204.07</v>
      </c>
      <c r="U713">
        <v>28332708.960000001</v>
      </c>
    </row>
    <row r="714" spans="1:29" x14ac:dyDescent="0.25">
      <c r="A714" t="s">
        <v>63</v>
      </c>
      <c r="B714" t="s">
        <v>79</v>
      </c>
      <c r="C714" t="s">
        <v>77</v>
      </c>
      <c r="D714" t="s">
        <v>82</v>
      </c>
      <c r="E714" t="s">
        <v>78</v>
      </c>
      <c r="F714" s="71">
        <v>40909</v>
      </c>
      <c r="G714">
        <v>639343.15</v>
      </c>
      <c r="H714">
        <v>18951086.649999999</v>
      </c>
      <c r="I714">
        <v>23763525.66</v>
      </c>
      <c r="J714">
        <v>28095401.129999999</v>
      </c>
      <c r="K714">
        <v>29193629.859999999</v>
      </c>
      <c r="L714">
        <v>28289724.420000002</v>
      </c>
      <c r="M714">
        <v>28484729.48</v>
      </c>
      <c r="N714">
        <v>28739052.18</v>
      </c>
      <c r="O714">
        <v>28572938.530000001</v>
      </c>
      <c r="P714">
        <v>28455520.690000001</v>
      </c>
      <c r="Q714">
        <v>28671464.27</v>
      </c>
      <c r="R714">
        <v>28791973.68</v>
      </c>
      <c r="S714">
        <v>28886763.350000001</v>
      </c>
      <c r="T714">
        <v>28796909.219999999</v>
      </c>
    </row>
    <row r="715" spans="1:29" x14ac:dyDescent="0.25">
      <c r="A715" t="s">
        <v>63</v>
      </c>
      <c r="B715" t="s">
        <v>79</v>
      </c>
      <c r="C715" t="s">
        <v>77</v>
      </c>
      <c r="D715" t="s">
        <v>82</v>
      </c>
      <c r="E715" t="s">
        <v>78</v>
      </c>
      <c r="F715" s="71">
        <v>41275</v>
      </c>
      <c r="G715">
        <v>1667302.9</v>
      </c>
      <c r="H715">
        <v>21949617.879999999</v>
      </c>
      <c r="I715">
        <v>31475213.469999999</v>
      </c>
      <c r="J715">
        <v>35678397.789999999</v>
      </c>
      <c r="K715">
        <v>36156025.049999997</v>
      </c>
      <c r="L715">
        <v>36949508.760000013</v>
      </c>
      <c r="M715">
        <v>37323196.809999987</v>
      </c>
      <c r="N715">
        <v>38154695.259999998</v>
      </c>
      <c r="O715">
        <v>38288708.18</v>
      </c>
      <c r="P715">
        <v>38641715.580000013</v>
      </c>
      <c r="Q715">
        <v>39622749.680000007</v>
      </c>
      <c r="R715">
        <v>40521938.789999999</v>
      </c>
      <c r="S715">
        <v>41302973.859999999</v>
      </c>
    </row>
    <row r="716" spans="1:29" x14ac:dyDescent="0.25">
      <c r="A716" t="s">
        <v>63</v>
      </c>
      <c r="B716" t="s">
        <v>79</v>
      </c>
      <c r="C716" t="s">
        <v>77</v>
      </c>
      <c r="D716" t="s">
        <v>82</v>
      </c>
      <c r="E716" t="s">
        <v>78</v>
      </c>
      <c r="F716" s="71">
        <v>41640</v>
      </c>
      <c r="G716">
        <v>867757.06</v>
      </c>
      <c r="H716">
        <v>26169631.210000001</v>
      </c>
      <c r="I716">
        <v>35293688.689999998</v>
      </c>
      <c r="J716">
        <v>38799903.180000007</v>
      </c>
      <c r="K716">
        <v>41969851.479999997</v>
      </c>
      <c r="L716">
        <v>42495787.579999998</v>
      </c>
      <c r="M716">
        <v>43159954.969999991</v>
      </c>
      <c r="N716">
        <v>43846996.039999999</v>
      </c>
      <c r="O716">
        <v>44011623.759999998</v>
      </c>
      <c r="P716">
        <v>45095427.579999998</v>
      </c>
      <c r="Q716">
        <v>44936642.270000003</v>
      </c>
      <c r="R716">
        <v>45934292.299999997</v>
      </c>
    </row>
    <row r="717" spans="1:29" x14ac:dyDescent="0.25">
      <c r="A717" t="s">
        <v>63</v>
      </c>
      <c r="B717" t="s">
        <v>79</v>
      </c>
      <c r="C717" t="s">
        <v>77</v>
      </c>
      <c r="D717" t="s">
        <v>82</v>
      </c>
      <c r="E717" t="s">
        <v>78</v>
      </c>
      <c r="F717" s="71">
        <v>42005</v>
      </c>
      <c r="G717">
        <v>1126994.72</v>
      </c>
      <c r="H717">
        <v>24363119.149999999</v>
      </c>
      <c r="I717">
        <v>30635974.329999998</v>
      </c>
      <c r="J717">
        <v>34336272.450000003</v>
      </c>
      <c r="K717">
        <v>36400468.32</v>
      </c>
      <c r="L717">
        <v>38219416.040000007</v>
      </c>
      <c r="M717">
        <v>39516957.380000003</v>
      </c>
      <c r="N717">
        <v>39888810.299999997</v>
      </c>
      <c r="O717">
        <v>40275685.100000001</v>
      </c>
      <c r="P717">
        <v>40309762.460000001</v>
      </c>
      <c r="Q717">
        <v>39763939.369999997</v>
      </c>
    </row>
    <row r="718" spans="1:29" x14ac:dyDescent="0.25">
      <c r="A718" t="s">
        <v>63</v>
      </c>
      <c r="B718" t="s">
        <v>79</v>
      </c>
      <c r="C718" t="s">
        <v>77</v>
      </c>
      <c r="D718" t="s">
        <v>82</v>
      </c>
      <c r="E718" t="s">
        <v>78</v>
      </c>
      <c r="F718" s="71">
        <v>42370</v>
      </c>
      <c r="G718">
        <v>967313.02</v>
      </c>
      <c r="H718">
        <v>24668301.460000001</v>
      </c>
      <c r="I718">
        <v>32183052.93</v>
      </c>
      <c r="J718">
        <v>36546209.380000003</v>
      </c>
      <c r="K718">
        <v>37473902.25</v>
      </c>
      <c r="L718">
        <v>37546396.649999999</v>
      </c>
      <c r="M718">
        <v>38750983.25</v>
      </c>
      <c r="N718">
        <v>39915498.939999998</v>
      </c>
      <c r="O718">
        <v>41929193.829999998</v>
      </c>
      <c r="P718">
        <v>42048811.36999999</v>
      </c>
    </row>
    <row r="719" spans="1:29" x14ac:dyDescent="0.25">
      <c r="A719" t="s">
        <v>63</v>
      </c>
      <c r="B719" t="s">
        <v>79</v>
      </c>
      <c r="C719" t="s">
        <v>77</v>
      </c>
      <c r="D719" t="s">
        <v>82</v>
      </c>
      <c r="E719" t="s">
        <v>78</v>
      </c>
      <c r="F719" s="71">
        <v>42736</v>
      </c>
      <c r="G719">
        <v>1603803.67</v>
      </c>
      <c r="H719">
        <v>36728744.939999998</v>
      </c>
      <c r="I719">
        <v>50821112.989999987</v>
      </c>
      <c r="J719">
        <v>59180780.320000008</v>
      </c>
      <c r="K719">
        <v>61523079.779999986</v>
      </c>
      <c r="L719">
        <v>66486709.619999997</v>
      </c>
      <c r="M719">
        <v>67497464.079999998</v>
      </c>
      <c r="N719">
        <v>68569539.109999999</v>
      </c>
      <c r="O719">
        <v>69164923.319999993</v>
      </c>
    </row>
    <row r="720" spans="1:29" x14ac:dyDescent="0.25">
      <c r="A720" t="s">
        <v>63</v>
      </c>
      <c r="B720" t="s">
        <v>79</v>
      </c>
      <c r="C720" t="s">
        <v>77</v>
      </c>
      <c r="D720" t="s">
        <v>82</v>
      </c>
      <c r="E720" t="s">
        <v>78</v>
      </c>
      <c r="F720" s="71">
        <v>43101</v>
      </c>
      <c r="G720">
        <v>2004830.97</v>
      </c>
      <c r="H720">
        <v>58403194.469999991</v>
      </c>
      <c r="I720">
        <v>82404644.739999995</v>
      </c>
      <c r="J720">
        <v>92764517.50999999</v>
      </c>
      <c r="K720">
        <v>97437168.910000011</v>
      </c>
      <c r="L720">
        <v>104011054.79000001</v>
      </c>
      <c r="M720">
        <v>105293241.36</v>
      </c>
      <c r="N720">
        <v>105774713.42</v>
      </c>
    </row>
    <row r="721" spans="1:31" x14ac:dyDescent="0.25">
      <c r="A721" t="s">
        <v>63</v>
      </c>
      <c r="B721" t="s">
        <v>79</v>
      </c>
      <c r="C721" t="s">
        <v>77</v>
      </c>
      <c r="D721" t="s">
        <v>82</v>
      </c>
      <c r="E721" t="s">
        <v>78</v>
      </c>
      <c r="F721" s="71">
        <v>43466</v>
      </c>
      <c r="G721">
        <v>3937461.93</v>
      </c>
      <c r="H721">
        <v>72799455.910000011</v>
      </c>
      <c r="I721">
        <v>99652132.13000001</v>
      </c>
      <c r="J721">
        <v>116849240.29000001</v>
      </c>
      <c r="K721">
        <v>123382462.59999999</v>
      </c>
      <c r="L721">
        <v>131520113.78</v>
      </c>
      <c r="M721">
        <v>131928792.67</v>
      </c>
    </row>
    <row r="722" spans="1:31" x14ac:dyDescent="0.25">
      <c r="A722" t="s">
        <v>63</v>
      </c>
      <c r="B722" t="s">
        <v>79</v>
      </c>
      <c r="C722" t="s">
        <v>77</v>
      </c>
      <c r="D722" t="s">
        <v>82</v>
      </c>
      <c r="E722" t="s">
        <v>78</v>
      </c>
      <c r="F722" s="71">
        <v>43831</v>
      </c>
      <c r="G722">
        <v>3541922.7</v>
      </c>
      <c r="H722">
        <v>71703931.950000003</v>
      </c>
      <c r="I722">
        <v>105903805.84999999</v>
      </c>
      <c r="J722">
        <v>121072124.65000001</v>
      </c>
      <c r="K722">
        <v>127164105.62</v>
      </c>
      <c r="L722">
        <v>136386748.59999999</v>
      </c>
    </row>
    <row r="723" spans="1:31" x14ac:dyDescent="0.25">
      <c r="A723" t="s">
        <v>63</v>
      </c>
      <c r="B723" t="s">
        <v>79</v>
      </c>
      <c r="C723" t="s">
        <v>77</v>
      </c>
      <c r="D723" t="s">
        <v>82</v>
      </c>
      <c r="E723" t="s">
        <v>78</v>
      </c>
      <c r="F723" s="71">
        <v>44197</v>
      </c>
      <c r="G723">
        <v>3263240.6</v>
      </c>
      <c r="H723">
        <v>80254755.379999995</v>
      </c>
      <c r="I723">
        <v>109840096.09</v>
      </c>
      <c r="J723">
        <v>123078946.06999999</v>
      </c>
      <c r="K723">
        <v>131161706.06999999</v>
      </c>
    </row>
    <row r="724" spans="1:31" x14ac:dyDescent="0.25">
      <c r="A724" t="s">
        <v>63</v>
      </c>
      <c r="B724" t="s">
        <v>79</v>
      </c>
      <c r="C724" t="s">
        <v>77</v>
      </c>
      <c r="D724" t="s">
        <v>82</v>
      </c>
      <c r="E724" t="s">
        <v>78</v>
      </c>
      <c r="F724" s="71">
        <v>44562</v>
      </c>
      <c r="G724">
        <v>3828325.37</v>
      </c>
      <c r="H724">
        <v>87808461.799999982</v>
      </c>
      <c r="I724">
        <v>117222856.97</v>
      </c>
      <c r="J724">
        <v>134651883.94999999</v>
      </c>
    </row>
    <row r="725" spans="1:31" x14ac:dyDescent="0.25">
      <c r="A725" t="s">
        <v>63</v>
      </c>
      <c r="B725" t="s">
        <v>79</v>
      </c>
      <c r="C725" t="s">
        <v>77</v>
      </c>
      <c r="D725" t="s">
        <v>82</v>
      </c>
      <c r="E725" t="s">
        <v>78</v>
      </c>
      <c r="F725" s="71">
        <v>44927</v>
      </c>
      <c r="G725">
        <v>3922567.51</v>
      </c>
      <c r="H725">
        <v>80686259.260000005</v>
      </c>
      <c r="I725">
        <v>122096767.63</v>
      </c>
    </row>
    <row r="726" spans="1:31" x14ac:dyDescent="0.25">
      <c r="A726" t="s">
        <v>63</v>
      </c>
      <c r="B726" t="s">
        <v>79</v>
      </c>
      <c r="C726" t="s">
        <v>77</v>
      </c>
      <c r="D726" t="s">
        <v>82</v>
      </c>
      <c r="E726" t="s">
        <v>78</v>
      </c>
      <c r="F726" s="71">
        <v>45292</v>
      </c>
      <c r="G726">
        <v>1655352.04</v>
      </c>
      <c r="H726">
        <v>57909397.88000001</v>
      </c>
    </row>
    <row r="727" spans="1:31" x14ac:dyDescent="0.25">
      <c r="A727" t="s">
        <v>63</v>
      </c>
      <c r="B727" t="s">
        <v>79</v>
      </c>
      <c r="C727" t="s">
        <v>77</v>
      </c>
      <c r="D727" t="s">
        <v>82</v>
      </c>
      <c r="E727" t="s">
        <v>78</v>
      </c>
      <c r="F727" s="71">
        <v>45658</v>
      </c>
      <c r="G727">
        <v>1622123.32</v>
      </c>
    </row>
    <row r="728" spans="1:31" x14ac:dyDescent="0.25">
      <c r="A728" t="s">
        <v>63</v>
      </c>
      <c r="B728" t="s">
        <v>80</v>
      </c>
      <c r="C728" t="s">
        <v>77</v>
      </c>
      <c r="D728" t="s">
        <v>82</v>
      </c>
      <c r="E728" t="s">
        <v>78</v>
      </c>
      <c r="F728" s="71">
        <v>36892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25">
      <c r="A729" t="s">
        <v>63</v>
      </c>
      <c r="B729" t="s">
        <v>80</v>
      </c>
      <c r="C729" t="s">
        <v>77</v>
      </c>
      <c r="D729" t="s">
        <v>82</v>
      </c>
      <c r="E729" t="s">
        <v>78</v>
      </c>
      <c r="F729" s="71">
        <v>37257</v>
      </c>
      <c r="G729">
        <v>0</v>
      </c>
      <c r="H729">
        <v>77492.38</v>
      </c>
      <c r="I729">
        <v>107838.14</v>
      </c>
      <c r="J729">
        <v>158402.71</v>
      </c>
      <c r="K729">
        <v>163482.1</v>
      </c>
      <c r="L729">
        <v>163482.1</v>
      </c>
      <c r="M729">
        <v>163482.1</v>
      </c>
      <c r="N729">
        <v>163482.1</v>
      </c>
      <c r="O729">
        <v>163482.1</v>
      </c>
      <c r="P729">
        <v>163482.1</v>
      </c>
      <c r="Q729">
        <v>163482.1</v>
      </c>
      <c r="R729">
        <v>163482.1</v>
      </c>
      <c r="S729">
        <v>163482.1</v>
      </c>
      <c r="T729">
        <v>163482.1</v>
      </c>
      <c r="U729">
        <v>163482.1</v>
      </c>
      <c r="V729">
        <v>163482.1</v>
      </c>
      <c r="W729">
        <v>163482.1</v>
      </c>
      <c r="X729">
        <v>163482.1</v>
      </c>
      <c r="Y729">
        <v>163482.1</v>
      </c>
      <c r="Z729">
        <v>163482.1</v>
      </c>
      <c r="AA729">
        <v>163482.1</v>
      </c>
      <c r="AB729">
        <v>163482.1</v>
      </c>
      <c r="AC729">
        <v>163482.1</v>
      </c>
      <c r="AD729">
        <v>163482.1</v>
      </c>
    </row>
    <row r="730" spans="1:31" x14ac:dyDescent="0.25">
      <c r="A730" t="s">
        <v>63</v>
      </c>
      <c r="B730" t="s">
        <v>80</v>
      </c>
      <c r="C730" t="s">
        <v>77</v>
      </c>
      <c r="D730" t="s">
        <v>82</v>
      </c>
      <c r="E730" t="s">
        <v>78</v>
      </c>
      <c r="F730" s="71">
        <v>37622</v>
      </c>
      <c r="G730">
        <v>118.75</v>
      </c>
      <c r="H730">
        <v>22743.55</v>
      </c>
      <c r="I730">
        <v>199263.3</v>
      </c>
      <c r="J730">
        <v>254577.21</v>
      </c>
      <c r="K730">
        <v>308503.81</v>
      </c>
      <c r="L730">
        <v>323948.24</v>
      </c>
      <c r="M730">
        <v>366874.16</v>
      </c>
      <c r="N730">
        <v>387953.91999999998</v>
      </c>
      <c r="O730">
        <v>399174.99</v>
      </c>
      <c r="P730">
        <v>417030.83</v>
      </c>
      <c r="Q730">
        <v>447875.52</v>
      </c>
      <c r="R730">
        <v>470496.4</v>
      </c>
      <c r="S730">
        <v>499733.30999999988</v>
      </c>
      <c r="T730">
        <v>548644.56999999995</v>
      </c>
      <c r="U730">
        <v>570798.8899999999</v>
      </c>
      <c r="V730">
        <v>626158.69000000006</v>
      </c>
      <c r="W730">
        <v>636791.01</v>
      </c>
      <c r="X730">
        <v>636791.01</v>
      </c>
      <c r="Y730">
        <v>651130.42000000004</v>
      </c>
      <c r="Z730">
        <v>730886.74</v>
      </c>
      <c r="AA730">
        <v>963171.34</v>
      </c>
      <c r="AB730">
        <v>963190.53999999992</v>
      </c>
      <c r="AC730">
        <v>963190.53999999992</v>
      </c>
    </row>
    <row r="731" spans="1:31" x14ac:dyDescent="0.25">
      <c r="A731" t="s">
        <v>63</v>
      </c>
      <c r="B731" t="s">
        <v>80</v>
      </c>
      <c r="C731" t="s">
        <v>77</v>
      </c>
      <c r="D731" t="s">
        <v>82</v>
      </c>
      <c r="E731" t="s">
        <v>78</v>
      </c>
      <c r="F731" s="71">
        <v>37987</v>
      </c>
      <c r="G731">
        <v>0</v>
      </c>
      <c r="H731">
        <v>136819.53</v>
      </c>
      <c r="I731">
        <v>262329.38</v>
      </c>
      <c r="J731">
        <v>313971.77</v>
      </c>
      <c r="K731">
        <v>301917.64</v>
      </c>
      <c r="L731">
        <v>303653.61</v>
      </c>
      <c r="M731">
        <v>313702.77</v>
      </c>
      <c r="N731">
        <v>313966.55</v>
      </c>
      <c r="O731">
        <v>313966.55</v>
      </c>
      <c r="P731">
        <v>319639.99</v>
      </c>
      <c r="Q731">
        <v>320411.99</v>
      </c>
      <c r="R731">
        <v>320411.99</v>
      </c>
      <c r="S731">
        <v>320411.99</v>
      </c>
      <c r="T731">
        <v>320411.99</v>
      </c>
      <c r="U731">
        <v>320411.99</v>
      </c>
      <c r="V731">
        <v>320411.99</v>
      </c>
      <c r="W731">
        <v>320411.99</v>
      </c>
      <c r="X731">
        <v>320411.99</v>
      </c>
      <c r="Y731">
        <v>320411.99</v>
      </c>
      <c r="Z731">
        <v>320411.99</v>
      </c>
      <c r="AA731">
        <v>320411.99</v>
      </c>
      <c r="AB731">
        <v>320411.99</v>
      </c>
    </row>
    <row r="732" spans="1:31" x14ac:dyDescent="0.25">
      <c r="A732" t="s">
        <v>63</v>
      </c>
      <c r="B732" t="s">
        <v>80</v>
      </c>
      <c r="C732" t="s">
        <v>77</v>
      </c>
      <c r="D732" t="s">
        <v>82</v>
      </c>
      <c r="E732" t="s">
        <v>78</v>
      </c>
      <c r="F732" s="71">
        <v>38353</v>
      </c>
      <c r="G732">
        <v>1509.27</v>
      </c>
      <c r="H732">
        <v>2027431.92</v>
      </c>
      <c r="I732">
        <v>3744466.830000001</v>
      </c>
      <c r="J732">
        <v>4670422.8900000006</v>
      </c>
      <c r="K732">
        <v>6623932.9399999985</v>
      </c>
      <c r="L732">
        <v>7184288.6199999992</v>
      </c>
      <c r="M732">
        <v>7975295.7799999993</v>
      </c>
      <c r="N732">
        <v>8105202.629999999</v>
      </c>
      <c r="O732">
        <v>8554774.6099999994</v>
      </c>
      <c r="P732">
        <v>9023969.7100000009</v>
      </c>
      <c r="Q732">
        <v>9159653.8200000003</v>
      </c>
      <c r="R732">
        <v>9265960.25</v>
      </c>
      <c r="S732">
        <v>9407684.7400000002</v>
      </c>
      <c r="T732">
        <v>9449584.9700000007</v>
      </c>
      <c r="U732">
        <v>9585235.4499999993</v>
      </c>
      <c r="V732">
        <v>9618723.1799999997</v>
      </c>
      <c r="W732">
        <v>9642420.1600000001</v>
      </c>
      <c r="X732">
        <v>9734611.0700000003</v>
      </c>
      <c r="Y732">
        <v>9737252.4300000016</v>
      </c>
      <c r="Z732">
        <v>9743211.8200000003</v>
      </c>
      <c r="AA732">
        <v>9764743.6999999993</v>
      </c>
    </row>
    <row r="733" spans="1:31" x14ac:dyDescent="0.25">
      <c r="A733" t="s">
        <v>63</v>
      </c>
      <c r="B733" t="s">
        <v>80</v>
      </c>
      <c r="C733" t="s">
        <v>77</v>
      </c>
      <c r="D733" t="s">
        <v>82</v>
      </c>
      <c r="E733" t="s">
        <v>78</v>
      </c>
      <c r="F733" s="71">
        <v>38718</v>
      </c>
      <c r="G733">
        <v>6728.36</v>
      </c>
      <c r="H733">
        <v>2567853.64</v>
      </c>
      <c r="I733">
        <v>5955332.8699999992</v>
      </c>
      <c r="J733">
        <v>9007018.8399999999</v>
      </c>
      <c r="K733">
        <v>10978417.92</v>
      </c>
      <c r="L733">
        <v>12669788.119999999</v>
      </c>
      <c r="M733">
        <v>13762076.49</v>
      </c>
      <c r="N733">
        <v>14590088.66</v>
      </c>
      <c r="O733">
        <v>14882319.300000001</v>
      </c>
      <c r="P733">
        <v>15487787.02</v>
      </c>
      <c r="Q733">
        <v>15636920.82</v>
      </c>
      <c r="R733">
        <v>15805063.92</v>
      </c>
      <c r="S733">
        <v>15861977.369999999</v>
      </c>
      <c r="T733">
        <v>15959078.02</v>
      </c>
      <c r="U733">
        <v>15999668.779999999</v>
      </c>
      <c r="V733">
        <v>16028099.050000001</v>
      </c>
      <c r="W733">
        <v>16030498.109999999</v>
      </c>
      <c r="X733">
        <v>16037722.68</v>
      </c>
      <c r="Y733">
        <v>16039382.119999999</v>
      </c>
      <c r="Z733">
        <v>16039758.369999999</v>
      </c>
    </row>
    <row r="734" spans="1:31" x14ac:dyDescent="0.25">
      <c r="A734" t="s">
        <v>63</v>
      </c>
      <c r="B734" t="s">
        <v>80</v>
      </c>
      <c r="C734" t="s">
        <v>77</v>
      </c>
      <c r="D734" t="s">
        <v>82</v>
      </c>
      <c r="E734" t="s">
        <v>78</v>
      </c>
      <c r="F734" s="71">
        <v>39083</v>
      </c>
      <c r="G734">
        <v>4771.96</v>
      </c>
      <c r="H734">
        <v>4497458.05</v>
      </c>
      <c r="I734">
        <v>11137005.859999999</v>
      </c>
      <c r="J734">
        <v>15111363.699999999</v>
      </c>
      <c r="K734">
        <v>19773816.68</v>
      </c>
      <c r="L734">
        <v>21189559.120000001</v>
      </c>
      <c r="M734">
        <v>25543383.809999999</v>
      </c>
      <c r="N734">
        <v>26277858.789999999</v>
      </c>
      <c r="O734">
        <v>26723970.859999999</v>
      </c>
      <c r="P734">
        <v>27532394.140000001</v>
      </c>
      <c r="Q734">
        <v>27847771.75999999</v>
      </c>
      <c r="R734">
        <v>28140743.039999999</v>
      </c>
      <c r="S734">
        <v>28332338.27999999</v>
      </c>
      <c r="T734">
        <v>28524118.239999991</v>
      </c>
      <c r="U734">
        <v>28882705.52</v>
      </c>
      <c r="V734">
        <v>29199431.27</v>
      </c>
      <c r="W734">
        <v>29591460.82</v>
      </c>
      <c r="X734">
        <v>29856405.219999999</v>
      </c>
      <c r="Y734">
        <v>30024098.469999999</v>
      </c>
    </row>
    <row r="735" spans="1:31" x14ac:dyDescent="0.25">
      <c r="A735" t="s">
        <v>63</v>
      </c>
      <c r="B735" t="s">
        <v>80</v>
      </c>
      <c r="C735" t="s">
        <v>77</v>
      </c>
      <c r="D735" t="s">
        <v>82</v>
      </c>
      <c r="E735" t="s">
        <v>78</v>
      </c>
      <c r="F735" s="71">
        <v>39448</v>
      </c>
      <c r="G735">
        <v>11858.47</v>
      </c>
      <c r="H735">
        <v>5299333.04</v>
      </c>
      <c r="I735">
        <v>12308481.810000001</v>
      </c>
      <c r="J735">
        <v>18217599.739999998</v>
      </c>
      <c r="K735">
        <v>21738045.640000001</v>
      </c>
      <c r="L735">
        <v>25043430</v>
      </c>
      <c r="M735">
        <v>26265750.120000001</v>
      </c>
      <c r="N735">
        <v>27781887.420000002</v>
      </c>
      <c r="O735">
        <v>28478456.149999999</v>
      </c>
      <c r="P735">
        <v>28944496.41</v>
      </c>
      <c r="Q735">
        <v>29154379.620000001</v>
      </c>
      <c r="R735">
        <v>29373145.98</v>
      </c>
      <c r="S735">
        <v>29577499.350000001</v>
      </c>
      <c r="T735">
        <v>29723571.920000002</v>
      </c>
      <c r="U735">
        <v>29772536.129999999</v>
      </c>
      <c r="V735">
        <v>29826881.949999999</v>
      </c>
      <c r="W735">
        <v>30361376.48</v>
      </c>
      <c r="X735">
        <v>30367602.890000001</v>
      </c>
    </row>
    <row r="736" spans="1:31" x14ac:dyDescent="0.25">
      <c r="A736" t="s">
        <v>63</v>
      </c>
      <c r="B736" t="s">
        <v>80</v>
      </c>
      <c r="C736" t="s">
        <v>77</v>
      </c>
      <c r="D736" t="s">
        <v>82</v>
      </c>
      <c r="E736" t="s">
        <v>78</v>
      </c>
      <c r="F736" s="71">
        <v>39814</v>
      </c>
      <c r="G736">
        <v>7483.38</v>
      </c>
      <c r="H736">
        <v>3395814.54</v>
      </c>
      <c r="I736">
        <v>8986249.3500000015</v>
      </c>
      <c r="J736">
        <v>12968719.9</v>
      </c>
      <c r="K736">
        <v>16804876.899999999</v>
      </c>
      <c r="L736">
        <v>18990178.949999999</v>
      </c>
      <c r="M736">
        <v>20646604.079999998</v>
      </c>
      <c r="N736">
        <v>21176334.68</v>
      </c>
      <c r="O736">
        <v>21333085.41</v>
      </c>
      <c r="P736">
        <v>21673285.440000001</v>
      </c>
      <c r="Q736">
        <v>21808874.489999998</v>
      </c>
      <c r="R736">
        <v>22024340.57</v>
      </c>
      <c r="S736">
        <v>22083640.539999999</v>
      </c>
      <c r="T736">
        <v>22218067.57</v>
      </c>
      <c r="U736">
        <v>22289639.309999999</v>
      </c>
      <c r="V736">
        <v>22309707.239999998</v>
      </c>
      <c r="W736">
        <v>22326996.760000002</v>
      </c>
    </row>
    <row r="737" spans="1:22" x14ac:dyDescent="0.25">
      <c r="A737" t="s">
        <v>63</v>
      </c>
      <c r="B737" t="s">
        <v>80</v>
      </c>
      <c r="C737" t="s">
        <v>77</v>
      </c>
      <c r="D737" t="s">
        <v>82</v>
      </c>
      <c r="E737" t="s">
        <v>78</v>
      </c>
      <c r="F737" s="71">
        <v>40179</v>
      </c>
      <c r="G737">
        <v>0</v>
      </c>
      <c r="H737">
        <v>4426602.1900000004</v>
      </c>
      <c r="I737">
        <v>10250795.119999999</v>
      </c>
      <c r="J737">
        <v>15187966</v>
      </c>
      <c r="K737">
        <v>19251879.960000001</v>
      </c>
      <c r="L737">
        <v>20948794.23</v>
      </c>
      <c r="M737">
        <v>21784234.199999999</v>
      </c>
      <c r="N737">
        <v>22357781.219999999</v>
      </c>
      <c r="O737">
        <v>22802606.210000001</v>
      </c>
      <c r="P737">
        <v>23009464.559999999</v>
      </c>
      <c r="Q737">
        <v>23261621.32</v>
      </c>
      <c r="R737">
        <v>23433077.02</v>
      </c>
      <c r="S737">
        <v>23493834.34</v>
      </c>
      <c r="T737">
        <v>23502114.77</v>
      </c>
      <c r="U737">
        <v>23619215.370000001</v>
      </c>
      <c r="V737">
        <v>23764025.969999999</v>
      </c>
    </row>
    <row r="738" spans="1:22" x14ac:dyDescent="0.25">
      <c r="A738" t="s">
        <v>63</v>
      </c>
      <c r="B738" t="s">
        <v>80</v>
      </c>
      <c r="C738" t="s">
        <v>77</v>
      </c>
      <c r="D738" t="s">
        <v>82</v>
      </c>
      <c r="E738" t="s">
        <v>78</v>
      </c>
      <c r="F738" s="71">
        <v>40544</v>
      </c>
      <c r="G738">
        <v>8345.17</v>
      </c>
      <c r="H738">
        <v>5625371.8200000003</v>
      </c>
      <c r="I738">
        <v>12981746.16</v>
      </c>
      <c r="J738">
        <v>18166054.300000001</v>
      </c>
      <c r="K738">
        <v>21666282.800000001</v>
      </c>
      <c r="L738">
        <v>23306204.829999998</v>
      </c>
      <c r="M738">
        <v>25014032.309999999</v>
      </c>
      <c r="N738">
        <v>25922851.77</v>
      </c>
      <c r="O738">
        <v>25807738.5</v>
      </c>
      <c r="P738">
        <v>26111582.100000001</v>
      </c>
      <c r="Q738">
        <v>26689297.25</v>
      </c>
      <c r="R738">
        <v>27025828.579999998</v>
      </c>
      <c r="S738">
        <v>27222609.640000001</v>
      </c>
      <c r="T738">
        <v>27992332.899999999</v>
      </c>
      <c r="U738">
        <v>28047111.34</v>
      </c>
    </row>
    <row r="739" spans="1:22" x14ac:dyDescent="0.25">
      <c r="A739" t="s">
        <v>63</v>
      </c>
      <c r="B739" t="s">
        <v>80</v>
      </c>
      <c r="C739" t="s">
        <v>77</v>
      </c>
      <c r="D739" t="s">
        <v>82</v>
      </c>
      <c r="E739" t="s">
        <v>78</v>
      </c>
      <c r="F739" s="71">
        <v>40909</v>
      </c>
      <c r="G739">
        <v>21346.77</v>
      </c>
      <c r="H739">
        <v>6202021.9500000002</v>
      </c>
      <c r="I739">
        <v>13613437.060000001</v>
      </c>
      <c r="J739">
        <v>18729392.68</v>
      </c>
      <c r="K739">
        <v>22489280.949999999</v>
      </c>
      <c r="L739">
        <v>24570845.030000001</v>
      </c>
      <c r="M739">
        <v>26054749.690000001</v>
      </c>
      <c r="N739">
        <v>27075887.920000002</v>
      </c>
      <c r="O739">
        <v>27447758.52</v>
      </c>
      <c r="P739">
        <v>27697549.440000001</v>
      </c>
      <c r="Q739">
        <v>27892165.43</v>
      </c>
      <c r="R739">
        <v>28136002.77</v>
      </c>
      <c r="S739">
        <v>28166187.539999999</v>
      </c>
      <c r="T739">
        <v>28314238.25</v>
      </c>
    </row>
    <row r="740" spans="1:22" x14ac:dyDescent="0.25">
      <c r="A740" t="s">
        <v>63</v>
      </c>
      <c r="B740" t="s">
        <v>80</v>
      </c>
      <c r="C740" t="s">
        <v>77</v>
      </c>
      <c r="D740" t="s">
        <v>82</v>
      </c>
      <c r="E740" t="s">
        <v>78</v>
      </c>
      <c r="F740" s="71">
        <v>41275</v>
      </c>
      <c r="G740">
        <v>56377.3</v>
      </c>
      <c r="H740">
        <v>7644948.4800000004</v>
      </c>
      <c r="I740">
        <v>18232118.239999998</v>
      </c>
      <c r="J740">
        <v>24265433.140000001</v>
      </c>
      <c r="K740">
        <v>28980956.350000001</v>
      </c>
      <c r="L740">
        <v>31507160.699999999</v>
      </c>
      <c r="M740">
        <v>33350927.859999999</v>
      </c>
      <c r="N740">
        <v>34517731.240000002</v>
      </c>
      <c r="O740">
        <v>35561991.439999998</v>
      </c>
      <c r="P740">
        <v>36132317.43</v>
      </c>
      <c r="Q740">
        <v>36947615.509999998</v>
      </c>
      <c r="R740">
        <v>37721702.770000003</v>
      </c>
      <c r="S740">
        <v>38755890.310000002</v>
      </c>
    </row>
    <row r="741" spans="1:22" x14ac:dyDescent="0.25">
      <c r="A741" t="s">
        <v>63</v>
      </c>
      <c r="B741" t="s">
        <v>80</v>
      </c>
      <c r="C741" t="s">
        <v>77</v>
      </c>
      <c r="D741" t="s">
        <v>82</v>
      </c>
      <c r="E741" t="s">
        <v>78</v>
      </c>
      <c r="F741" s="71">
        <v>41640</v>
      </c>
      <c r="G741">
        <v>34125.86</v>
      </c>
      <c r="H741">
        <v>9581843.1800000016</v>
      </c>
      <c r="I741">
        <v>21508420.609999999</v>
      </c>
      <c r="J741">
        <v>28617375.399999999</v>
      </c>
      <c r="K741">
        <v>33559457.140000001</v>
      </c>
      <c r="L741">
        <v>37352205.219999999</v>
      </c>
      <c r="M741">
        <v>39018042.130000003</v>
      </c>
      <c r="N741">
        <v>39973484.520000003</v>
      </c>
      <c r="O741">
        <v>41185760.079999998</v>
      </c>
      <c r="P741">
        <v>41789926.079999991</v>
      </c>
      <c r="Q741">
        <v>42583796.489999987</v>
      </c>
      <c r="R741">
        <v>43181085.899999999</v>
      </c>
    </row>
    <row r="742" spans="1:22" x14ac:dyDescent="0.25">
      <c r="A742" t="s">
        <v>63</v>
      </c>
      <c r="B742" t="s">
        <v>80</v>
      </c>
      <c r="C742" t="s">
        <v>77</v>
      </c>
      <c r="D742" t="s">
        <v>82</v>
      </c>
      <c r="E742" t="s">
        <v>78</v>
      </c>
      <c r="F742" s="71">
        <v>42005</v>
      </c>
      <c r="G742">
        <v>91958.569999999992</v>
      </c>
      <c r="H742">
        <v>8982818.290000001</v>
      </c>
      <c r="I742">
        <v>19512597.68</v>
      </c>
      <c r="J742">
        <v>25585773.84</v>
      </c>
      <c r="K742">
        <v>30675144.850000001</v>
      </c>
      <c r="L742">
        <v>34075604.459999993</v>
      </c>
      <c r="M742">
        <v>35761203.57</v>
      </c>
      <c r="N742">
        <v>37082842.299999997</v>
      </c>
      <c r="O742">
        <v>38113091.039999999</v>
      </c>
      <c r="P742">
        <v>38610069.970000014</v>
      </c>
      <c r="Q742">
        <v>38202496.729999997</v>
      </c>
    </row>
    <row r="743" spans="1:22" x14ac:dyDescent="0.25">
      <c r="A743" t="s">
        <v>63</v>
      </c>
      <c r="B743" t="s">
        <v>80</v>
      </c>
      <c r="C743" t="s">
        <v>77</v>
      </c>
      <c r="D743" t="s">
        <v>82</v>
      </c>
      <c r="E743" t="s">
        <v>78</v>
      </c>
      <c r="F743" s="71">
        <v>42370</v>
      </c>
      <c r="G743">
        <v>37349.58</v>
      </c>
      <c r="H743">
        <v>9317417.9299999997</v>
      </c>
      <c r="I743">
        <v>20688763.370000001</v>
      </c>
      <c r="J743">
        <v>28740756.760000009</v>
      </c>
      <c r="K743">
        <v>32666071.09</v>
      </c>
      <c r="L743">
        <v>34584471.420000002</v>
      </c>
      <c r="M743">
        <v>36044126</v>
      </c>
      <c r="N743">
        <v>37140138.929999992</v>
      </c>
      <c r="O743">
        <v>37826474.32</v>
      </c>
      <c r="P743">
        <v>39035324.68</v>
      </c>
    </row>
    <row r="744" spans="1:22" x14ac:dyDescent="0.25">
      <c r="A744" t="s">
        <v>63</v>
      </c>
      <c r="B744" t="s">
        <v>80</v>
      </c>
      <c r="C744" t="s">
        <v>77</v>
      </c>
      <c r="D744" t="s">
        <v>82</v>
      </c>
      <c r="E744" t="s">
        <v>78</v>
      </c>
      <c r="F744" s="71">
        <v>42736</v>
      </c>
      <c r="G744">
        <v>76235.839999999997</v>
      </c>
      <c r="H744">
        <v>15870616.640000001</v>
      </c>
      <c r="I744">
        <v>33468387.460000001</v>
      </c>
      <c r="J744">
        <v>45060653.299999997</v>
      </c>
      <c r="K744">
        <v>52130586.88000001</v>
      </c>
      <c r="L744">
        <v>57895262.109999992</v>
      </c>
      <c r="M744">
        <v>60378794.349999987</v>
      </c>
      <c r="N744">
        <v>62772068.75</v>
      </c>
      <c r="O744">
        <v>64384056.00999999</v>
      </c>
    </row>
    <row r="745" spans="1:22" x14ac:dyDescent="0.25">
      <c r="A745" t="s">
        <v>63</v>
      </c>
      <c r="B745" t="s">
        <v>80</v>
      </c>
      <c r="C745" t="s">
        <v>77</v>
      </c>
      <c r="D745" t="s">
        <v>82</v>
      </c>
      <c r="E745" t="s">
        <v>78</v>
      </c>
      <c r="F745" s="71">
        <v>43101</v>
      </c>
      <c r="G745">
        <v>93029.390000000014</v>
      </c>
      <c r="H745">
        <v>25692527.309999999</v>
      </c>
      <c r="I745">
        <v>54454840.979999997</v>
      </c>
      <c r="J745">
        <v>70927719.590000004</v>
      </c>
      <c r="K745">
        <v>81269631.850000024</v>
      </c>
      <c r="L745">
        <v>88737363.649999991</v>
      </c>
      <c r="M745">
        <v>93662025.340000004</v>
      </c>
      <c r="N745">
        <v>97056202.939999998</v>
      </c>
    </row>
    <row r="746" spans="1:22" x14ac:dyDescent="0.25">
      <c r="A746" t="s">
        <v>63</v>
      </c>
      <c r="B746" t="s">
        <v>80</v>
      </c>
      <c r="C746" t="s">
        <v>77</v>
      </c>
      <c r="D746" t="s">
        <v>82</v>
      </c>
      <c r="E746" t="s">
        <v>78</v>
      </c>
      <c r="F746" s="71">
        <v>43466</v>
      </c>
      <c r="G746">
        <v>411923.05999999988</v>
      </c>
      <c r="H746">
        <v>33570969.130000003</v>
      </c>
      <c r="I746">
        <v>64262171.830000013</v>
      </c>
      <c r="J746">
        <v>86936772.899999991</v>
      </c>
      <c r="K746">
        <v>102361837.75</v>
      </c>
      <c r="L746">
        <v>113788217.84999999</v>
      </c>
      <c r="M746">
        <v>120972566.25</v>
      </c>
    </row>
    <row r="747" spans="1:22" x14ac:dyDescent="0.25">
      <c r="A747" t="s">
        <v>63</v>
      </c>
      <c r="B747" t="s">
        <v>80</v>
      </c>
      <c r="C747" t="s">
        <v>77</v>
      </c>
      <c r="D747" t="s">
        <v>82</v>
      </c>
      <c r="E747" t="s">
        <v>78</v>
      </c>
      <c r="F747" s="71">
        <v>43831</v>
      </c>
      <c r="G747">
        <v>284547.28999999998</v>
      </c>
      <c r="H747">
        <v>30595224.170000002</v>
      </c>
      <c r="I747">
        <v>68092735.75</v>
      </c>
      <c r="J747">
        <v>89855740.689999998</v>
      </c>
      <c r="K747">
        <v>103193673.05</v>
      </c>
      <c r="L747">
        <v>118596356.3</v>
      </c>
    </row>
    <row r="748" spans="1:22" x14ac:dyDescent="0.25">
      <c r="A748" t="s">
        <v>63</v>
      </c>
      <c r="B748" t="s">
        <v>80</v>
      </c>
      <c r="C748" t="s">
        <v>77</v>
      </c>
      <c r="D748" t="s">
        <v>82</v>
      </c>
      <c r="E748" t="s">
        <v>78</v>
      </c>
      <c r="F748" s="71">
        <v>44197</v>
      </c>
      <c r="G748">
        <v>184097.82</v>
      </c>
      <c r="H748">
        <v>37354193.919999987</v>
      </c>
      <c r="I748">
        <v>72949703.180000007</v>
      </c>
      <c r="J748">
        <v>94513665.460000008</v>
      </c>
      <c r="K748">
        <v>110137208.26000001</v>
      </c>
    </row>
    <row r="749" spans="1:22" x14ac:dyDescent="0.25">
      <c r="A749" t="s">
        <v>63</v>
      </c>
      <c r="B749" t="s">
        <v>80</v>
      </c>
      <c r="C749" t="s">
        <v>77</v>
      </c>
      <c r="D749" t="s">
        <v>82</v>
      </c>
      <c r="E749" t="s">
        <v>78</v>
      </c>
      <c r="F749" s="71">
        <v>44562</v>
      </c>
      <c r="G749">
        <v>270039.90000000002</v>
      </c>
      <c r="H749">
        <v>38877710.340000004</v>
      </c>
      <c r="I749">
        <v>75823721.430000007</v>
      </c>
      <c r="J749">
        <v>103103468.43000001</v>
      </c>
    </row>
    <row r="750" spans="1:22" x14ac:dyDescent="0.25">
      <c r="A750" t="s">
        <v>63</v>
      </c>
      <c r="B750" t="s">
        <v>80</v>
      </c>
      <c r="C750" t="s">
        <v>77</v>
      </c>
      <c r="D750" t="s">
        <v>82</v>
      </c>
      <c r="E750" t="s">
        <v>78</v>
      </c>
      <c r="F750" s="71">
        <v>44927</v>
      </c>
      <c r="G750">
        <v>261674.98</v>
      </c>
      <c r="H750">
        <v>34202273.310000002</v>
      </c>
      <c r="I750">
        <v>76087394.399999991</v>
      </c>
    </row>
    <row r="751" spans="1:22" x14ac:dyDescent="0.25">
      <c r="A751" t="s">
        <v>63</v>
      </c>
      <c r="B751" t="s">
        <v>80</v>
      </c>
      <c r="C751" t="s">
        <v>77</v>
      </c>
      <c r="D751" t="s">
        <v>82</v>
      </c>
      <c r="E751" t="s">
        <v>78</v>
      </c>
      <c r="F751" s="71">
        <v>45292</v>
      </c>
      <c r="G751">
        <v>111211.92</v>
      </c>
      <c r="H751">
        <v>25688820.010000002</v>
      </c>
    </row>
    <row r="752" spans="1:22" x14ac:dyDescent="0.25">
      <c r="A752" t="s">
        <v>63</v>
      </c>
      <c r="B752" t="s">
        <v>80</v>
      </c>
      <c r="C752" t="s">
        <v>77</v>
      </c>
      <c r="D752" t="s">
        <v>82</v>
      </c>
      <c r="E752" t="s">
        <v>78</v>
      </c>
      <c r="F752" s="71">
        <v>45658</v>
      </c>
      <c r="G752">
        <v>146178.99</v>
      </c>
    </row>
    <row r="753" spans="1:31" x14ac:dyDescent="0.25">
      <c r="A753" t="s">
        <v>64</v>
      </c>
      <c r="B753" t="s">
        <v>76</v>
      </c>
      <c r="C753" t="s">
        <v>77</v>
      </c>
      <c r="D753" t="s">
        <v>82</v>
      </c>
      <c r="E753" t="s">
        <v>78</v>
      </c>
      <c r="F753" s="71">
        <v>36892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25">
      <c r="A754" t="s">
        <v>64</v>
      </c>
      <c r="B754" t="s">
        <v>76</v>
      </c>
      <c r="C754" t="s">
        <v>77</v>
      </c>
      <c r="D754" t="s">
        <v>82</v>
      </c>
      <c r="E754" t="s">
        <v>78</v>
      </c>
      <c r="F754" s="71">
        <v>37257</v>
      </c>
      <c r="G754">
        <v>427200.69</v>
      </c>
      <c r="H754">
        <v>427200.69</v>
      </c>
      <c r="I754">
        <v>427200.69</v>
      </c>
      <c r="J754">
        <v>427200.69</v>
      </c>
      <c r="K754">
        <v>427200.69</v>
      </c>
      <c r="L754">
        <v>427200.69</v>
      </c>
      <c r="M754">
        <v>427200.69</v>
      </c>
      <c r="N754">
        <v>427200.69</v>
      </c>
      <c r="O754">
        <v>427200.69</v>
      </c>
      <c r="P754">
        <v>427200.69</v>
      </c>
      <c r="Q754">
        <v>427200.69</v>
      </c>
      <c r="R754">
        <v>427200.69</v>
      </c>
      <c r="S754">
        <v>427200.69</v>
      </c>
      <c r="T754">
        <v>427200.69</v>
      </c>
      <c r="U754">
        <v>427200.69</v>
      </c>
      <c r="V754">
        <v>427200.69</v>
      </c>
      <c r="W754">
        <v>427200.69</v>
      </c>
      <c r="X754">
        <v>427200.69</v>
      </c>
      <c r="Y754">
        <v>427200.69</v>
      </c>
      <c r="Z754">
        <v>427200.69</v>
      </c>
      <c r="AA754">
        <v>427200.69</v>
      </c>
      <c r="AB754">
        <v>427200.69</v>
      </c>
      <c r="AC754">
        <v>427200.69</v>
      </c>
      <c r="AD754">
        <v>427200.69</v>
      </c>
    </row>
    <row r="755" spans="1:31" x14ac:dyDescent="0.25">
      <c r="A755" t="s">
        <v>64</v>
      </c>
      <c r="B755" t="s">
        <v>76</v>
      </c>
      <c r="C755" t="s">
        <v>77</v>
      </c>
      <c r="D755" t="s">
        <v>82</v>
      </c>
      <c r="E755" t="s">
        <v>78</v>
      </c>
      <c r="F755" s="71">
        <v>37622</v>
      </c>
      <c r="G755">
        <v>31757359.539999999</v>
      </c>
      <c r="H755">
        <v>31757359.539999999</v>
      </c>
      <c r="I755">
        <v>31757359.539999999</v>
      </c>
      <c r="J755">
        <v>31757359.539999999</v>
      </c>
      <c r="K755">
        <v>31757359.539999999</v>
      </c>
      <c r="L755">
        <v>31757359.539999999</v>
      </c>
      <c r="M755">
        <v>31757359.539999999</v>
      </c>
      <c r="N755">
        <v>31757359.539999999</v>
      </c>
      <c r="O755">
        <v>31757359.539999999</v>
      </c>
      <c r="P755">
        <v>31757359.539999999</v>
      </c>
      <c r="Q755">
        <v>31757359.539999999</v>
      </c>
      <c r="R755">
        <v>31757359.539999999</v>
      </c>
      <c r="S755">
        <v>31757359.539999999</v>
      </c>
      <c r="T755">
        <v>31757359.539999999</v>
      </c>
      <c r="U755">
        <v>31757359.539999999</v>
      </c>
      <c r="V755">
        <v>31757359.539999999</v>
      </c>
      <c r="W755">
        <v>31757359.539999999</v>
      </c>
      <c r="X755">
        <v>31757359.539999999</v>
      </c>
      <c r="Y755">
        <v>31757359.539999999</v>
      </c>
      <c r="Z755">
        <v>31757359.539999999</v>
      </c>
      <c r="AA755">
        <v>31757359.539999999</v>
      </c>
      <c r="AB755">
        <v>31757359.539999999</v>
      </c>
      <c r="AC755">
        <v>31757359.539999999</v>
      </c>
    </row>
    <row r="756" spans="1:31" x14ac:dyDescent="0.25">
      <c r="A756" t="s">
        <v>64</v>
      </c>
      <c r="B756" t="s">
        <v>76</v>
      </c>
      <c r="C756" t="s">
        <v>77</v>
      </c>
      <c r="D756" t="s">
        <v>82</v>
      </c>
      <c r="E756" t="s">
        <v>78</v>
      </c>
      <c r="F756" s="71">
        <v>37987</v>
      </c>
      <c r="G756">
        <v>55531213.530000053</v>
      </c>
      <c r="H756">
        <v>55531213.530000053</v>
      </c>
      <c r="I756">
        <v>55531213.530000053</v>
      </c>
      <c r="J756">
        <v>55531213.530000053</v>
      </c>
      <c r="K756">
        <v>55531213.530000053</v>
      </c>
      <c r="L756">
        <v>55531213.530000053</v>
      </c>
      <c r="M756">
        <v>55531213.530000053</v>
      </c>
      <c r="N756">
        <v>55531213.530000053</v>
      </c>
      <c r="O756">
        <v>55531213.530000053</v>
      </c>
      <c r="P756">
        <v>55531213.530000053</v>
      </c>
      <c r="Q756">
        <v>55531213.530000053</v>
      </c>
      <c r="R756">
        <v>55531213.530000053</v>
      </c>
      <c r="S756">
        <v>55531213.530000053</v>
      </c>
      <c r="T756">
        <v>55531213.530000053</v>
      </c>
      <c r="U756">
        <v>55531213.530000053</v>
      </c>
      <c r="V756">
        <v>55531213.530000053</v>
      </c>
      <c r="W756">
        <v>55531213.530000053</v>
      </c>
      <c r="X756">
        <v>55531213.530000053</v>
      </c>
      <c r="Y756">
        <v>55531213.530000053</v>
      </c>
      <c r="Z756">
        <v>55531213.530000053</v>
      </c>
      <c r="AA756">
        <v>55531213.530000053</v>
      </c>
      <c r="AB756">
        <v>55531213.530000053</v>
      </c>
    </row>
    <row r="757" spans="1:31" x14ac:dyDescent="0.25">
      <c r="A757" t="s">
        <v>64</v>
      </c>
      <c r="B757" t="s">
        <v>76</v>
      </c>
      <c r="C757" t="s">
        <v>77</v>
      </c>
      <c r="D757" t="s">
        <v>82</v>
      </c>
      <c r="E757" t="s">
        <v>78</v>
      </c>
      <c r="F757" s="71">
        <v>38353</v>
      </c>
      <c r="G757">
        <v>60404109.919999987</v>
      </c>
      <c r="H757">
        <v>60404109.919999987</v>
      </c>
      <c r="I757">
        <v>60404109.919999987</v>
      </c>
      <c r="J757">
        <v>60404109.919999987</v>
      </c>
      <c r="K757">
        <v>60404109.919999987</v>
      </c>
      <c r="L757">
        <v>60404109.919999987</v>
      </c>
      <c r="M757">
        <v>60404109.919999987</v>
      </c>
      <c r="N757">
        <v>60404109.919999987</v>
      </c>
      <c r="O757">
        <v>60404109.919999987</v>
      </c>
      <c r="P757">
        <v>60404109.919999987</v>
      </c>
      <c r="Q757">
        <v>60404109.919999987</v>
      </c>
      <c r="R757">
        <v>60404109.919999987</v>
      </c>
      <c r="S757">
        <v>60404109.919999987</v>
      </c>
      <c r="T757">
        <v>60404109.919999987</v>
      </c>
      <c r="U757">
        <v>60404109.919999987</v>
      </c>
      <c r="V757">
        <v>60404109.919999987</v>
      </c>
      <c r="W757">
        <v>60404109.919999987</v>
      </c>
      <c r="X757">
        <v>60404109.919999987</v>
      </c>
      <c r="Y757">
        <v>60404109.919999987</v>
      </c>
      <c r="Z757">
        <v>60404109.919999987</v>
      </c>
      <c r="AA757">
        <v>60404109.919999987</v>
      </c>
    </row>
    <row r="758" spans="1:31" x14ac:dyDescent="0.25">
      <c r="A758" t="s">
        <v>64</v>
      </c>
      <c r="B758" t="s">
        <v>76</v>
      </c>
      <c r="C758" t="s">
        <v>77</v>
      </c>
      <c r="D758" t="s">
        <v>82</v>
      </c>
      <c r="E758" t="s">
        <v>78</v>
      </c>
      <c r="F758" s="71">
        <v>38718</v>
      </c>
      <c r="G758">
        <v>64834785.080000013</v>
      </c>
      <c r="H758">
        <v>64834785.080000013</v>
      </c>
      <c r="I758">
        <v>64834785.080000013</v>
      </c>
      <c r="J758">
        <v>64834785.080000013</v>
      </c>
      <c r="K758">
        <v>64834785.080000013</v>
      </c>
      <c r="L758">
        <v>64834785.080000013</v>
      </c>
      <c r="M758">
        <v>64834785.080000013</v>
      </c>
      <c r="N758">
        <v>64834785.080000013</v>
      </c>
      <c r="O758">
        <v>64834785.080000013</v>
      </c>
      <c r="P758">
        <v>64834785.080000013</v>
      </c>
      <c r="Q758">
        <v>64834785.080000013</v>
      </c>
      <c r="R758">
        <v>64834785.080000013</v>
      </c>
      <c r="S758">
        <v>64834785.080000013</v>
      </c>
      <c r="T758">
        <v>64834785.080000013</v>
      </c>
      <c r="U758">
        <v>64834785.080000013</v>
      </c>
      <c r="V758">
        <v>64834785.080000013</v>
      </c>
      <c r="W758">
        <v>64834785.080000013</v>
      </c>
      <c r="X758">
        <v>64834785.080000013</v>
      </c>
      <c r="Y758">
        <v>64834785.080000013</v>
      </c>
      <c r="Z758">
        <v>64834785.080000013</v>
      </c>
    </row>
    <row r="759" spans="1:31" x14ac:dyDescent="0.25">
      <c r="A759" t="s">
        <v>64</v>
      </c>
      <c r="B759" t="s">
        <v>76</v>
      </c>
      <c r="C759" t="s">
        <v>77</v>
      </c>
      <c r="D759" t="s">
        <v>82</v>
      </c>
      <c r="E759" t="s">
        <v>78</v>
      </c>
      <c r="F759" s="71">
        <v>39083</v>
      </c>
      <c r="G759">
        <v>63167442.630000003</v>
      </c>
      <c r="H759">
        <v>63167442.630000003</v>
      </c>
      <c r="I759">
        <v>63167442.630000003</v>
      </c>
      <c r="J759">
        <v>63167442.630000003</v>
      </c>
      <c r="K759">
        <v>63167442.630000003</v>
      </c>
      <c r="L759">
        <v>63167442.630000003</v>
      </c>
      <c r="M759">
        <v>63167442.630000003</v>
      </c>
      <c r="N759">
        <v>63167442.630000003</v>
      </c>
      <c r="O759">
        <v>63167442.630000003</v>
      </c>
      <c r="P759">
        <v>63167442.630000003</v>
      </c>
      <c r="Q759">
        <v>63167442.630000003</v>
      </c>
      <c r="R759">
        <v>63167442.630000003</v>
      </c>
      <c r="S759">
        <v>63167442.630000003</v>
      </c>
      <c r="T759">
        <v>63167442.630000003</v>
      </c>
      <c r="U759">
        <v>63167442.630000003</v>
      </c>
      <c r="V759">
        <v>63167442.630000003</v>
      </c>
      <c r="W759">
        <v>63167442.630000003</v>
      </c>
      <c r="X759">
        <v>63167442.630000003</v>
      </c>
      <c r="Y759">
        <v>63167442.630000003</v>
      </c>
    </row>
    <row r="760" spans="1:31" x14ac:dyDescent="0.25">
      <c r="A760" t="s">
        <v>64</v>
      </c>
      <c r="B760" t="s">
        <v>76</v>
      </c>
      <c r="C760" t="s">
        <v>77</v>
      </c>
      <c r="D760" t="s">
        <v>82</v>
      </c>
      <c r="E760" t="s">
        <v>78</v>
      </c>
      <c r="F760" s="71">
        <v>39448</v>
      </c>
      <c r="G760">
        <v>56212327.749999978</v>
      </c>
      <c r="H760">
        <v>56212327.749999978</v>
      </c>
      <c r="I760">
        <v>56212327.749999978</v>
      </c>
      <c r="J760">
        <v>56212327.749999978</v>
      </c>
      <c r="K760">
        <v>56212327.749999978</v>
      </c>
      <c r="L760">
        <v>56212327.749999978</v>
      </c>
      <c r="M760">
        <v>56212327.749999978</v>
      </c>
      <c r="N760">
        <v>56212327.749999978</v>
      </c>
      <c r="O760">
        <v>56212327.749999978</v>
      </c>
      <c r="P760">
        <v>56212327.749999978</v>
      </c>
      <c r="Q760">
        <v>56212327.749999978</v>
      </c>
      <c r="R760">
        <v>56212327.749999978</v>
      </c>
      <c r="S760">
        <v>56212327.749999978</v>
      </c>
      <c r="T760">
        <v>56212327.749999978</v>
      </c>
      <c r="U760">
        <v>56212327.749999978</v>
      </c>
      <c r="V760">
        <v>56212327.749999978</v>
      </c>
      <c r="W760">
        <v>56212327.749999978</v>
      </c>
      <c r="X760">
        <v>56212327.749999978</v>
      </c>
    </row>
    <row r="761" spans="1:31" x14ac:dyDescent="0.25">
      <c r="A761" t="s">
        <v>64</v>
      </c>
      <c r="B761" t="s">
        <v>76</v>
      </c>
      <c r="C761" t="s">
        <v>77</v>
      </c>
      <c r="D761" t="s">
        <v>82</v>
      </c>
      <c r="E761" t="s">
        <v>78</v>
      </c>
      <c r="F761" s="71">
        <v>39814</v>
      </c>
      <c r="G761">
        <v>42135833.439019971</v>
      </c>
      <c r="H761">
        <v>42135833.439019971</v>
      </c>
      <c r="I761">
        <v>42135833.439019971</v>
      </c>
      <c r="J761">
        <v>42135833.439019971</v>
      </c>
      <c r="K761">
        <v>42135833.439019971</v>
      </c>
      <c r="L761">
        <v>42135833.439019971</v>
      </c>
      <c r="M761">
        <v>42135833.439019971</v>
      </c>
      <c r="N761">
        <v>42135833.439019971</v>
      </c>
      <c r="O761">
        <v>42135833.439019971</v>
      </c>
      <c r="P761">
        <v>42135833.439019971</v>
      </c>
      <c r="Q761">
        <v>42135833.439019971</v>
      </c>
      <c r="R761">
        <v>42135833.439019971</v>
      </c>
      <c r="S761">
        <v>42135833.439019971</v>
      </c>
      <c r="T761">
        <v>42135833.439019971</v>
      </c>
      <c r="U761">
        <v>42135833.439019971</v>
      </c>
      <c r="V761">
        <v>42135833.439019971</v>
      </c>
      <c r="W761">
        <v>42135833.439019971</v>
      </c>
    </row>
    <row r="762" spans="1:31" x14ac:dyDescent="0.25">
      <c r="A762" t="s">
        <v>64</v>
      </c>
      <c r="B762" t="s">
        <v>76</v>
      </c>
      <c r="C762" t="s">
        <v>77</v>
      </c>
      <c r="D762" t="s">
        <v>82</v>
      </c>
      <c r="E762" t="s">
        <v>78</v>
      </c>
      <c r="F762" s="71">
        <v>40179</v>
      </c>
      <c r="G762">
        <v>32887353.5594</v>
      </c>
      <c r="H762">
        <v>32887353.5594</v>
      </c>
      <c r="I762">
        <v>32887353.5594</v>
      </c>
      <c r="J762">
        <v>32887353.5594</v>
      </c>
      <c r="K762">
        <v>32887353.5594</v>
      </c>
      <c r="L762">
        <v>32887353.5594</v>
      </c>
      <c r="M762">
        <v>32887353.5594</v>
      </c>
      <c r="N762">
        <v>32887353.5594</v>
      </c>
      <c r="O762">
        <v>32887353.5594</v>
      </c>
      <c r="P762">
        <v>32887353.5594</v>
      </c>
      <c r="Q762">
        <v>32887353.5594</v>
      </c>
      <c r="R762">
        <v>32887353.5594</v>
      </c>
      <c r="S762">
        <v>32887353.5594</v>
      </c>
      <c r="T762">
        <v>32887353.5594</v>
      </c>
      <c r="U762">
        <v>32887353.5594</v>
      </c>
      <c r="V762">
        <v>32887353.5594</v>
      </c>
    </row>
    <row r="763" spans="1:31" x14ac:dyDescent="0.25">
      <c r="A763" t="s">
        <v>64</v>
      </c>
      <c r="B763" t="s">
        <v>76</v>
      </c>
      <c r="C763" t="s">
        <v>77</v>
      </c>
      <c r="D763" t="s">
        <v>82</v>
      </c>
      <c r="E763" t="s">
        <v>78</v>
      </c>
      <c r="F763" s="71">
        <v>40544</v>
      </c>
      <c r="G763">
        <v>35019956.429999977</v>
      </c>
      <c r="H763">
        <v>35019956.429999977</v>
      </c>
      <c r="I763">
        <v>35019956.429999977</v>
      </c>
      <c r="J763">
        <v>35019956.429999977</v>
      </c>
      <c r="K763">
        <v>35019956.429999977</v>
      </c>
      <c r="L763">
        <v>35019956.429999977</v>
      </c>
      <c r="M763">
        <v>35019956.429999977</v>
      </c>
      <c r="N763">
        <v>35019956.429999977</v>
      </c>
      <c r="O763">
        <v>35019956.429999977</v>
      </c>
      <c r="P763">
        <v>35019956.429999977</v>
      </c>
      <c r="Q763">
        <v>35019956.429999977</v>
      </c>
      <c r="R763">
        <v>35019956.429999977</v>
      </c>
      <c r="S763">
        <v>35019956.429999977</v>
      </c>
      <c r="T763">
        <v>35019956.429999977</v>
      </c>
      <c r="U763">
        <v>35019956.429999977</v>
      </c>
    </row>
    <row r="764" spans="1:31" x14ac:dyDescent="0.25">
      <c r="A764" t="s">
        <v>64</v>
      </c>
      <c r="B764" t="s">
        <v>76</v>
      </c>
      <c r="C764" t="s">
        <v>77</v>
      </c>
      <c r="D764" t="s">
        <v>82</v>
      </c>
      <c r="E764" t="s">
        <v>78</v>
      </c>
      <c r="F764" s="71">
        <v>40909</v>
      </c>
      <c r="G764">
        <v>38221042.620000012</v>
      </c>
      <c r="H764">
        <v>38221042.620000012</v>
      </c>
      <c r="I764">
        <v>38221042.620000012</v>
      </c>
      <c r="J764">
        <v>38221042.620000012</v>
      </c>
      <c r="K764">
        <v>38221042.620000012</v>
      </c>
      <c r="L764">
        <v>38221042.620000012</v>
      </c>
      <c r="M764">
        <v>38221042.620000012</v>
      </c>
      <c r="N764">
        <v>38221042.620000012</v>
      </c>
      <c r="O764">
        <v>38221042.620000012</v>
      </c>
      <c r="P764">
        <v>38221042.620000012</v>
      </c>
      <c r="Q764">
        <v>38221042.620000012</v>
      </c>
      <c r="R764">
        <v>38221042.620000012</v>
      </c>
      <c r="S764">
        <v>38221042.620000012</v>
      </c>
      <c r="T764">
        <v>38221042.620000012</v>
      </c>
    </row>
    <row r="765" spans="1:31" x14ac:dyDescent="0.25">
      <c r="A765" t="s">
        <v>64</v>
      </c>
      <c r="B765" t="s">
        <v>76</v>
      </c>
      <c r="C765" t="s">
        <v>77</v>
      </c>
      <c r="D765" t="s">
        <v>82</v>
      </c>
      <c r="E765" t="s">
        <v>78</v>
      </c>
      <c r="F765" s="71">
        <v>41275</v>
      </c>
      <c r="G765">
        <v>40264559.509999998</v>
      </c>
      <c r="H765">
        <v>40264559.509999998</v>
      </c>
      <c r="I765">
        <v>40264559.509999998</v>
      </c>
      <c r="J765">
        <v>40264559.509999998</v>
      </c>
      <c r="K765">
        <v>40264559.509999998</v>
      </c>
      <c r="L765">
        <v>40264559.509999998</v>
      </c>
      <c r="M765">
        <v>40264559.509999998</v>
      </c>
      <c r="N765">
        <v>40264559.509999998</v>
      </c>
      <c r="O765">
        <v>40264559.509999998</v>
      </c>
      <c r="P765">
        <v>40264559.509999998</v>
      </c>
      <c r="Q765">
        <v>40264559.509999998</v>
      </c>
      <c r="R765">
        <v>40264559.509999998</v>
      </c>
      <c r="S765">
        <v>40264559.509999998</v>
      </c>
    </row>
    <row r="766" spans="1:31" x14ac:dyDescent="0.25">
      <c r="A766" t="s">
        <v>64</v>
      </c>
      <c r="B766" t="s">
        <v>76</v>
      </c>
      <c r="C766" t="s">
        <v>77</v>
      </c>
      <c r="D766" t="s">
        <v>82</v>
      </c>
      <c r="E766" t="s">
        <v>78</v>
      </c>
      <c r="F766" s="71">
        <v>41640</v>
      </c>
      <c r="G766">
        <v>41578853.369999997</v>
      </c>
      <c r="H766">
        <v>41578853.369999997</v>
      </c>
      <c r="I766">
        <v>41578853.369999997</v>
      </c>
      <c r="J766">
        <v>41578853.369999997</v>
      </c>
      <c r="K766">
        <v>41578853.369999997</v>
      </c>
      <c r="L766">
        <v>41578853.369999997</v>
      </c>
      <c r="M766">
        <v>41578853.369999997</v>
      </c>
      <c r="N766">
        <v>41578853.369999997</v>
      </c>
      <c r="O766">
        <v>41578853.369999997</v>
      </c>
      <c r="P766">
        <v>41578853.369999997</v>
      </c>
      <c r="Q766">
        <v>41578853.369999997</v>
      </c>
      <c r="R766">
        <v>41578853.369999997</v>
      </c>
    </row>
    <row r="767" spans="1:31" x14ac:dyDescent="0.25">
      <c r="A767" t="s">
        <v>64</v>
      </c>
      <c r="B767" t="s">
        <v>76</v>
      </c>
      <c r="C767" t="s">
        <v>77</v>
      </c>
      <c r="D767" t="s">
        <v>82</v>
      </c>
      <c r="E767" t="s">
        <v>78</v>
      </c>
      <c r="F767" s="71">
        <v>42005</v>
      </c>
      <c r="G767">
        <v>43155825.610000007</v>
      </c>
      <c r="H767">
        <v>43155825.610000007</v>
      </c>
      <c r="I767">
        <v>43155825.610000007</v>
      </c>
      <c r="J767">
        <v>43155825.610000007</v>
      </c>
      <c r="K767">
        <v>43155825.610000007</v>
      </c>
      <c r="L767">
        <v>43155825.610000007</v>
      </c>
      <c r="M767">
        <v>43155825.610000007</v>
      </c>
      <c r="N767">
        <v>43155825.610000007</v>
      </c>
      <c r="O767">
        <v>43155825.610000007</v>
      </c>
      <c r="P767">
        <v>43155825.610000007</v>
      </c>
      <c r="Q767">
        <v>43155825.610000007</v>
      </c>
    </row>
    <row r="768" spans="1:31" x14ac:dyDescent="0.25">
      <c r="A768" t="s">
        <v>64</v>
      </c>
      <c r="B768" t="s">
        <v>76</v>
      </c>
      <c r="C768" t="s">
        <v>77</v>
      </c>
      <c r="D768" t="s">
        <v>82</v>
      </c>
      <c r="E768" t="s">
        <v>78</v>
      </c>
      <c r="F768" s="71">
        <v>42370</v>
      </c>
      <c r="G768">
        <v>44706104.310000002</v>
      </c>
      <c r="H768">
        <v>44706104.310000002</v>
      </c>
      <c r="I768">
        <v>44706104.310000002</v>
      </c>
      <c r="J768">
        <v>44706104.310000002</v>
      </c>
      <c r="K768">
        <v>44706104.310000002</v>
      </c>
      <c r="L768">
        <v>44706104.310000002</v>
      </c>
      <c r="M768">
        <v>44706104.310000002</v>
      </c>
      <c r="N768">
        <v>44706104.310000002</v>
      </c>
      <c r="O768">
        <v>44706104.310000002</v>
      </c>
      <c r="P768">
        <v>44706104.310000002</v>
      </c>
    </row>
    <row r="769" spans="1:31" x14ac:dyDescent="0.25">
      <c r="A769" t="s">
        <v>64</v>
      </c>
      <c r="B769" t="s">
        <v>76</v>
      </c>
      <c r="C769" t="s">
        <v>77</v>
      </c>
      <c r="D769" t="s">
        <v>82</v>
      </c>
      <c r="E769" t="s">
        <v>78</v>
      </c>
      <c r="F769" s="71">
        <v>42736</v>
      </c>
      <c r="G769">
        <v>45116550.259999983</v>
      </c>
      <c r="H769">
        <v>45116550.259999983</v>
      </c>
      <c r="I769">
        <v>45116550.259999983</v>
      </c>
      <c r="J769">
        <v>45116550.259999983</v>
      </c>
      <c r="K769">
        <v>45116550.259999983</v>
      </c>
      <c r="L769">
        <v>45116550.259999983</v>
      </c>
      <c r="M769">
        <v>45116550.259999983</v>
      </c>
      <c r="N769">
        <v>45116550.259999983</v>
      </c>
      <c r="O769">
        <v>45116550.259999983</v>
      </c>
    </row>
    <row r="770" spans="1:31" x14ac:dyDescent="0.25">
      <c r="A770" t="s">
        <v>64</v>
      </c>
      <c r="B770" t="s">
        <v>76</v>
      </c>
      <c r="C770" t="s">
        <v>77</v>
      </c>
      <c r="D770" t="s">
        <v>82</v>
      </c>
      <c r="E770" t="s">
        <v>78</v>
      </c>
      <c r="F770" s="71">
        <v>43101</v>
      </c>
      <c r="G770">
        <v>45596924.670000017</v>
      </c>
      <c r="H770">
        <v>45596924.670000017</v>
      </c>
      <c r="I770">
        <v>45596924.670000017</v>
      </c>
      <c r="J770">
        <v>45596924.670000017</v>
      </c>
      <c r="K770">
        <v>45596924.670000017</v>
      </c>
      <c r="L770">
        <v>45596924.670000017</v>
      </c>
      <c r="M770">
        <v>45596924.670000017</v>
      </c>
      <c r="N770">
        <v>45596924.670000017</v>
      </c>
    </row>
    <row r="771" spans="1:31" x14ac:dyDescent="0.25">
      <c r="A771" t="s">
        <v>64</v>
      </c>
      <c r="B771" t="s">
        <v>76</v>
      </c>
      <c r="C771" t="s">
        <v>77</v>
      </c>
      <c r="D771" t="s">
        <v>82</v>
      </c>
      <c r="E771" t="s">
        <v>78</v>
      </c>
      <c r="F771" s="71">
        <v>43466</v>
      </c>
      <c r="G771">
        <v>49877377.550000027</v>
      </c>
      <c r="H771">
        <v>49877377.550000027</v>
      </c>
      <c r="I771">
        <v>49877377.550000027</v>
      </c>
      <c r="J771">
        <v>49877377.550000027</v>
      </c>
      <c r="K771">
        <v>49877377.550000027</v>
      </c>
      <c r="L771">
        <v>49877377.550000027</v>
      </c>
      <c r="M771">
        <v>49877377.550000027</v>
      </c>
    </row>
    <row r="772" spans="1:31" x14ac:dyDescent="0.25">
      <c r="A772" t="s">
        <v>64</v>
      </c>
      <c r="B772" t="s">
        <v>76</v>
      </c>
      <c r="C772" t="s">
        <v>77</v>
      </c>
      <c r="D772" t="s">
        <v>82</v>
      </c>
      <c r="E772" t="s">
        <v>78</v>
      </c>
      <c r="F772" s="71">
        <v>43831</v>
      </c>
      <c r="G772">
        <v>55221372.868605092</v>
      </c>
      <c r="H772">
        <v>55221372.868605092</v>
      </c>
      <c r="I772">
        <v>55221372.868605092</v>
      </c>
      <c r="J772">
        <v>55221372.868605092</v>
      </c>
      <c r="K772">
        <v>55221372.868605092</v>
      </c>
      <c r="L772">
        <v>55221372.868605092</v>
      </c>
    </row>
    <row r="773" spans="1:31" x14ac:dyDescent="0.25">
      <c r="A773" t="s">
        <v>64</v>
      </c>
      <c r="B773" t="s">
        <v>76</v>
      </c>
      <c r="C773" t="s">
        <v>77</v>
      </c>
      <c r="D773" t="s">
        <v>82</v>
      </c>
      <c r="E773" t="s">
        <v>78</v>
      </c>
      <c r="F773" s="71">
        <v>44197</v>
      </c>
      <c r="G773">
        <v>63035239.773359738</v>
      </c>
      <c r="H773">
        <v>63035239.773359738</v>
      </c>
      <c r="I773">
        <v>63035239.773359738</v>
      </c>
      <c r="J773">
        <v>63035239.773359738</v>
      </c>
      <c r="K773">
        <v>63035239.773359738</v>
      </c>
    </row>
    <row r="774" spans="1:31" x14ac:dyDescent="0.25">
      <c r="A774" t="s">
        <v>64</v>
      </c>
      <c r="B774" t="s">
        <v>76</v>
      </c>
      <c r="C774" t="s">
        <v>77</v>
      </c>
      <c r="D774" t="s">
        <v>82</v>
      </c>
      <c r="E774" t="s">
        <v>78</v>
      </c>
      <c r="F774" s="71">
        <v>44562</v>
      </c>
      <c r="G774">
        <v>68043034.475015357</v>
      </c>
      <c r="H774">
        <v>68043034.475015357</v>
      </c>
      <c r="I774">
        <v>68043034.475015357</v>
      </c>
      <c r="J774">
        <v>68043034.475015357</v>
      </c>
    </row>
    <row r="775" spans="1:31" x14ac:dyDescent="0.25">
      <c r="A775" t="s">
        <v>64</v>
      </c>
      <c r="B775" t="s">
        <v>76</v>
      </c>
      <c r="C775" t="s">
        <v>77</v>
      </c>
      <c r="D775" t="s">
        <v>82</v>
      </c>
      <c r="E775" t="s">
        <v>78</v>
      </c>
      <c r="F775" s="71">
        <v>44927</v>
      </c>
      <c r="G775">
        <v>52181441.876987264</v>
      </c>
      <c r="H775">
        <v>52181441.876987264</v>
      </c>
      <c r="I775">
        <v>52181441.876987264</v>
      </c>
    </row>
    <row r="776" spans="1:31" x14ac:dyDescent="0.25">
      <c r="A776" t="s">
        <v>64</v>
      </c>
      <c r="B776" t="s">
        <v>76</v>
      </c>
      <c r="C776" t="s">
        <v>77</v>
      </c>
      <c r="D776" t="s">
        <v>82</v>
      </c>
      <c r="E776" t="s">
        <v>78</v>
      </c>
      <c r="F776" s="71">
        <v>45292</v>
      </c>
      <c r="G776">
        <v>40161230.409999996</v>
      </c>
      <c r="H776">
        <v>40161230.409999996</v>
      </c>
    </row>
    <row r="777" spans="1:31" x14ac:dyDescent="0.25">
      <c r="A777" t="s">
        <v>64</v>
      </c>
      <c r="B777" t="s">
        <v>76</v>
      </c>
      <c r="C777" t="s">
        <v>77</v>
      </c>
      <c r="D777" t="s">
        <v>82</v>
      </c>
      <c r="E777" t="s">
        <v>78</v>
      </c>
      <c r="F777" s="71">
        <v>45658</v>
      </c>
      <c r="G777">
        <v>12886728.83</v>
      </c>
    </row>
    <row r="778" spans="1:31" x14ac:dyDescent="0.25">
      <c r="A778" t="s">
        <v>64</v>
      </c>
      <c r="B778" t="s">
        <v>79</v>
      </c>
      <c r="C778" t="s">
        <v>77</v>
      </c>
      <c r="D778" t="s">
        <v>82</v>
      </c>
      <c r="E778" t="s">
        <v>78</v>
      </c>
      <c r="F778" s="71">
        <v>36892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25">
      <c r="A779" t="s">
        <v>64</v>
      </c>
      <c r="B779" t="s">
        <v>79</v>
      </c>
      <c r="C779" t="s">
        <v>77</v>
      </c>
      <c r="D779" t="s">
        <v>82</v>
      </c>
      <c r="E779" t="s">
        <v>78</v>
      </c>
      <c r="F779" s="71">
        <v>37257</v>
      </c>
      <c r="G779">
        <v>0</v>
      </c>
      <c r="H779">
        <v>0</v>
      </c>
      <c r="I779">
        <v>46514.57</v>
      </c>
      <c r="J779">
        <v>113578.05</v>
      </c>
      <c r="K779">
        <v>274335.34999999998</v>
      </c>
      <c r="L779">
        <v>259908.9</v>
      </c>
      <c r="M779">
        <v>284224.75</v>
      </c>
      <c r="N779">
        <v>288724.75</v>
      </c>
      <c r="O779">
        <v>269224.75</v>
      </c>
      <c r="P779">
        <v>269224.75</v>
      </c>
      <c r="Q779">
        <v>269224.75</v>
      </c>
      <c r="R779">
        <v>269224.75</v>
      </c>
      <c r="S779">
        <v>269224.75</v>
      </c>
      <c r="T779">
        <v>269224.75</v>
      </c>
      <c r="U779">
        <v>269224.75</v>
      </c>
      <c r="V779">
        <v>269224.75</v>
      </c>
      <c r="W779">
        <v>269224.75</v>
      </c>
      <c r="X779">
        <v>269224.75</v>
      </c>
      <c r="Y779">
        <v>269224.75</v>
      </c>
      <c r="Z779">
        <v>269224.75</v>
      </c>
      <c r="AA779">
        <v>269224.75</v>
      </c>
      <c r="AB779">
        <v>269224.75</v>
      </c>
      <c r="AC779">
        <v>269224.75</v>
      </c>
      <c r="AD779">
        <v>269224.75</v>
      </c>
    </row>
    <row r="780" spans="1:31" x14ac:dyDescent="0.25">
      <c r="A780" t="s">
        <v>64</v>
      </c>
      <c r="B780" t="s">
        <v>79</v>
      </c>
      <c r="C780" t="s">
        <v>77</v>
      </c>
      <c r="D780" t="s">
        <v>82</v>
      </c>
      <c r="E780" t="s">
        <v>78</v>
      </c>
      <c r="F780" s="71">
        <v>37622</v>
      </c>
      <c r="G780">
        <v>0</v>
      </c>
      <c r="H780">
        <v>3601583.2</v>
      </c>
      <c r="I780">
        <v>9457524.0599999987</v>
      </c>
      <c r="J780">
        <v>17310439.559999999</v>
      </c>
      <c r="K780">
        <v>19114805.050000001</v>
      </c>
      <c r="L780">
        <v>25655284.050000001</v>
      </c>
      <c r="M780">
        <v>28214530.949999999</v>
      </c>
      <c r="N780">
        <v>28845319.879999999</v>
      </c>
      <c r="O780">
        <v>27733717.969999999</v>
      </c>
      <c r="P780">
        <v>28106434.66</v>
      </c>
      <c r="Q780">
        <v>28297564.84</v>
      </c>
      <c r="R780">
        <v>28149653.84</v>
      </c>
      <c r="S780">
        <v>28148965.379999999</v>
      </c>
      <c r="T780">
        <v>28179735.530000001</v>
      </c>
      <c r="U780">
        <v>28315532.530000001</v>
      </c>
      <c r="V780">
        <v>28704221.73</v>
      </c>
      <c r="W780">
        <v>28704221.73</v>
      </c>
      <c r="X780">
        <v>28708778.829999998</v>
      </c>
      <c r="Y780">
        <v>28828778.829999998</v>
      </c>
      <c r="Z780">
        <v>28617159.02</v>
      </c>
      <c r="AA780">
        <v>28581176.399999999</v>
      </c>
      <c r="AB780">
        <v>28585176.399999999</v>
      </c>
      <c r="AC780">
        <v>28585176.399999999</v>
      </c>
    </row>
    <row r="781" spans="1:31" x14ac:dyDescent="0.25">
      <c r="A781" t="s">
        <v>64</v>
      </c>
      <c r="B781" t="s">
        <v>79</v>
      </c>
      <c r="C781" t="s">
        <v>77</v>
      </c>
      <c r="D781" t="s">
        <v>82</v>
      </c>
      <c r="E781" t="s">
        <v>78</v>
      </c>
      <c r="F781" s="71">
        <v>37987</v>
      </c>
      <c r="G781">
        <v>716977.16</v>
      </c>
      <c r="H781">
        <v>4665784.63</v>
      </c>
      <c r="I781">
        <v>10715496.74</v>
      </c>
      <c r="J781">
        <v>17931066.59</v>
      </c>
      <c r="K781">
        <v>22181897.399999999</v>
      </c>
      <c r="L781">
        <v>27321289.699999999</v>
      </c>
      <c r="M781">
        <v>30050423.530000001</v>
      </c>
      <c r="N781">
        <v>31056945.120000001</v>
      </c>
      <c r="O781">
        <v>30531720.050000001</v>
      </c>
      <c r="P781">
        <v>30895935.440000001</v>
      </c>
      <c r="Q781">
        <v>30901793.27</v>
      </c>
      <c r="R781">
        <v>33459517</v>
      </c>
      <c r="S781">
        <v>33664043.490000002</v>
      </c>
      <c r="T781">
        <v>33626893</v>
      </c>
      <c r="U781">
        <v>33622308.100000001</v>
      </c>
      <c r="V781">
        <v>33622885.869999997</v>
      </c>
      <c r="W781">
        <v>33622285.869999997</v>
      </c>
      <c r="X781">
        <v>33622285.869999997</v>
      </c>
      <c r="Y781">
        <v>33622285.869999997</v>
      </c>
      <c r="Z781">
        <v>33622285.869999997</v>
      </c>
      <c r="AA781">
        <v>33600441.43</v>
      </c>
      <c r="AB781">
        <v>33627285.869999997</v>
      </c>
    </row>
    <row r="782" spans="1:31" x14ac:dyDescent="0.25">
      <c r="A782" t="s">
        <v>64</v>
      </c>
      <c r="B782" t="s">
        <v>79</v>
      </c>
      <c r="C782" t="s">
        <v>77</v>
      </c>
      <c r="D782" t="s">
        <v>82</v>
      </c>
      <c r="E782" t="s">
        <v>78</v>
      </c>
      <c r="F782" s="71">
        <v>38353</v>
      </c>
      <c r="G782">
        <v>494316.32</v>
      </c>
      <c r="H782">
        <v>7720139.8200000003</v>
      </c>
      <c r="I782">
        <v>14388688.83</v>
      </c>
      <c r="J782">
        <v>24018000.609999999</v>
      </c>
      <c r="K782">
        <v>31753540.550000001</v>
      </c>
      <c r="L782">
        <v>34778434.609999999</v>
      </c>
      <c r="M782">
        <v>37875206.450000003</v>
      </c>
      <c r="N782">
        <v>38385780.920000002</v>
      </c>
      <c r="O782">
        <v>38700303.299999997</v>
      </c>
      <c r="P782">
        <v>38585433.890000001</v>
      </c>
      <c r="Q782">
        <v>38517223.450000003</v>
      </c>
      <c r="R782">
        <v>38530061.010000013</v>
      </c>
      <c r="S782">
        <v>38742391.580000013</v>
      </c>
      <c r="T782">
        <v>38768752.619999997</v>
      </c>
      <c r="U782">
        <v>38816756.990000002</v>
      </c>
      <c r="V782">
        <v>38616208.57</v>
      </c>
      <c r="W782">
        <v>38649428.25</v>
      </c>
      <c r="X782">
        <v>38698142.390000001</v>
      </c>
      <c r="Y782">
        <v>38733564.039999999</v>
      </c>
      <c r="Z782">
        <v>38760159.149999999</v>
      </c>
      <c r="AA782">
        <v>38759952.869999997</v>
      </c>
    </row>
    <row r="783" spans="1:31" x14ac:dyDescent="0.25">
      <c r="A783" t="s">
        <v>64</v>
      </c>
      <c r="B783" t="s">
        <v>79</v>
      </c>
      <c r="C783" t="s">
        <v>77</v>
      </c>
      <c r="D783" t="s">
        <v>82</v>
      </c>
      <c r="E783" t="s">
        <v>78</v>
      </c>
      <c r="F783" s="71">
        <v>38718</v>
      </c>
      <c r="G783">
        <v>608813.9</v>
      </c>
      <c r="H783">
        <v>7567151.0500000007</v>
      </c>
      <c r="I783">
        <v>15193911.25</v>
      </c>
      <c r="J783">
        <v>25962786.300000001</v>
      </c>
      <c r="K783">
        <v>34012284.630000003</v>
      </c>
      <c r="L783">
        <v>37592742.109999999</v>
      </c>
      <c r="M783">
        <v>38007616.690000013</v>
      </c>
      <c r="N783">
        <v>38637607.57</v>
      </c>
      <c r="O783">
        <v>38317884.390000001</v>
      </c>
      <c r="P783">
        <v>38518400.979999997</v>
      </c>
      <c r="Q783">
        <v>38210737.090000004</v>
      </c>
      <c r="R783">
        <v>38395022.600000001</v>
      </c>
      <c r="S783">
        <v>38490368.719999999</v>
      </c>
      <c r="T783">
        <v>38528043.289999999</v>
      </c>
      <c r="U783">
        <v>38516138.439999998</v>
      </c>
      <c r="V783">
        <v>38538363.890000001</v>
      </c>
      <c r="W783">
        <v>38533329.07</v>
      </c>
      <c r="X783">
        <v>38546327.350000001</v>
      </c>
      <c r="Y783">
        <v>38554920.630000003</v>
      </c>
      <c r="Z783">
        <v>38554920.630000003</v>
      </c>
    </row>
    <row r="784" spans="1:31" x14ac:dyDescent="0.25">
      <c r="A784" t="s">
        <v>64</v>
      </c>
      <c r="B784" t="s">
        <v>79</v>
      </c>
      <c r="C784" t="s">
        <v>77</v>
      </c>
      <c r="D784" t="s">
        <v>82</v>
      </c>
      <c r="E784" t="s">
        <v>78</v>
      </c>
      <c r="F784" s="71">
        <v>39083</v>
      </c>
      <c r="G784">
        <v>1305430.75</v>
      </c>
      <c r="H784">
        <v>6636025.6100000003</v>
      </c>
      <c r="I784">
        <v>13147645.199999999</v>
      </c>
      <c r="J784">
        <v>24955021.559999999</v>
      </c>
      <c r="K784">
        <v>32466450.219999999</v>
      </c>
      <c r="L784">
        <v>35683369.880000003</v>
      </c>
      <c r="M784">
        <v>37055972.350000001</v>
      </c>
      <c r="N784">
        <v>35955752.619999997</v>
      </c>
      <c r="O784">
        <v>35789731.579999998</v>
      </c>
      <c r="P784">
        <v>35628004.479999997</v>
      </c>
      <c r="Q784">
        <v>35545416.990000002</v>
      </c>
      <c r="R784">
        <v>35499491.039999999</v>
      </c>
      <c r="S784">
        <v>35450667.950000003</v>
      </c>
      <c r="T784">
        <v>35524037.68</v>
      </c>
      <c r="U784">
        <v>35524545.079999998</v>
      </c>
      <c r="V784">
        <v>35499220.869999997</v>
      </c>
      <c r="W784">
        <v>35504741.920000002</v>
      </c>
      <c r="X784">
        <v>35504738.189999998</v>
      </c>
      <c r="Y784">
        <v>35504738.189999998</v>
      </c>
    </row>
    <row r="785" spans="1:24" x14ac:dyDescent="0.25">
      <c r="A785" t="s">
        <v>64</v>
      </c>
      <c r="B785" t="s">
        <v>79</v>
      </c>
      <c r="C785" t="s">
        <v>77</v>
      </c>
      <c r="D785" t="s">
        <v>82</v>
      </c>
      <c r="E785" t="s">
        <v>78</v>
      </c>
      <c r="F785" s="71">
        <v>39448</v>
      </c>
      <c r="G785">
        <v>1065906.8700000001</v>
      </c>
      <c r="H785">
        <v>8489762.1999999993</v>
      </c>
      <c r="I785">
        <v>16925943.23</v>
      </c>
      <c r="J785">
        <v>32793333.039999999</v>
      </c>
      <c r="K785">
        <v>35936796.700000003</v>
      </c>
      <c r="L785">
        <v>42734248.539999999</v>
      </c>
      <c r="M785">
        <v>43380888.100000001</v>
      </c>
      <c r="N785">
        <v>44167656.390000001</v>
      </c>
      <c r="O785">
        <v>44172546.520000003</v>
      </c>
      <c r="P785">
        <v>44996751.220000014</v>
      </c>
      <c r="Q785">
        <v>44947090.890000001</v>
      </c>
      <c r="R785">
        <v>44866178.380000003</v>
      </c>
      <c r="S785">
        <v>44925515.840000004</v>
      </c>
      <c r="T785">
        <v>45256337.489999987</v>
      </c>
      <c r="U785">
        <v>45281109.989999987</v>
      </c>
      <c r="V785">
        <v>45314282.68</v>
      </c>
      <c r="W785">
        <v>45698386.529999986</v>
      </c>
      <c r="X785">
        <v>45722345.789999999</v>
      </c>
    </row>
    <row r="786" spans="1:24" x14ac:dyDescent="0.25">
      <c r="A786" t="s">
        <v>64</v>
      </c>
      <c r="B786" t="s">
        <v>79</v>
      </c>
      <c r="C786" t="s">
        <v>77</v>
      </c>
      <c r="D786" t="s">
        <v>82</v>
      </c>
      <c r="E786" t="s">
        <v>78</v>
      </c>
      <c r="F786" s="71">
        <v>39814</v>
      </c>
      <c r="G786">
        <v>590390.64</v>
      </c>
      <c r="H786">
        <v>9003396.4800000004</v>
      </c>
      <c r="I786">
        <v>20583390.550000001</v>
      </c>
      <c r="J786">
        <v>26351905.5</v>
      </c>
      <c r="K786">
        <v>30660616.309999999</v>
      </c>
      <c r="L786">
        <v>32661764.789999999</v>
      </c>
      <c r="M786">
        <v>35236503.990000002</v>
      </c>
      <c r="N786">
        <v>40269545.310000002</v>
      </c>
      <c r="O786">
        <v>39787857.82</v>
      </c>
      <c r="P786">
        <v>39281143.710000001</v>
      </c>
      <c r="Q786">
        <v>39434965.450000003</v>
      </c>
      <c r="R786">
        <v>39423739.219999999</v>
      </c>
      <c r="S786">
        <v>39495351.859999999</v>
      </c>
      <c r="T786">
        <v>39580944.5</v>
      </c>
      <c r="U786">
        <v>39738576.770000003</v>
      </c>
      <c r="V786">
        <v>39814598.869999997</v>
      </c>
      <c r="W786">
        <v>39814598.869999997</v>
      </c>
    </row>
    <row r="787" spans="1:24" x14ac:dyDescent="0.25">
      <c r="A787" t="s">
        <v>64</v>
      </c>
      <c r="B787" t="s">
        <v>79</v>
      </c>
      <c r="C787" t="s">
        <v>77</v>
      </c>
      <c r="D787" t="s">
        <v>82</v>
      </c>
      <c r="E787" t="s">
        <v>78</v>
      </c>
      <c r="F787" s="71">
        <v>40179</v>
      </c>
      <c r="G787">
        <v>1266255.8500000001</v>
      </c>
      <c r="H787">
        <v>10970869.32</v>
      </c>
      <c r="I787">
        <v>18556031.609999999</v>
      </c>
      <c r="J787">
        <v>24811002.109999999</v>
      </c>
      <c r="K787">
        <v>27489608.489999998</v>
      </c>
      <c r="L787">
        <v>29451080.559999999</v>
      </c>
      <c r="M787">
        <v>29445281.489999998</v>
      </c>
      <c r="N787">
        <v>30020376.280000001</v>
      </c>
      <c r="O787">
        <v>30131131.57</v>
      </c>
      <c r="P787">
        <v>30241305.48</v>
      </c>
      <c r="Q787">
        <v>30257361.850000001</v>
      </c>
      <c r="R787">
        <v>30393964.350000001</v>
      </c>
      <c r="S787">
        <v>30456507.34</v>
      </c>
      <c r="T787">
        <v>30463725.140000001</v>
      </c>
      <c r="U787">
        <v>29973160.670000002</v>
      </c>
      <c r="V787">
        <v>30394672.510000002</v>
      </c>
    </row>
    <row r="788" spans="1:24" x14ac:dyDescent="0.25">
      <c r="A788" t="s">
        <v>64</v>
      </c>
      <c r="B788" t="s">
        <v>79</v>
      </c>
      <c r="C788" t="s">
        <v>77</v>
      </c>
      <c r="D788" t="s">
        <v>82</v>
      </c>
      <c r="E788" t="s">
        <v>78</v>
      </c>
      <c r="F788" s="71">
        <v>40544</v>
      </c>
      <c r="G788">
        <v>1662589.26</v>
      </c>
      <c r="H788">
        <v>11598740.939999999</v>
      </c>
      <c r="I788">
        <v>19470006.170000002</v>
      </c>
      <c r="J788">
        <v>24523017.02</v>
      </c>
      <c r="K788">
        <v>27704017.52999999</v>
      </c>
      <c r="L788">
        <v>30651413.300000001</v>
      </c>
      <c r="M788">
        <v>31147214.18</v>
      </c>
      <c r="N788">
        <v>31361383.350000001</v>
      </c>
      <c r="O788">
        <v>31364770.91</v>
      </c>
      <c r="P788">
        <v>31628820.82</v>
      </c>
      <c r="Q788">
        <v>31778597.379999999</v>
      </c>
      <c r="R788">
        <v>31731560.420000002</v>
      </c>
      <c r="S788">
        <v>31740592.609999999</v>
      </c>
      <c r="T788">
        <v>31613646.530000001</v>
      </c>
      <c r="U788">
        <v>31792646.530000001</v>
      </c>
    </row>
    <row r="789" spans="1:24" x14ac:dyDescent="0.25">
      <c r="A789" t="s">
        <v>64</v>
      </c>
      <c r="B789" t="s">
        <v>79</v>
      </c>
      <c r="C789" t="s">
        <v>77</v>
      </c>
      <c r="D789" t="s">
        <v>82</v>
      </c>
      <c r="E789" t="s">
        <v>78</v>
      </c>
      <c r="F789" s="71">
        <v>40909</v>
      </c>
      <c r="G789">
        <v>2029778.33</v>
      </c>
      <c r="H789">
        <v>11790605.65</v>
      </c>
      <c r="I789">
        <v>15879344.93</v>
      </c>
      <c r="J789">
        <v>19926672.579999998</v>
      </c>
      <c r="K789">
        <v>26447933.52</v>
      </c>
      <c r="L789">
        <v>29477214.09</v>
      </c>
      <c r="M789">
        <v>30874099.260000002</v>
      </c>
      <c r="N789">
        <v>31698665.15000001</v>
      </c>
      <c r="O789">
        <v>31843345.879999999</v>
      </c>
      <c r="P789">
        <v>31936924.25</v>
      </c>
      <c r="Q789">
        <v>31960140.27</v>
      </c>
      <c r="R789">
        <v>31801614.550000001</v>
      </c>
      <c r="S789">
        <v>31457678.649999999</v>
      </c>
      <c r="T789">
        <v>32030443.879999999</v>
      </c>
    </row>
    <row r="790" spans="1:24" x14ac:dyDescent="0.25">
      <c r="A790" t="s">
        <v>64</v>
      </c>
      <c r="B790" t="s">
        <v>79</v>
      </c>
      <c r="C790" t="s">
        <v>77</v>
      </c>
      <c r="D790" t="s">
        <v>82</v>
      </c>
      <c r="E790" t="s">
        <v>78</v>
      </c>
      <c r="F790" s="71">
        <v>41275</v>
      </c>
      <c r="G790">
        <v>1516487.92</v>
      </c>
      <c r="H790">
        <v>10379823.710000001</v>
      </c>
      <c r="I790">
        <v>14421077.1</v>
      </c>
      <c r="J790">
        <v>21335618.370000001</v>
      </c>
      <c r="K790">
        <v>26412236.27</v>
      </c>
      <c r="L790">
        <v>31371140.48</v>
      </c>
      <c r="M790">
        <v>33319095.59</v>
      </c>
      <c r="N790">
        <v>35245384.720000014</v>
      </c>
      <c r="O790">
        <v>32682925.82</v>
      </c>
      <c r="P790">
        <v>32343990.830000009</v>
      </c>
      <c r="Q790">
        <v>32438810.920000002</v>
      </c>
      <c r="R790">
        <v>32701743.190000009</v>
      </c>
      <c r="S790">
        <v>32928664.23</v>
      </c>
    </row>
    <row r="791" spans="1:24" x14ac:dyDescent="0.25">
      <c r="A791" t="s">
        <v>64</v>
      </c>
      <c r="B791" t="s">
        <v>79</v>
      </c>
      <c r="C791" t="s">
        <v>77</v>
      </c>
      <c r="D791" t="s">
        <v>82</v>
      </c>
      <c r="E791" t="s">
        <v>78</v>
      </c>
      <c r="F791" s="71">
        <v>41640</v>
      </c>
      <c r="G791">
        <v>2268980.87</v>
      </c>
      <c r="H791">
        <v>9416106.3699999992</v>
      </c>
      <c r="I791">
        <v>14696162.85</v>
      </c>
      <c r="J791">
        <v>20658435.140000001</v>
      </c>
      <c r="K791">
        <v>23183227.050000001</v>
      </c>
      <c r="L791">
        <v>26323013.989999998</v>
      </c>
      <c r="M791">
        <v>27508407.539999999</v>
      </c>
      <c r="N791">
        <v>28205440.489999998</v>
      </c>
      <c r="O791">
        <v>28495449.670000002</v>
      </c>
      <c r="P791">
        <v>28948440.780000001</v>
      </c>
      <c r="Q791">
        <v>28650097.41</v>
      </c>
      <c r="R791">
        <v>28849514.449999999</v>
      </c>
    </row>
    <row r="792" spans="1:24" x14ac:dyDescent="0.25">
      <c r="A792" t="s">
        <v>64</v>
      </c>
      <c r="B792" t="s">
        <v>79</v>
      </c>
      <c r="C792" t="s">
        <v>77</v>
      </c>
      <c r="D792" t="s">
        <v>82</v>
      </c>
      <c r="E792" t="s">
        <v>78</v>
      </c>
      <c r="F792" s="71">
        <v>42005</v>
      </c>
      <c r="G792">
        <v>1409755.16</v>
      </c>
      <c r="H792">
        <v>6226239.959999999</v>
      </c>
      <c r="I792">
        <v>10753421.65</v>
      </c>
      <c r="J792">
        <v>15531366.01</v>
      </c>
      <c r="K792">
        <v>20685049.800000001</v>
      </c>
      <c r="L792">
        <v>21408521.530000001</v>
      </c>
      <c r="M792">
        <v>23182317.789999999</v>
      </c>
      <c r="N792">
        <v>24729741.899999999</v>
      </c>
      <c r="O792">
        <v>24368608.75</v>
      </c>
      <c r="P792">
        <v>26115913.90000001</v>
      </c>
      <c r="Q792">
        <v>26237253.579999998</v>
      </c>
    </row>
    <row r="793" spans="1:24" x14ac:dyDescent="0.25">
      <c r="A793" t="s">
        <v>64</v>
      </c>
      <c r="B793" t="s">
        <v>79</v>
      </c>
      <c r="C793" t="s">
        <v>77</v>
      </c>
      <c r="D793" t="s">
        <v>82</v>
      </c>
      <c r="E793" t="s">
        <v>78</v>
      </c>
      <c r="F793" s="71">
        <v>42370</v>
      </c>
      <c r="G793">
        <v>1584639.64</v>
      </c>
      <c r="H793">
        <v>7857541.4899999993</v>
      </c>
      <c r="I793">
        <v>10677176.140000001</v>
      </c>
      <c r="J793">
        <v>13943317.59</v>
      </c>
      <c r="K793">
        <v>17103177.640000001</v>
      </c>
      <c r="L793">
        <v>19107327.039999999</v>
      </c>
      <c r="M793">
        <v>21910530.16</v>
      </c>
      <c r="N793">
        <v>24223668.760000002</v>
      </c>
      <c r="O793">
        <v>24343248.190000001</v>
      </c>
      <c r="P793">
        <v>24090456.550000001</v>
      </c>
    </row>
    <row r="794" spans="1:24" x14ac:dyDescent="0.25">
      <c r="A794" t="s">
        <v>64</v>
      </c>
      <c r="B794" t="s">
        <v>79</v>
      </c>
      <c r="C794" t="s">
        <v>77</v>
      </c>
      <c r="D794" t="s">
        <v>82</v>
      </c>
      <c r="E794" t="s">
        <v>78</v>
      </c>
      <c r="F794" s="71">
        <v>42736</v>
      </c>
      <c r="G794">
        <v>771686.1</v>
      </c>
      <c r="H794">
        <v>5422461.3100000015</v>
      </c>
      <c r="I794">
        <v>13376100.029999999</v>
      </c>
      <c r="J794">
        <v>19288247.359999999</v>
      </c>
      <c r="K794">
        <v>24810081.809999999</v>
      </c>
      <c r="L794">
        <v>30146104.390000001</v>
      </c>
      <c r="M794">
        <v>33155860.41</v>
      </c>
      <c r="N794">
        <v>33487738.309999991</v>
      </c>
      <c r="O794">
        <v>33421942.27</v>
      </c>
    </row>
    <row r="795" spans="1:24" x14ac:dyDescent="0.25">
      <c r="A795" t="s">
        <v>64</v>
      </c>
      <c r="B795" t="s">
        <v>79</v>
      </c>
      <c r="C795" t="s">
        <v>77</v>
      </c>
      <c r="D795" t="s">
        <v>82</v>
      </c>
      <c r="E795" t="s">
        <v>78</v>
      </c>
      <c r="F795" s="71">
        <v>43101</v>
      </c>
      <c r="G795">
        <v>1325254.3799999999</v>
      </c>
      <c r="H795">
        <v>8061024.0300000003</v>
      </c>
      <c r="I795">
        <v>18990945.5100004</v>
      </c>
      <c r="J795">
        <v>22719091.930000398</v>
      </c>
      <c r="K795">
        <v>26510090.23</v>
      </c>
      <c r="L795">
        <v>31906064</v>
      </c>
      <c r="M795">
        <v>35793707.829999998</v>
      </c>
      <c r="N795">
        <v>37366479.039999999</v>
      </c>
    </row>
    <row r="796" spans="1:24" x14ac:dyDescent="0.25">
      <c r="A796" t="s">
        <v>64</v>
      </c>
      <c r="B796" t="s">
        <v>79</v>
      </c>
      <c r="C796" t="s">
        <v>77</v>
      </c>
      <c r="D796" t="s">
        <v>82</v>
      </c>
      <c r="E796" t="s">
        <v>78</v>
      </c>
      <c r="F796" s="71">
        <v>43466</v>
      </c>
      <c r="G796">
        <v>1221259.0900000001</v>
      </c>
      <c r="H796">
        <v>7279117.6900000004</v>
      </c>
      <c r="I796">
        <v>11328806.800000001</v>
      </c>
      <c r="J796">
        <v>23100038.239999998</v>
      </c>
      <c r="K796">
        <v>37700540.560000002</v>
      </c>
      <c r="L796">
        <v>45856846.619999997</v>
      </c>
      <c r="M796">
        <v>47629463.899999999</v>
      </c>
    </row>
    <row r="797" spans="1:24" x14ac:dyDescent="0.25">
      <c r="A797" t="s">
        <v>64</v>
      </c>
      <c r="B797" t="s">
        <v>79</v>
      </c>
      <c r="C797" t="s">
        <v>77</v>
      </c>
      <c r="D797" t="s">
        <v>82</v>
      </c>
      <c r="E797" t="s">
        <v>78</v>
      </c>
      <c r="F797" s="71">
        <v>43831</v>
      </c>
      <c r="G797">
        <v>948869.60000000009</v>
      </c>
      <c r="H797">
        <v>5506113.9000000004</v>
      </c>
      <c r="I797">
        <v>11481665.82</v>
      </c>
      <c r="J797">
        <v>19450192.18</v>
      </c>
      <c r="K797">
        <v>24098452.329999991</v>
      </c>
      <c r="L797">
        <v>28353844.139999989</v>
      </c>
    </row>
    <row r="798" spans="1:24" x14ac:dyDescent="0.25">
      <c r="A798" t="s">
        <v>64</v>
      </c>
      <c r="B798" t="s">
        <v>79</v>
      </c>
      <c r="C798" t="s">
        <v>77</v>
      </c>
      <c r="D798" t="s">
        <v>82</v>
      </c>
      <c r="E798" t="s">
        <v>78</v>
      </c>
      <c r="F798" s="71">
        <v>44197</v>
      </c>
      <c r="G798">
        <v>729265.17999999993</v>
      </c>
      <c r="H798">
        <v>7385052.1400000006</v>
      </c>
      <c r="I798">
        <v>19141906.699999999</v>
      </c>
      <c r="J798">
        <v>26783248.34</v>
      </c>
      <c r="K798">
        <v>34312764.299999997</v>
      </c>
    </row>
    <row r="799" spans="1:24" x14ac:dyDescent="0.25">
      <c r="A799" t="s">
        <v>64</v>
      </c>
      <c r="B799" t="s">
        <v>79</v>
      </c>
      <c r="C799" t="s">
        <v>77</v>
      </c>
      <c r="D799" t="s">
        <v>82</v>
      </c>
      <c r="E799" t="s">
        <v>78</v>
      </c>
      <c r="F799" s="71">
        <v>44562</v>
      </c>
      <c r="G799">
        <v>811904.04</v>
      </c>
      <c r="H799">
        <v>10940061.49</v>
      </c>
      <c r="I799">
        <v>20014507.329999998</v>
      </c>
      <c r="J799">
        <v>29917512.32</v>
      </c>
    </row>
    <row r="800" spans="1:24" x14ac:dyDescent="0.25">
      <c r="A800" t="s">
        <v>64</v>
      </c>
      <c r="B800" t="s">
        <v>79</v>
      </c>
      <c r="C800" t="s">
        <v>77</v>
      </c>
      <c r="D800" t="s">
        <v>82</v>
      </c>
      <c r="E800" t="s">
        <v>78</v>
      </c>
      <c r="F800" s="71">
        <v>44927</v>
      </c>
      <c r="G800">
        <v>1799896.25</v>
      </c>
      <c r="H800">
        <v>8765280</v>
      </c>
      <c r="I800">
        <v>14342019.76</v>
      </c>
    </row>
    <row r="801" spans="1:31" x14ac:dyDescent="0.25">
      <c r="A801" t="s">
        <v>64</v>
      </c>
      <c r="B801" t="s">
        <v>79</v>
      </c>
      <c r="C801" t="s">
        <v>77</v>
      </c>
      <c r="D801" t="s">
        <v>82</v>
      </c>
      <c r="E801" t="s">
        <v>78</v>
      </c>
      <c r="F801" s="71">
        <v>45292</v>
      </c>
      <c r="G801">
        <v>744823.42999999993</v>
      </c>
      <c r="H801">
        <v>5555027.5100000007</v>
      </c>
    </row>
    <row r="802" spans="1:31" x14ac:dyDescent="0.25">
      <c r="A802" t="s">
        <v>64</v>
      </c>
      <c r="B802" t="s">
        <v>79</v>
      </c>
      <c r="C802" t="s">
        <v>77</v>
      </c>
      <c r="D802" t="s">
        <v>82</v>
      </c>
      <c r="E802" t="s">
        <v>78</v>
      </c>
      <c r="F802" s="71">
        <v>45658</v>
      </c>
      <c r="G802">
        <v>819306.69000000006</v>
      </c>
    </row>
    <row r="803" spans="1:31" x14ac:dyDescent="0.25">
      <c r="A803" t="s">
        <v>64</v>
      </c>
      <c r="B803" t="s">
        <v>80</v>
      </c>
      <c r="C803" t="s">
        <v>77</v>
      </c>
      <c r="D803" t="s">
        <v>82</v>
      </c>
      <c r="E803" t="s">
        <v>78</v>
      </c>
      <c r="F803" s="71">
        <v>36892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25">
      <c r="A804" t="s">
        <v>64</v>
      </c>
      <c r="B804" t="s">
        <v>80</v>
      </c>
      <c r="C804" t="s">
        <v>77</v>
      </c>
      <c r="D804" t="s">
        <v>82</v>
      </c>
      <c r="E804" t="s">
        <v>78</v>
      </c>
      <c r="F804" s="71">
        <v>37257</v>
      </c>
      <c r="G804">
        <v>0</v>
      </c>
      <c r="H804">
        <v>0</v>
      </c>
      <c r="I804">
        <v>4064.98</v>
      </c>
      <c r="J804">
        <v>20352.97</v>
      </c>
      <c r="K804">
        <v>212904.14</v>
      </c>
      <c r="L804">
        <v>259908.9</v>
      </c>
      <c r="M804">
        <v>269224.75</v>
      </c>
      <c r="N804">
        <v>269224.75</v>
      </c>
      <c r="O804">
        <v>269224.75</v>
      </c>
      <c r="P804">
        <v>269224.75</v>
      </c>
      <c r="Q804">
        <v>269224.75</v>
      </c>
      <c r="R804">
        <v>269224.75</v>
      </c>
      <c r="S804">
        <v>269224.75</v>
      </c>
      <c r="T804">
        <v>269224.75</v>
      </c>
      <c r="U804">
        <v>269224.75</v>
      </c>
      <c r="V804">
        <v>269224.75</v>
      </c>
      <c r="W804">
        <v>269224.75</v>
      </c>
      <c r="X804">
        <v>269224.75</v>
      </c>
      <c r="Y804">
        <v>269224.75</v>
      </c>
      <c r="Z804">
        <v>269224.75</v>
      </c>
      <c r="AA804">
        <v>269224.75</v>
      </c>
      <c r="AB804">
        <v>269224.75</v>
      </c>
      <c r="AC804">
        <v>269224.75</v>
      </c>
      <c r="AD804">
        <v>269224.75</v>
      </c>
    </row>
    <row r="805" spans="1:31" x14ac:dyDescent="0.25">
      <c r="A805" t="s">
        <v>64</v>
      </c>
      <c r="B805" t="s">
        <v>80</v>
      </c>
      <c r="C805" t="s">
        <v>77</v>
      </c>
      <c r="D805" t="s">
        <v>82</v>
      </c>
      <c r="E805" t="s">
        <v>78</v>
      </c>
      <c r="F805" s="71">
        <v>37622</v>
      </c>
      <c r="G805">
        <v>0</v>
      </c>
      <c r="H805">
        <v>1136225.48</v>
      </c>
      <c r="I805">
        <v>4534275.4800000004</v>
      </c>
      <c r="J805">
        <v>9204187.8699999992</v>
      </c>
      <c r="K805">
        <v>13493537.08</v>
      </c>
      <c r="L805">
        <v>19317337.329999998</v>
      </c>
      <c r="M805">
        <v>26348128.890000001</v>
      </c>
      <c r="N805">
        <v>27075572.449999999</v>
      </c>
      <c r="O805">
        <v>26237001.140000001</v>
      </c>
      <c r="P805">
        <v>27022854.73</v>
      </c>
      <c r="Q805">
        <v>27175426.620000001</v>
      </c>
      <c r="R805">
        <v>27030258.989999998</v>
      </c>
      <c r="S805">
        <v>27097596.25</v>
      </c>
      <c r="T805">
        <v>27111888.300000001</v>
      </c>
      <c r="U805">
        <v>27232579.5</v>
      </c>
      <c r="V805">
        <v>27420268.699999999</v>
      </c>
      <c r="W805">
        <v>27419268.699999999</v>
      </c>
      <c r="X805">
        <v>27423825.800000001</v>
      </c>
      <c r="Y805">
        <v>27423825.800000001</v>
      </c>
      <c r="Z805">
        <v>27534205.989999998</v>
      </c>
      <c r="AA805">
        <v>28581176.399999999</v>
      </c>
      <c r="AB805">
        <v>28585176.399999999</v>
      </c>
      <c r="AC805">
        <v>28585176.399999999</v>
      </c>
    </row>
    <row r="806" spans="1:31" x14ac:dyDescent="0.25">
      <c r="A806" t="s">
        <v>64</v>
      </c>
      <c r="B806" t="s">
        <v>80</v>
      </c>
      <c r="C806" t="s">
        <v>77</v>
      </c>
      <c r="D806" t="s">
        <v>82</v>
      </c>
      <c r="E806" t="s">
        <v>78</v>
      </c>
      <c r="F806" s="71">
        <v>37987</v>
      </c>
      <c r="G806">
        <v>133445.53</v>
      </c>
      <c r="H806">
        <v>1276947.22</v>
      </c>
      <c r="I806">
        <v>4038203.7</v>
      </c>
      <c r="J806">
        <v>11469869.82</v>
      </c>
      <c r="K806">
        <v>16529679.619999999</v>
      </c>
      <c r="L806">
        <v>20763568.940000001</v>
      </c>
      <c r="M806">
        <v>24729590.050000001</v>
      </c>
      <c r="N806">
        <v>27813466.309999999</v>
      </c>
      <c r="O806">
        <v>28878435.359999999</v>
      </c>
      <c r="P806">
        <v>29102078.66</v>
      </c>
      <c r="Q806">
        <v>29754505.170000002</v>
      </c>
      <c r="R806">
        <v>29917920.02</v>
      </c>
      <c r="S806">
        <v>33610706.960000001</v>
      </c>
      <c r="T806">
        <v>33619011.970000014</v>
      </c>
      <c r="U806">
        <v>33622308.100000001</v>
      </c>
      <c r="V806">
        <v>33622885.869999997</v>
      </c>
      <c r="W806">
        <v>33622285.869999997</v>
      </c>
      <c r="X806">
        <v>33622285.869999997</v>
      </c>
      <c r="Y806">
        <v>33622285.869999997</v>
      </c>
      <c r="Z806">
        <v>33622285.869999997</v>
      </c>
      <c r="AA806">
        <v>33600441.43</v>
      </c>
      <c r="AB806">
        <v>33627285.869999997</v>
      </c>
    </row>
    <row r="807" spans="1:31" x14ac:dyDescent="0.25">
      <c r="A807" t="s">
        <v>64</v>
      </c>
      <c r="B807" t="s">
        <v>80</v>
      </c>
      <c r="C807" t="s">
        <v>77</v>
      </c>
      <c r="D807" t="s">
        <v>82</v>
      </c>
      <c r="E807" t="s">
        <v>78</v>
      </c>
      <c r="F807" s="71">
        <v>38353</v>
      </c>
      <c r="G807">
        <v>90985.29</v>
      </c>
      <c r="H807">
        <v>2061915.47</v>
      </c>
      <c r="I807">
        <v>7708407.5199999996</v>
      </c>
      <c r="J807">
        <v>16394077.689999999</v>
      </c>
      <c r="K807">
        <v>25742709.760000002</v>
      </c>
      <c r="L807">
        <v>29793706</v>
      </c>
      <c r="M807">
        <v>33114094.140000001</v>
      </c>
      <c r="N807">
        <v>34790726.75</v>
      </c>
      <c r="O807">
        <v>37089153.460000001</v>
      </c>
      <c r="P807">
        <v>37512678.570000008</v>
      </c>
      <c r="Q807">
        <v>37986429.510000013</v>
      </c>
      <c r="R807">
        <v>38085173.75</v>
      </c>
      <c r="S807">
        <v>38257847.469999999</v>
      </c>
      <c r="T807">
        <v>38448696.020000003</v>
      </c>
      <c r="U807">
        <v>38549935.869999997</v>
      </c>
      <c r="V807">
        <v>38585589.18</v>
      </c>
      <c r="W807">
        <v>38633719.32</v>
      </c>
      <c r="X807">
        <v>38661911.659999996</v>
      </c>
      <c r="Y807">
        <v>38727760.289999999</v>
      </c>
      <c r="Z807">
        <v>38757256.899999999</v>
      </c>
      <c r="AA807">
        <v>38759952.869999997</v>
      </c>
    </row>
    <row r="808" spans="1:31" x14ac:dyDescent="0.25">
      <c r="A808" t="s">
        <v>64</v>
      </c>
      <c r="B808" t="s">
        <v>80</v>
      </c>
      <c r="C808" t="s">
        <v>77</v>
      </c>
      <c r="D808" t="s">
        <v>82</v>
      </c>
      <c r="E808" t="s">
        <v>78</v>
      </c>
      <c r="F808" s="71">
        <v>38718</v>
      </c>
      <c r="G808">
        <v>63818.8</v>
      </c>
      <c r="H808">
        <v>2889482.93</v>
      </c>
      <c r="I808">
        <v>7998038.0999999996</v>
      </c>
      <c r="J808">
        <v>17498144.809999999</v>
      </c>
      <c r="K808">
        <v>27170775.629999999</v>
      </c>
      <c r="L808">
        <v>31925724.48</v>
      </c>
      <c r="M808">
        <v>33819960.68</v>
      </c>
      <c r="N808">
        <v>34865927.240000002</v>
      </c>
      <c r="O808">
        <v>36176733.990000002</v>
      </c>
      <c r="P808">
        <v>38074292.329999998</v>
      </c>
      <c r="Q808">
        <v>38113855</v>
      </c>
      <c r="R808">
        <v>38208841.020000003</v>
      </c>
      <c r="S808">
        <v>38454765.719999999</v>
      </c>
      <c r="T808">
        <v>38488154.130000003</v>
      </c>
      <c r="U808">
        <v>38509955.18</v>
      </c>
      <c r="V808">
        <v>38529795.630000003</v>
      </c>
      <c r="W808">
        <v>38533329.07</v>
      </c>
      <c r="X808">
        <v>38546327.350000001</v>
      </c>
      <c r="Y808">
        <v>38554920.630000003</v>
      </c>
      <c r="Z808">
        <v>38554920.630000003</v>
      </c>
    </row>
    <row r="809" spans="1:31" x14ac:dyDescent="0.25">
      <c r="A809" t="s">
        <v>64</v>
      </c>
      <c r="B809" t="s">
        <v>80</v>
      </c>
      <c r="C809" t="s">
        <v>77</v>
      </c>
      <c r="D809" t="s">
        <v>82</v>
      </c>
      <c r="E809" t="s">
        <v>78</v>
      </c>
      <c r="F809" s="71">
        <v>39083</v>
      </c>
      <c r="G809">
        <v>62864.55</v>
      </c>
      <c r="H809">
        <v>2124813.81</v>
      </c>
      <c r="I809">
        <v>5757972.1399999997</v>
      </c>
      <c r="J809">
        <v>12904162.390000001</v>
      </c>
      <c r="K809">
        <v>24328524.379999999</v>
      </c>
      <c r="L809">
        <v>30014654.66</v>
      </c>
      <c r="M809">
        <v>34823306.670000002</v>
      </c>
      <c r="N809">
        <v>35496306.899999999</v>
      </c>
      <c r="O809">
        <v>35546158.289999999</v>
      </c>
      <c r="P809">
        <v>35358473.57</v>
      </c>
      <c r="Q809">
        <v>35405446.060000002</v>
      </c>
      <c r="R809">
        <v>35390313.729999997</v>
      </c>
      <c r="S809">
        <v>35416060.810000002</v>
      </c>
      <c r="T809">
        <v>35461699.079999998</v>
      </c>
      <c r="U809">
        <v>35471604.880000003</v>
      </c>
      <c r="V809">
        <v>35499216.140000001</v>
      </c>
      <c r="W809">
        <v>35504738.189999998</v>
      </c>
      <c r="X809">
        <v>35504738.189999998</v>
      </c>
      <c r="Y809">
        <v>35504738.189999998</v>
      </c>
    </row>
    <row r="810" spans="1:31" x14ac:dyDescent="0.25">
      <c r="A810" t="s">
        <v>64</v>
      </c>
      <c r="B810" t="s">
        <v>80</v>
      </c>
      <c r="C810" t="s">
        <v>77</v>
      </c>
      <c r="D810" t="s">
        <v>82</v>
      </c>
      <c r="E810" t="s">
        <v>78</v>
      </c>
      <c r="F810" s="71">
        <v>39448</v>
      </c>
      <c r="G810">
        <v>77524.759999999995</v>
      </c>
      <c r="H810">
        <v>3166828.3</v>
      </c>
      <c r="I810">
        <v>8359690.4399999985</v>
      </c>
      <c r="J810">
        <v>16581425.52</v>
      </c>
      <c r="K810">
        <v>26433986</v>
      </c>
      <c r="L810">
        <v>35118711.439999998</v>
      </c>
      <c r="M810">
        <v>38824421.650000013</v>
      </c>
      <c r="N810">
        <v>41016210.290000007</v>
      </c>
      <c r="O810">
        <v>41259374.030000001</v>
      </c>
      <c r="P810">
        <v>43755020.260000013</v>
      </c>
      <c r="Q810">
        <v>44635017.030000001</v>
      </c>
      <c r="R810">
        <v>44645296.159999996</v>
      </c>
      <c r="S810">
        <v>44697007.049999997</v>
      </c>
      <c r="T810">
        <v>44993334.950000003</v>
      </c>
      <c r="U810">
        <v>45108586.659999996</v>
      </c>
      <c r="V810">
        <v>45135737.759999998</v>
      </c>
      <c r="W810">
        <v>45136746.409999996</v>
      </c>
      <c r="X810">
        <v>45360873.119999997</v>
      </c>
    </row>
    <row r="811" spans="1:31" x14ac:dyDescent="0.25">
      <c r="A811" t="s">
        <v>64</v>
      </c>
      <c r="B811" t="s">
        <v>80</v>
      </c>
      <c r="C811" t="s">
        <v>77</v>
      </c>
      <c r="D811" t="s">
        <v>82</v>
      </c>
      <c r="E811" t="s">
        <v>78</v>
      </c>
      <c r="F811" s="71">
        <v>39814</v>
      </c>
      <c r="G811">
        <v>99739.51999999999</v>
      </c>
      <c r="H811">
        <v>3280924.76</v>
      </c>
      <c r="I811">
        <v>9494500.4499999993</v>
      </c>
      <c r="J811">
        <v>17063134.48</v>
      </c>
      <c r="K811">
        <v>22723993.829999998</v>
      </c>
      <c r="L811">
        <v>26524187.739999998</v>
      </c>
      <c r="M811">
        <v>31009492.530000001</v>
      </c>
      <c r="N811">
        <v>38141448.219999999</v>
      </c>
      <c r="O811">
        <v>38905093.790000007</v>
      </c>
      <c r="P811">
        <v>39130914.840000004</v>
      </c>
      <c r="Q811">
        <v>39296743.409999996</v>
      </c>
      <c r="R811">
        <v>39366293.130000003</v>
      </c>
      <c r="S811">
        <v>39485350.859999999</v>
      </c>
      <c r="T811">
        <v>39557159.369999997</v>
      </c>
      <c r="U811">
        <v>39640311.700000003</v>
      </c>
      <c r="V811">
        <v>39814598.869999997</v>
      </c>
      <c r="W811">
        <v>39814598.869999997</v>
      </c>
    </row>
    <row r="812" spans="1:31" x14ac:dyDescent="0.25">
      <c r="A812" t="s">
        <v>64</v>
      </c>
      <c r="B812" t="s">
        <v>80</v>
      </c>
      <c r="C812" t="s">
        <v>77</v>
      </c>
      <c r="D812" t="s">
        <v>82</v>
      </c>
      <c r="E812" t="s">
        <v>78</v>
      </c>
      <c r="F812" s="71">
        <v>40179</v>
      </c>
      <c r="G812">
        <v>148573.24</v>
      </c>
      <c r="H812">
        <v>2757808.34</v>
      </c>
      <c r="I812">
        <v>6830707.7800000012</v>
      </c>
      <c r="J812">
        <v>15217513.82</v>
      </c>
      <c r="K812">
        <v>20913567.129999999</v>
      </c>
      <c r="L812">
        <v>25141720.309999999</v>
      </c>
      <c r="M812">
        <v>26468786</v>
      </c>
      <c r="N812">
        <v>27532319.809999999</v>
      </c>
      <c r="O812">
        <v>29915860.870000001</v>
      </c>
      <c r="P812">
        <v>30134539.59</v>
      </c>
      <c r="Q812">
        <v>30154332</v>
      </c>
      <c r="R812">
        <v>30297051.879999999</v>
      </c>
      <c r="S812">
        <v>30358101.039999999</v>
      </c>
      <c r="T812">
        <v>30369313.140000001</v>
      </c>
      <c r="U812">
        <v>29896328.149999999</v>
      </c>
      <c r="V812">
        <v>30394672.510000002</v>
      </c>
    </row>
    <row r="813" spans="1:31" x14ac:dyDescent="0.25">
      <c r="A813" t="s">
        <v>64</v>
      </c>
      <c r="B813" t="s">
        <v>80</v>
      </c>
      <c r="C813" t="s">
        <v>77</v>
      </c>
      <c r="D813" t="s">
        <v>82</v>
      </c>
      <c r="E813" t="s">
        <v>78</v>
      </c>
      <c r="F813" s="71">
        <v>40544</v>
      </c>
      <c r="G813">
        <v>80781.34</v>
      </c>
      <c r="H813">
        <v>2525268.66</v>
      </c>
      <c r="I813">
        <v>5257624.9300000006</v>
      </c>
      <c r="J813">
        <v>11092619.369999999</v>
      </c>
      <c r="K813">
        <v>18189811.460000001</v>
      </c>
      <c r="L813">
        <v>25697907.760000002</v>
      </c>
      <c r="M813">
        <v>29454955.359999999</v>
      </c>
      <c r="N813">
        <v>30270908.43</v>
      </c>
      <c r="O813">
        <v>30854746.40000001</v>
      </c>
      <c r="P813">
        <v>30983203.25</v>
      </c>
      <c r="Q813">
        <v>31522368.899999999</v>
      </c>
      <c r="R813">
        <v>31537683.969999999</v>
      </c>
      <c r="S813">
        <v>31660503.359999999</v>
      </c>
      <c r="T813">
        <v>31535420.280000001</v>
      </c>
      <c r="U813">
        <v>31647718.84</v>
      </c>
    </row>
    <row r="814" spans="1:31" x14ac:dyDescent="0.25">
      <c r="A814" t="s">
        <v>64</v>
      </c>
      <c r="B814" t="s">
        <v>80</v>
      </c>
      <c r="C814" t="s">
        <v>77</v>
      </c>
      <c r="D814" t="s">
        <v>82</v>
      </c>
      <c r="E814" t="s">
        <v>78</v>
      </c>
      <c r="F814" s="71">
        <v>40909</v>
      </c>
      <c r="G814">
        <v>119083.59</v>
      </c>
      <c r="H814">
        <v>3577183.18</v>
      </c>
      <c r="I814">
        <v>6932432.6999999993</v>
      </c>
      <c r="J814">
        <v>11041197.74</v>
      </c>
      <c r="K814">
        <v>18056977.850000001</v>
      </c>
      <c r="L814">
        <v>21737082.649999999</v>
      </c>
      <c r="M814">
        <v>25818697.059999999</v>
      </c>
      <c r="N814">
        <v>29381102.859999999</v>
      </c>
      <c r="O814">
        <v>30005731.140000001</v>
      </c>
      <c r="P814">
        <v>30211745.18</v>
      </c>
      <c r="Q814">
        <v>30581377.02</v>
      </c>
      <c r="R814">
        <v>31748434.300000001</v>
      </c>
      <c r="S814">
        <v>31331042.649999999</v>
      </c>
      <c r="T814">
        <v>31757813</v>
      </c>
    </row>
    <row r="815" spans="1:31" x14ac:dyDescent="0.25">
      <c r="A815" t="s">
        <v>64</v>
      </c>
      <c r="B815" t="s">
        <v>80</v>
      </c>
      <c r="C815" t="s">
        <v>77</v>
      </c>
      <c r="D815" t="s">
        <v>82</v>
      </c>
      <c r="E815" t="s">
        <v>78</v>
      </c>
      <c r="F815" s="71">
        <v>41275</v>
      </c>
      <c r="G815">
        <v>328974.12</v>
      </c>
      <c r="H815">
        <v>3035341.67</v>
      </c>
      <c r="I815">
        <v>7381355.5899999999</v>
      </c>
      <c r="J815">
        <v>13696075.59</v>
      </c>
      <c r="K815">
        <v>20177549.699999999</v>
      </c>
      <c r="L815">
        <v>24966342.899999999</v>
      </c>
      <c r="M815">
        <v>30709564.160000011</v>
      </c>
      <c r="N815">
        <v>32914359.960000008</v>
      </c>
      <c r="O815">
        <v>31847513.359999999</v>
      </c>
      <c r="P815">
        <v>32025995.860000011</v>
      </c>
      <c r="Q815">
        <v>32377165.29000001</v>
      </c>
      <c r="R815">
        <v>32420813.449999999</v>
      </c>
      <c r="S815">
        <v>32932161.23</v>
      </c>
    </row>
    <row r="816" spans="1:31" x14ac:dyDescent="0.25">
      <c r="A816" t="s">
        <v>64</v>
      </c>
      <c r="B816" t="s">
        <v>80</v>
      </c>
      <c r="C816" t="s">
        <v>77</v>
      </c>
      <c r="D816" t="s">
        <v>82</v>
      </c>
      <c r="E816" t="s">
        <v>78</v>
      </c>
      <c r="F816" s="71">
        <v>41640</v>
      </c>
      <c r="G816">
        <v>165044.81</v>
      </c>
      <c r="H816">
        <v>2310387.25</v>
      </c>
      <c r="I816">
        <v>5982119.7399999993</v>
      </c>
      <c r="J816">
        <v>12172931.050000001</v>
      </c>
      <c r="K816">
        <v>17348160.82</v>
      </c>
      <c r="L816">
        <v>21808813.84</v>
      </c>
      <c r="M816">
        <v>25000397.73</v>
      </c>
      <c r="N816">
        <v>26572562.739999998</v>
      </c>
      <c r="O816">
        <v>26992639.149999999</v>
      </c>
      <c r="P816">
        <v>27083600.699999999</v>
      </c>
      <c r="Q816">
        <v>28123710.98</v>
      </c>
      <c r="R816">
        <v>28546844.23</v>
      </c>
    </row>
    <row r="817" spans="1:17" x14ac:dyDescent="0.25">
      <c r="A817" t="s">
        <v>64</v>
      </c>
      <c r="B817" t="s">
        <v>80</v>
      </c>
      <c r="C817" t="s">
        <v>77</v>
      </c>
      <c r="D817" t="s">
        <v>82</v>
      </c>
      <c r="E817" t="s">
        <v>78</v>
      </c>
      <c r="F817" s="71">
        <v>42005</v>
      </c>
      <c r="G817">
        <v>527768.46000000008</v>
      </c>
      <c r="H817">
        <v>2648943.9899999988</v>
      </c>
      <c r="I817">
        <v>5262316.0699999984</v>
      </c>
      <c r="J817">
        <v>11320724.710000001</v>
      </c>
      <c r="K817">
        <v>14975629.109999999</v>
      </c>
      <c r="L817">
        <v>18794994.68</v>
      </c>
      <c r="M817">
        <v>21325210.219999999</v>
      </c>
      <c r="N817">
        <v>23870921.780000001</v>
      </c>
      <c r="O817">
        <v>23784205.23</v>
      </c>
      <c r="P817">
        <v>23948479.09</v>
      </c>
      <c r="Q817">
        <v>26224088.09</v>
      </c>
    </row>
    <row r="818" spans="1:17" x14ac:dyDescent="0.25">
      <c r="A818" t="s">
        <v>64</v>
      </c>
      <c r="B818" t="s">
        <v>80</v>
      </c>
      <c r="C818" t="s">
        <v>77</v>
      </c>
      <c r="D818" t="s">
        <v>82</v>
      </c>
      <c r="E818" t="s">
        <v>78</v>
      </c>
      <c r="F818" s="71">
        <v>42370</v>
      </c>
      <c r="G818">
        <v>307936.08000000007</v>
      </c>
      <c r="H818">
        <v>4162888.29</v>
      </c>
      <c r="I818">
        <v>7254734.0499999989</v>
      </c>
      <c r="J818">
        <v>9686250.6899999995</v>
      </c>
      <c r="K818">
        <v>14305985.42</v>
      </c>
      <c r="L818">
        <v>16580843.23</v>
      </c>
      <c r="M818">
        <v>18606033.940000001</v>
      </c>
      <c r="N818">
        <v>20915829.140000001</v>
      </c>
      <c r="O818">
        <v>22015561.550000001</v>
      </c>
      <c r="P818">
        <v>22565686.719999999</v>
      </c>
    </row>
    <row r="819" spans="1:17" x14ac:dyDescent="0.25">
      <c r="A819" t="s">
        <v>64</v>
      </c>
      <c r="B819" t="s">
        <v>80</v>
      </c>
      <c r="C819" t="s">
        <v>77</v>
      </c>
      <c r="D819" t="s">
        <v>82</v>
      </c>
      <c r="E819" t="s">
        <v>78</v>
      </c>
      <c r="F819" s="71">
        <v>42736</v>
      </c>
      <c r="G819">
        <v>179630.49</v>
      </c>
      <c r="H819">
        <v>3022579.03</v>
      </c>
      <c r="I819">
        <v>5485828.2600000007</v>
      </c>
      <c r="J819">
        <v>12458447</v>
      </c>
      <c r="K819">
        <v>17521736.890000001</v>
      </c>
      <c r="L819">
        <v>25193813.359999999</v>
      </c>
      <c r="M819">
        <v>30552812.199999999</v>
      </c>
      <c r="N819">
        <v>31779790.859999999</v>
      </c>
      <c r="O819">
        <v>32289379.350000001</v>
      </c>
    </row>
    <row r="820" spans="1:17" x14ac:dyDescent="0.25">
      <c r="A820" t="s">
        <v>64</v>
      </c>
      <c r="B820" t="s">
        <v>80</v>
      </c>
      <c r="C820" t="s">
        <v>77</v>
      </c>
      <c r="D820" t="s">
        <v>82</v>
      </c>
      <c r="E820" t="s">
        <v>78</v>
      </c>
      <c r="F820" s="71">
        <v>43101</v>
      </c>
      <c r="G820">
        <v>117675.39</v>
      </c>
      <c r="H820">
        <v>3623794.08</v>
      </c>
      <c r="I820">
        <v>10648236.92000052</v>
      </c>
      <c r="J820">
        <v>16044305.530000521</v>
      </c>
      <c r="K820">
        <v>21210491.030000001</v>
      </c>
      <c r="L820">
        <v>24443080.859999999</v>
      </c>
      <c r="M820">
        <v>31833447.09</v>
      </c>
      <c r="N820">
        <v>35975868.82</v>
      </c>
    </row>
    <row r="821" spans="1:17" x14ac:dyDescent="0.25">
      <c r="A821" t="s">
        <v>64</v>
      </c>
      <c r="B821" t="s">
        <v>80</v>
      </c>
      <c r="C821" t="s">
        <v>77</v>
      </c>
      <c r="D821" t="s">
        <v>82</v>
      </c>
      <c r="E821" t="s">
        <v>78</v>
      </c>
      <c r="F821" s="71">
        <v>43466</v>
      </c>
      <c r="G821">
        <v>184980.34</v>
      </c>
      <c r="H821">
        <v>3960530.8</v>
      </c>
      <c r="I821">
        <v>6041366.6799999997</v>
      </c>
      <c r="J821">
        <v>15155206.800000001</v>
      </c>
      <c r="K821">
        <v>29371424.59</v>
      </c>
      <c r="L821">
        <v>40094868.960000001</v>
      </c>
      <c r="M821">
        <v>45794074.779999986</v>
      </c>
    </row>
    <row r="822" spans="1:17" x14ac:dyDescent="0.25">
      <c r="A822" t="s">
        <v>64</v>
      </c>
      <c r="B822" t="s">
        <v>80</v>
      </c>
      <c r="C822" t="s">
        <v>77</v>
      </c>
      <c r="D822" t="s">
        <v>82</v>
      </c>
      <c r="E822" t="s">
        <v>78</v>
      </c>
      <c r="F822" s="71">
        <v>43831</v>
      </c>
      <c r="G822">
        <v>110725.75</v>
      </c>
      <c r="H822">
        <v>1828172.46</v>
      </c>
      <c r="I822">
        <v>6885974.4100000001</v>
      </c>
      <c r="J822">
        <v>12287025.08</v>
      </c>
      <c r="K822">
        <v>18852066.68</v>
      </c>
      <c r="L822">
        <v>23845362.02</v>
      </c>
    </row>
    <row r="823" spans="1:17" x14ac:dyDescent="0.25">
      <c r="A823" t="s">
        <v>64</v>
      </c>
      <c r="B823" t="s">
        <v>80</v>
      </c>
      <c r="C823" t="s">
        <v>77</v>
      </c>
      <c r="D823" t="s">
        <v>82</v>
      </c>
      <c r="E823" t="s">
        <v>78</v>
      </c>
      <c r="F823" s="71">
        <v>44197</v>
      </c>
      <c r="G823">
        <v>113727.42</v>
      </c>
      <c r="H823">
        <v>3364108.39</v>
      </c>
      <c r="I823">
        <v>10614574.300000001</v>
      </c>
      <c r="J823">
        <v>17607574.300000001</v>
      </c>
      <c r="K823">
        <v>26626572.359999999</v>
      </c>
    </row>
    <row r="824" spans="1:17" x14ac:dyDescent="0.25">
      <c r="A824" t="s">
        <v>64</v>
      </c>
      <c r="B824" t="s">
        <v>80</v>
      </c>
      <c r="C824" t="s">
        <v>77</v>
      </c>
      <c r="D824" t="s">
        <v>82</v>
      </c>
      <c r="E824" t="s">
        <v>78</v>
      </c>
      <c r="F824" s="71">
        <v>44562</v>
      </c>
      <c r="G824">
        <v>44186.540000000008</v>
      </c>
      <c r="H824">
        <v>3732326.93</v>
      </c>
      <c r="I824">
        <v>11621681.59</v>
      </c>
      <c r="J824">
        <v>19621617.420000002</v>
      </c>
    </row>
    <row r="825" spans="1:17" x14ac:dyDescent="0.25">
      <c r="A825" t="s">
        <v>64</v>
      </c>
      <c r="B825" t="s">
        <v>80</v>
      </c>
      <c r="C825" t="s">
        <v>77</v>
      </c>
      <c r="D825" t="s">
        <v>82</v>
      </c>
      <c r="E825" t="s">
        <v>78</v>
      </c>
      <c r="F825" s="71">
        <v>44927</v>
      </c>
      <c r="G825">
        <v>474527.37</v>
      </c>
      <c r="H825">
        <v>4392503.78</v>
      </c>
      <c r="I825">
        <v>6719687.6799999997</v>
      </c>
    </row>
    <row r="826" spans="1:17" x14ac:dyDescent="0.25">
      <c r="A826" t="s">
        <v>64</v>
      </c>
      <c r="B826" t="s">
        <v>80</v>
      </c>
      <c r="C826" t="s">
        <v>77</v>
      </c>
      <c r="D826" t="s">
        <v>82</v>
      </c>
      <c r="E826" t="s">
        <v>78</v>
      </c>
      <c r="F826" s="71">
        <v>45292</v>
      </c>
      <c r="G826">
        <v>110586.38</v>
      </c>
      <c r="H826">
        <v>1918332.56</v>
      </c>
    </row>
    <row r="827" spans="1:17" x14ac:dyDescent="0.25">
      <c r="A827" t="s">
        <v>64</v>
      </c>
      <c r="B827" t="s">
        <v>80</v>
      </c>
      <c r="C827" t="s">
        <v>77</v>
      </c>
      <c r="D827" t="s">
        <v>82</v>
      </c>
      <c r="E827" t="s">
        <v>78</v>
      </c>
      <c r="F827" s="71">
        <v>45658</v>
      </c>
      <c r="G827">
        <v>266169.09000000003</v>
      </c>
    </row>
  </sheetData>
  <mergeCells count="1">
    <mergeCell ref="G1:J1"/>
  </mergeCells>
  <dataValidations count="4">
    <dataValidation type="list" allowBlank="1" showInputMessage="1" showErrorMessage="1" sqref="B3:B1048576" xr:uid="{00000000-0002-0000-0100-000000000000}">
      <formula1>"Incurred,Paid,Outstanding, Net Written Premium"</formula1>
    </dataValidation>
    <dataValidation type="list" allowBlank="1" showInputMessage="1" showErrorMessage="1" sqref="A3:A379" xr:uid="{00000000-0002-0000-0100-000001000000}">
      <formula1>Development_classes</formula1>
    </dataValidation>
    <dataValidation type="list" allowBlank="1" showInputMessage="1" showErrorMessage="1" sqref="C3:C379" xr:uid="{00000000-0002-0000-0100-000002000000}">
      <formula1>"All, Attritional, Large, Non-Cat, Cat"</formula1>
    </dataValidation>
    <dataValidation type="list" allowBlank="1" showInputMessage="1" showErrorMessage="1" sqref="D3:D827" xr:uid="{8E8641A5-2B57-4D7E-B3DD-76C838911D8F}">
      <formula1>"Accident Year, UW Year, Treaty Year"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100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0" defaultRowHeight="15" zeroHeight="1" x14ac:dyDescent="0.25"/>
  <cols>
    <col min="1" max="1" width="20.42578125" bestFit="1" customWidth="1"/>
    <col min="2" max="2" width="10.85546875" style="36" customWidth="1"/>
    <col min="3" max="5" width="16.28515625" style="36" customWidth="1"/>
    <col min="6" max="6" width="11.140625" style="36" customWidth="1"/>
    <col min="7" max="8" width="15.85546875" style="37" customWidth="1"/>
    <col min="9" max="9" width="13.85546875" style="34" customWidth="1"/>
    <col min="10" max="10" width="13.85546875" style="37" customWidth="1"/>
    <col min="11" max="11" width="13.85546875" style="3" hidden="1" customWidth="1"/>
    <col min="12" max="12" width="9.140625" style="19" hidden="1" customWidth="1"/>
    <col min="14" max="14" width="14" hidden="1" customWidth="1"/>
    <col min="15" max="15" width="12" hidden="1" customWidth="1"/>
    <col min="17" max="17" width="9.140625" customWidth="1"/>
    <col min="18" max="18" width="70" customWidth="1"/>
    <col min="19" max="19" width="3.42578125" customWidth="1"/>
    <col min="20" max="20" width="15" bestFit="1" customWidth="1"/>
    <col min="21" max="22" width="9.140625" customWidth="1"/>
    <col min="23" max="23" width="9.140625" hidden="1" customWidth="1"/>
    <col min="24" max="16384" width="9.140625" hidden="1"/>
  </cols>
  <sheetData>
    <row r="1" spans="1:19" ht="58.5" customHeight="1" x14ac:dyDescent="0.25">
      <c r="A1" s="57" t="s">
        <v>81</v>
      </c>
      <c r="B1" s="58" t="s">
        <v>82</v>
      </c>
      <c r="C1" s="58" t="s">
        <v>83</v>
      </c>
      <c r="D1" s="58" t="s">
        <v>84</v>
      </c>
      <c r="E1" s="58" t="s">
        <v>85</v>
      </c>
      <c r="F1" s="58" t="s">
        <v>86</v>
      </c>
      <c r="G1" s="58" t="s">
        <v>87</v>
      </c>
      <c r="H1" s="58" t="s">
        <v>88</v>
      </c>
      <c r="I1" s="59" t="s">
        <v>89</v>
      </c>
      <c r="J1" s="58" t="s">
        <v>90</v>
      </c>
      <c r="K1" s="20" t="s">
        <v>91</v>
      </c>
      <c r="L1" s="18" t="s">
        <v>92</v>
      </c>
      <c r="M1" s="38" t="s">
        <v>93</v>
      </c>
      <c r="N1" s="39">
        <f>YEAR(triangle_start_date)</f>
        <v>2001</v>
      </c>
      <c r="O1" s="38" t="s">
        <v>94</v>
      </c>
      <c r="P1" s="39">
        <f>YEAR(current_date)-1</f>
        <v>2025</v>
      </c>
      <c r="R1" t="s">
        <v>2</v>
      </c>
    </row>
    <row r="2" spans="1:19" x14ac:dyDescent="0.25">
      <c r="A2" s="62" t="s">
        <v>56</v>
      </c>
      <c r="B2" s="63">
        <v>2001</v>
      </c>
      <c r="C2" s="66">
        <v>8.1366889099999895</v>
      </c>
      <c r="D2" s="66">
        <v>8.1366889099999895</v>
      </c>
      <c r="E2" s="66">
        <v>8.1366889099999895</v>
      </c>
      <c r="F2" s="60"/>
      <c r="G2" s="60"/>
      <c r="H2" s="60"/>
      <c r="I2" s="60"/>
      <c r="J2" s="61"/>
      <c r="K2" s="3" t="str">
        <f t="shared" ref="K2:K65" si="0">IF(OR(B2&lt;$N$1,B2&gt;$P$1),"fail","pass")</f>
        <v>pass</v>
      </c>
      <c r="L2" s="19" t="str">
        <f>IFERROR(IF(AND(MATCH(A2,Projection_classes,0),YEAR(current_date)=Projections!B2),"pass","fail"),"")</f>
        <v>fail</v>
      </c>
      <c r="R2" t="str">
        <f>IF(S2&gt;0, "RATE CHANGE COLUMN CONTAINS ERROR VALUES. PLEASE SET THEM TO 0s", "Rate Change column no error values.")</f>
        <v>Rate Change column no error values.</v>
      </c>
      <c r="S2">
        <f t="array" ref="S2">SUMPRODUCT(--ISERROR(I2:I1000))</f>
        <v>0</v>
      </c>
    </row>
    <row r="3" spans="1:19" x14ac:dyDescent="0.25">
      <c r="A3" s="64" t="s">
        <v>56</v>
      </c>
      <c r="B3" s="63">
        <v>2002</v>
      </c>
      <c r="C3" s="67">
        <v>8.048438449999999</v>
      </c>
      <c r="D3" s="67">
        <v>8.048438449999999</v>
      </c>
      <c r="E3" s="67">
        <v>8.048438449999999</v>
      </c>
      <c r="F3" s="61"/>
      <c r="G3" s="61"/>
      <c r="H3" s="61"/>
      <c r="I3" s="61"/>
      <c r="J3" s="61"/>
      <c r="K3" s="3" t="str">
        <f t="shared" si="0"/>
        <v>pass</v>
      </c>
      <c r="L3" s="19" t="str">
        <f>IFERROR(IF(AND(MATCH(A3,Projection_classes,0),YEAR(current_date)=Projections!B3),"pass","fail"),"")</f>
        <v>fail</v>
      </c>
      <c r="R3" t="str">
        <f>IF(S3&gt;0, "INFLATION COLUMN CONTAINS ERROR VALUES. PLEASE SET THEM TO 0s", "Inflation column no error values.")</f>
        <v>Inflation column no error values.</v>
      </c>
      <c r="S3">
        <f t="array" ref="S3">SUMPRODUCT(--ISERROR(J2:J1000))</f>
        <v>0</v>
      </c>
    </row>
    <row r="4" spans="1:19" x14ac:dyDescent="0.25">
      <c r="A4" s="64" t="s">
        <v>56</v>
      </c>
      <c r="B4" s="63">
        <v>2003</v>
      </c>
      <c r="C4" s="67">
        <v>11.94071638</v>
      </c>
      <c r="D4" s="67">
        <v>11.94071638</v>
      </c>
      <c r="E4" s="67">
        <v>11.94071638</v>
      </c>
      <c r="F4" s="61"/>
      <c r="G4" s="61"/>
      <c r="H4" s="61"/>
      <c r="I4" s="61"/>
      <c r="J4" s="61"/>
      <c r="K4" s="3" t="str">
        <f t="shared" si="0"/>
        <v>pass</v>
      </c>
      <c r="L4" s="19" t="str">
        <f>IFERROR(IF(AND(MATCH(A4,Projection_classes,0),YEAR(current_date)=Projections!B4),"pass","fail"),"")</f>
        <v>fail</v>
      </c>
    </row>
    <row r="5" spans="1:19" x14ac:dyDescent="0.25">
      <c r="A5" s="64" t="s">
        <v>56</v>
      </c>
      <c r="B5" s="63">
        <v>2004</v>
      </c>
      <c r="C5" s="67">
        <v>16.579210589999999</v>
      </c>
      <c r="D5" s="67">
        <v>16.579210589999999</v>
      </c>
      <c r="E5" s="67">
        <v>16.579210589999999</v>
      </c>
      <c r="F5" s="61"/>
      <c r="G5" s="61"/>
      <c r="H5" s="61"/>
      <c r="I5" s="61"/>
      <c r="J5" s="61"/>
      <c r="K5" s="3" t="str">
        <f t="shared" si="0"/>
        <v>pass</v>
      </c>
      <c r="L5" s="19" t="str">
        <f>IFERROR(IF(AND(MATCH(A5,Projection_classes,0),YEAR(current_date)=Projections!B5),"pass","fail"),"")</f>
        <v>fail</v>
      </c>
    </row>
    <row r="6" spans="1:19" x14ac:dyDescent="0.25">
      <c r="A6" s="64" t="s">
        <v>56</v>
      </c>
      <c r="B6" s="63">
        <v>2005</v>
      </c>
      <c r="C6" s="67">
        <v>18.82576504</v>
      </c>
      <c r="D6" s="67">
        <v>18.82576504</v>
      </c>
      <c r="E6" s="67">
        <v>18.82576504</v>
      </c>
      <c r="F6" s="61"/>
      <c r="G6" s="61"/>
      <c r="H6" s="61"/>
      <c r="I6" s="61"/>
      <c r="J6" s="61"/>
      <c r="K6" s="3" t="str">
        <f t="shared" si="0"/>
        <v>pass</v>
      </c>
      <c r="L6" s="19" t="str">
        <f>IFERROR(IF(AND(MATCH(A6,Projection_classes,0),YEAR(current_date)=Projections!B6),"pass","fail"),"")</f>
        <v>fail</v>
      </c>
      <c r="R6" s="46" t="s">
        <v>5</v>
      </c>
    </row>
    <row r="7" spans="1:19" x14ac:dyDescent="0.25">
      <c r="A7" s="64" t="s">
        <v>56</v>
      </c>
      <c r="B7" s="63">
        <v>2006</v>
      </c>
      <c r="C7" s="65">
        <v>19.523391839999999</v>
      </c>
      <c r="D7" s="65">
        <v>19.523391839999999</v>
      </c>
      <c r="E7" s="70">
        <v>19.523391839999999</v>
      </c>
      <c r="F7" s="61"/>
      <c r="G7" s="61"/>
      <c r="H7" s="61"/>
      <c r="I7" s="61"/>
      <c r="J7" s="61"/>
      <c r="K7" s="3" t="str">
        <f t="shared" si="0"/>
        <v>pass</v>
      </c>
      <c r="L7" s="19" t="str">
        <f>IFERROR(IF(AND(MATCH(A7,Projection_classes,0),YEAR(current_date)=Projections!B7),"pass","fail"),"")</f>
        <v>fail</v>
      </c>
      <c r="R7" s="47" t="s">
        <v>8</v>
      </c>
    </row>
    <row r="8" spans="1:19" x14ac:dyDescent="0.25">
      <c r="A8" s="64" t="s">
        <v>56</v>
      </c>
      <c r="B8" s="63">
        <v>2007</v>
      </c>
      <c r="C8" s="65">
        <v>20.315469369999999</v>
      </c>
      <c r="D8" s="65">
        <v>20.315469369999999</v>
      </c>
      <c r="E8" s="70">
        <v>20.315469369999999</v>
      </c>
      <c r="F8" s="61"/>
      <c r="G8" s="61"/>
      <c r="H8" s="61"/>
      <c r="I8" s="61">
        <v>-9.0413677419889371E-3</v>
      </c>
      <c r="J8" s="61">
        <v>8.7733472005159241E-2</v>
      </c>
      <c r="K8" s="3" t="str">
        <f t="shared" si="0"/>
        <v>pass</v>
      </c>
      <c r="L8" s="19" t="str">
        <f>IFERROR(IF(AND(MATCH(A8,Projection_classes,0),YEAR(current_date)=Projections!B8),"pass","fail"),"")</f>
        <v>fail</v>
      </c>
    </row>
    <row r="9" spans="1:19" x14ac:dyDescent="0.25">
      <c r="A9" s="64" t="s">
        <v>56</v>
      </c>
      <c r="B9" s="63">
        <v>2008</v>
      </c>
      <c r="C9" s="65">
        <v>34.469559539999999</v>
      </c>
      <c r="D9" s="65">
        <v>34.469559539999999</v>
      </c>
      <c r="E9" s="70">
        <v>34.469559539999999</v>
      </c>
      <c r="F9" s="61"/>
      <c r="G9" s="61"/>
      <c r="H9" s="61"/>
      <c r="I9" s="61">
        <v>-5.0167356169113941E-2</v>
      </c>
      <c r="J9" s="61">
        <v>8.7236473497871003E-2</v>
      </c>
      <c r="K9" s="3" t="str">
        <f t="shared" si="0"/>
        <v>pass</v>
      </c>
      <c r="L9" s="19" t="str">
        <f>IFERROR(IF(AND(MATCH(A9,Projection_classes,0),YEAR(current_date)=Projections!B9),"pass","fail"),"")</f>
        <v>fail</v>
      </c>
    </row>
    <row r="10" spans="1:19" x14ac:dyDescent="0.25">
      <c r="A10" s="64" t="s">
        <v>56</v>
      </c>
      <c r="B10" s="63">
        <v>2009</v>
      </c>
      <c r="C10" s="65">
        <v>32.61135135</v>
      </c>
      <c r="D10" s="65">
        <v>32.61135135</v>
      </c>
      <c r="E10" s="70">
        <v>32.61135135</v>
      </c>
      <c r="F10" s="61"/>
      <c r="G10" s="61"/>
      <c r="H10" s="61"/>
      <c r="I10" s="61">
        <v>-2.091060796389688E-2</v>
      </c>
      <c r="J10" s="61">
        <v>7.5952757846034391E-2</v>
      </c>
      <c r="K10" s="3" t="str">
        <f t="shared" si="0"/>
        <v>pass</v>
      </c>
      <c r="L10" s="19" t="str">
        <f>IFERROR(IF(AND(MATCH(A10,Projection_classes,0),YEAR(current_date)=Projections!B10),"pass","fail"),"")</f>
        <v>fail</v>
      </c>
    </row>
    <row r="11" spans="1:19" x14ac:dyDescent="0.25">
      <c r="A11" s="64" t="s">
        <v>56</v>
      </c>
      <c r="B11" s="63">
        <v>2010</v>
      </c>
      <c r="C11" s="65">
        <v>23.56542718</v>
      </c>
      <c r="D11" s="65">
        <v>23.56542718</v>
      </c>
      <c r="E11" s="70">
        <v>23.56542718</v>
      </c>
      <c r="F11" s="61"/>
      <c r="G11" s="61"/>
      <c r="H11" s="61"/>
      <c r="I11" s="61">
        <v>-2.9274553278735288E-4</v>
      </c>
      <c r="J11" s="61">
        <v>7.191205066491646E-2</v>
      </c>
      <c r="K11" s="3" t="str">
        <f t="shared" si="0"/>
        <v>pass</v>
      </c>
      <c r="L11" s="19" t="str">
        <f>IFERROR(IF(AND(MATCH(A11,Projection_classes,0),YEAR(current_date)=Projections!B11),"pass","fail"),"")</f>
        <v>fail</v>
      </c>
    </row>
    <row r="12" spans="1:19" x14ac:dyDescent="0.25">
      <c r="A12" s="64" t="s">
        <v>56</v>
      </c>
      <c r="B12" s="63">
        <v>2011</v>
      </c>
      <c r="C12" s="65">
        <v>17.298425550000001</v>
      </c>
      <c r="D12" s="65">
        <v>17.298425550000001</v>
      </c>
      <c r="E12" s="65">
        <v>17.298425550000001</v>
      </c>
      <c r="F12" s="61"/>
      <c r="G12" s="61"/>
      <c r="H12" s="61"/>
      <c r="I12" s="61">
        <v>-5.8227880425146816E-3</v>
      </c>
      <c r="J12" s="61">
        <v>7.5227489027520855E-2</v>
      </c>
      <c r="K12" s="3" t="str">
        <f t="shared" si="0"/>
        <v>pass</v>
      </c>
      <c r="L12" s="19" t="str">
        <f>IFERROR(IF(AND(MATCH(A12,Projection_classes,0),YEAR(current_date)=Projections!B12),"pass","fail"),"")</f>
        <v>fail</v>
      </c>
    </row>
    <row r="13" spans="1:19" x14ac:dyDescent="0.25">
      <c r="A13" s="64" t="s">
        <v>56</v>
      </c>
      <c r="B13" s="63">
        <v>2012</v>
      </c>
      <c r="C13" s="65">
        <v>9.3987519200000005</v>
      </c>
      <c r="D13" s="65">
        <v>9.3987519200000005</v>
      </c>
      <c r="E13" s="65">
        <v>9.3987519200000005</v>
      </c>
      <c r="F13" s="61"/>
      <c r="G13" s="61"/>
      <c r="H13" s="61"/>
      <c r="I13" s="61">
        <v>-2.1910282720563061E-3</v>
      </c>
      <c r="J13" s="61">
        <v>7.400698281269702E-2</v>
      </c>
      <c r="K13" s="3" t="str">
        <f t="shared" si="0"/>
        <v>pass</v>
      </c>
      <c r="L13" s="19" t="str">
        <f>IFERROR(IF(AND(MATCH(A13,Projection_classes,0),YEAR(current_date)=Projections!B13),"pass","fail"),"")</f>
        <v>fail</v>
      </c>
    </row>
    <row r="14" spans="1:19" x14ac:dyDescent="0.25">
      <c r="A14" s="64" t="s">
        <v>56</v>
      </c>
      <c r="B14" s="63">
        <v>2013</v>
      </c>
      <c r="C14" s="65">
        <v>11.234086</v>
      </c>
      <c r="D14" s="65">
        <v>11.234086</v>
      </c>
      <c r="E14" s="65">
        <v>11.234086</v>
      </c>
      <c r="F14" s="61"/>
      <c r="G14" s="61"/>
      <c r="H14" s="61"/>
      <c r="I14" s="61">
        <v>-4.9192178929690078E-3</v>
      </c>
      <c r="J14" s="61">
        <v>6.932203504876866E-2</v>
      </c>
      <c r="K14" s="3" t="str">
        <f t="shared" si="0"/>
        <v>pass</v>
      </c>
      <c r="L14" s="19" t="str">
        <f>IFERROR(IF(AND(MATCH(A14,Projection_classes,0),YEAR(current_date)=Projections!B14),"pass","fail"),"")</f>
        <v>fail</v>
      </c>
    </row>
    <row r="15" spans="1:19" x14ac:dyDescent="0.25">
      <c r="A15" s="64" t="s">
        <v>56</v>
      </c>
      <c r="B15" s="63">
        <v>2014</v>
      </c>
      <c r="C15" s="65">
        <v>19.154308744000001</v>
      </c>
      <c r="D15" s="65">
        <v>19.154308744000001</v>
      </c>
      <c r="E15" s="65">
        <v>19.154308744000001</v>
      </c>
      <c r="F15" s="61"/>
      <c r="G15" s="61"/>
      <c r="H15" s="61"/>
      <c r="I15" s="61">
        <v>-1.6754683426198791E-2</v>
      </c>
      <c r="J15" s="61">
        <v>6.7044285142412674E-2</v>
      </c>
      <c r="K15" s="3" t="str">
        <f t="shared" si="0"/>
        <v>pass</v>
      </c>
      <c r="L15" s="19" t="str">
        <f>IFERROR(IF(AND(MATCH(A15,Projection_classes,0),YEAR(current_date)=Projections!B15),"pass","fail"),"")</f>
        <v>fail</v>
      </c>
    </row>
    <row r="16" spans="1:19" x14ac:dyDescent="0.25">
      <c r="A16" s="64" t="s">
        <v>56</v>
      </c>
      <c r="B16" s="63">
        <v>2015</v>
      </c>
      <c r="C16" s="65">
        <v>29.321087569999989</v>
      </c>
      <c r="D16" s="65">
        <v>29.321087569999989</v>
      </c>
      <c r="E16" s="65">
        <v>29.321087569999989</v>
      </c>
      <c r="F16" s="61"/>
      <c r="G16" s="61"/>
      <c r="H16" s="61"/>
      <c r="I16" s="61">
        <v>-1.3229944620239079E-2</v>
      </c>
      <c r="J16" s="61">
        <v>6.9245491358009836E-2</v>
      </c>
      <c r="K16" s="3" t="str">
        <f t="shared" si="0"/>
        <v>pass</v>
      </c>
      <c r="L16" s="19" t="str">
        <f>IFERROR(IF(AND(MATCH(A16,Projection_classes,0),YEAR(current_date)=Projections!B16),"pass","fail"),"")</f>
        <v>fail</v>
      </c>
    </row>
    <row r="17" spans="1:12" x14ac:dyDescent="0.25">
      <c r="A17" s="64" t="s">
        <v>56</v>
      </c>
      <c r="B17" s="63">
        <v>2016</v>
      </c>
      <c r="C17" s="65">
        <v>34.072388434529977</v>
      </c>
      <c r="D17" s="65">
        <v>34.072388434529977</v>
      </c>
      <c r="E17" s="65">
        <v>34.072388434529977</v>
      </c>
      <c r="F17" s="61"/>
      <c r="G17" s="61"/>
      <c r="H17" s="61"/>
      <c r="I17" s="61">
        <v>-4.7554079317897457E-3</v>
      </c>
      <c r="J17" s="61">
        <v>6.9561772558719204E-2</v>
      </c>
      <c r="K17" s="3" t="str">
        <f t="shared" si="0"/>
        <v>pass</v>
      </c>
      <c r="L17" s="19" t="str">
        <f>IFERROR(IF(AND(MATCH(A17,Projection_classes,0),YEAR(current_date)=Projections!B17),"pass","fail"),"")</f>
        <v>fail</v>
      </c>
    </row>
    <row r="18" spans="1:12" x14ac:dyDescent="0.25">
      <c r="A18" s="64" t="s">
        <v>56</v>
      </c>
      <c r="B18" s="63">
        <v>2017</v>
      </c>
      <c r="C18" s="65">
        <v>52.802136187343628</v>
      </c>
      <c r="D18" s="65">
        <v>52.802136187343628</v>
      </c>
      <c r="E18" s="65">
        <v>52.802136187343628</v>
      </c>
      <c r="F18" s="61"/>
      <c r="G18" s="61"/>
      <c r="H18" s="61"/>
      <c r="I18" s="61">
        <v>-5.1204853976140052E-3</v>
      </c>
      <c r="J18" s="61">
        <v>7.9010007659150894E-2</v>
      </c>
      <c r="K18" s="3" t="str">
        <f t="shared" si="0"/>
        <v>pass</v>
      </c>
      <c r="L18" s="19" t="str">
        <f>IFERROR(IF(AND(MATCH(A18,Projection_classes,0),YEAR(current_date)=Projections!B18),"pass","fail"),"")</f>
        <v>fail</v>
      </c>
    </row>
    <row r="19" spans="1:12" x14ac:dyDescent="0.25">
      <c r="A19" s="64" t="s">
        <v>56</v>
      </c>
      <c r="B19" s="63">
        <v>2018</v>
      </c>
      <c r="C19" s="65">
        <v>89.615987308136937</v>
      </c>
      <c r="D19" s="65">
        <v>89.615987308136937</v>
      </c>
      <c r="E19" s="65">
        <v>89.615987308136937</v>
      </c>
      <c r="F19" s="61"/>
      <c r="G19" s="61"/>
      <c r="H19" s="61"/>
      <c r="I19" s="61">
        <v>1.249709936935472E-2</v>
      </c>
      <c r="J19" s="61">
        <v>7.8738372326652151E-2</v>
      </c>
      <c r="K19" s="3" t="str">
        <f t="shared" si="0"/>
        <v>pass</v>
      </c>
      <c r="L19" s="19" t="str">
        <f>IFERROR(IF(AND(MATCH(A19,Projection_classes,0),YEAR(current_date)=Projections!B19),"pass","fail"),"")</f>
        <v>fail</v>
      </c>
    </row>
    <row r="20" spans="1:12" x14ac:dyDescent="0.25">
      <c r="A20" s="64" t="s">
        <v>56</v>
      </c>
      <c r="B20" s="63">
        <v>2019</v>
      </c>
      <c r="C20" s="65">
        <v>142.45401291705119</v>
      </c>
      <c r="D20" s="65">
        <v>142.45401291705119</v>
      </c>
      <c r="E20" s="65">
        <v>142.45401291705119</v>
      </c>
      <c r="F20" s="61"/>
      <c r="G20" s="61"/>
      <c r="H20" s="61"/>
      <c r="I20" s="61">
        <v>7.0366493014718756E-2</v>
      </c>
      <c r="J20" s="61">
        <v>7.5645595666574472E-2</v>
      </c>
      <c r="K20" s="3" t="str">
        <f t="shared" si="0"/>
        <v>pass</v>
      </c>
      <c r="L20" s="19" t="str">
        <f>IFERROR(IF(AND(MATCH(A20,Projection_classes,0),YEAR(current_date)=Projections!B20),"pass","fail"),"")</f>
        <v>fail</v>
      </c>
    </row>
    <row r="21" spans="1:12" x14ac:dyDescent="0.25">
      <c r="A21" s="64" t="s">
        <v>56</v>
      </c>
      <c r="B21" s="63">
        <v>2020</v>
      </c>
      <c r="C21" s="65">
        <v>178.97009683204229</v>
      </c>
      <c r="D21" s="65">
        <v>178.97009683204229</v>
      </c>
      <c r="E21" s="65">
        <v>178.97009683204229</v>
      </c>
      <c r="F21" s="61"/>
      <c r="G21" s="61"/>
      <c r="H21" s="61"/>
      <c r="I21" s="61">
        <v>0.111850969102957</v>
      </c>
      <c r="J21" s="61">
        <v>5.5985512880836641E-2</v>
      </c>
      <c r="K21" s="3" t="str">
        <f t="shared" si="0"/>
        <v>pass</v>
      </c>
      <c r="L21" s="19" t="str">
        <f>IFERROR(IF(AND(MATCH(A21,Projection_classes,0),YEAR(current_date)=Projections!B21),"pass","fail"),"")</f>
        <v>fail</v>
      </c>
    </row>
    <row r="22" spans="1:12" x14ac:dyDescent="0.25">
      <c r="A22" s="64" t="s">
        <v>56</v>
      </c>
      <c r="B22" s="63">
        <v>2021</v>
      </c>
      <c r="C22" s="65">
        <v>191.7065101823583</v>
      </c>
      <c r="D22" s="65">
        <v>191.7065101823583</v>
      </c>
      <c r="E22" s="65">
        <v>191.7065101823583</v>
      </c>
      <c r="F22" s="61"/>
      <c r="G22" s="61"/>
      <c r="H22" s="61"/>
      <c r="I22" s="61">
        <v>0.1056551219451876</v>
      </c>
      <c r="J22" s="61">
        <v>8.869785475996772E-2</v>
      </c>
      <c r="K22" s="3" t="str">
        <f t="shared" si="0"/>
        <v>pass</v>
      </c>
      <c r="L22" s="19" t="str">
        <f>IFERROR(IF(AND(MATCH(A22,Projection_classes,0),YEAR(current_date)=Projections!B22),"pass","fail"),"")</f>
        <v>fail</v>
      </c>
    </row>
    <row r="23" spans="1:12" x14ac:dyDescent="0.25">
      <c r="A23" s="64" t="s">
        <v>56</v>
      </c>
      <c r="B23" s="63">
        <v>2022</v>
      </c>
      <c r="C23" s="65">
        <v>203.3085353045694</v>
      </c>
      <c r="D23" s="65">
        <v>203.3085353045694</v>
      </c>
      <c r="E23" s="65">
        <v>203.3085353045694</v>
      </c>
      <c r="F23" s="61"/>
      <c r="G23" s="61"/>
      <c r="H23" s="61"/>
      <c r="I23" s="61">
        <v>8.6224395372696661E-2</v>
      </c>
      <c r="J23" s="61">
        <v>0.1022222090505058</v>
      </c>
      <c r="K23" s="3" t="str">
        <f t="shared" si="0"/>
        <v>pass</v>
      </c>
      <c r="L23" s="19" t="str">
        <f>IFERROR(IF(AND(MATCH(A23,Projection_classes,0),YEAR(current_date)=Projections!B23),"pass","fail"),"")</f>
        <v>fail</v>
      </c>
    </row>
    <row r="24" spans="1:12" x14ac:dyDescent="0.25">
      <c r="A24" s="64" t="s">
        <v>56</v>
      </c>
      <c r="B24" s="63">
        <v>2023</v>
      </c>
      <c r="C24" s="65">
        <v>239.72917167000011</v>
      </c>
      <c r="D24" s="65">
        <v>239.72917167000011</v>
      </c>
      <c r="E24" s="65">
        <v>239.72917167000011</v>
      </c>
      <c r="F24" s="61"/>
      <c r="G24" s="61"/>
      <c r="H24" s="61"/>
      <c r="I24" s="61">
        <v>7.2207110613637049E-2</v>
      </c>
      <c r="J24" s="61">
        <v>7.5249495485309126E-2</v>
      </c>
      <c r="K24" s="3" t="str">
        <f t="shared" si="0"/>
        <v>pass</v>
      </c>
      <c r="L24" s="19" t="str">
        <f>IFERROR(IF(AND(MATCH(A24,Projection_classes,0),YEAR(current_date)=Projections!B24),"pass","fail"),"")</f>
        <v>fail</v>
      </c>
    </row>
    <row r="25" spans="1:12" x14ac:dyDescent="0.25">
      <c r="A25" s="64" t="s">
        <v>56</v>
      </c>
      <c r="B25" s="63">
        <v>2024</v>
      </c>
      <c r="C25" s="65">
        <v>262.54837665000002</v>
      </c>
      <c r="D25" s="65">
        <v>262.54837665000002</v>
      </c>
      <c r="E25" s="65">
        <v>262.54837665000002</v>
      </c>
      <c r="F25" s="61"/>
      <c r="G25" s="61"/>
      <c r="H25" s="61"/>
      <c r="I25" s="61">
        <v>7.7167475238996586E-2</v>
      </c>
      <c r="J25" s="61">
        <v>8.4594525980512758E-2</v>
      </c>
      <c r="K25" s="3" t="str">
        <f t="shared" si="0"/>
        <v>pass</v>
      </c>
      <c r="L25" s="19" t="str">
        <f>IFERROR(IF(AND(MATCH(A25,Projection_classes,0),YEAR(current_date)=Projections!B25),"pass","fail"),"")</f>
        <v>fail</v>
      </c>
    </row>
    <row r="26" spans="1:12" x14ac:dyDescent="0.25">
      <c r="A26" s="64" t="s">
        <v>56</v>
      </c>
      <c r="B26" s="63">
        <v>2025</v>
      </c>
      <c r="C26" s="65">
        <v>106.4680418745538</v>
      </c>
      <c r="D26" s="65">
        <v>106.4680418745538</v>
      </c>
      <c r="E26" s="65">
        <v>106.4680418745538</v>
      </c>
      <c r="F26" s="61"/>
      <c r="G26" s="61"/>
      <c r="H26" s="61"/>
      <c r="I26" s="61"/>
      <c r="J26" s="61"/>
      <c r="K26" s="3" t="str">
        <f t="shared" si="0"/>
        <v>pass</v>
      </c>
      <c r="L26" s="19" t="str">
        <f>IFERROR(IF(AND(MATCH(A26,Projection_classes,0),YEAR(current_date)=Projections!B26),"pass","fail"),"")</f>
        <v>fail</v>
      </c>
    </row>
    <row r="27" spans="1:12" x14ac:dyDescent="0.25">
      <c r="A27" s="64" t="s">
        <v>56</v>
      </c>
      <c r="B27" s="63">
        <v>2026</v>
      </c>
      <c r="C27" s="65">
        <v>246.43301275291549</v>
      </c>
      <c r="D27" s="65">
        <v>0</v>
      </c>
      <c r="E27" s="65">
        <v>0</v>
      </c>
      <c r="F27" s="61"/>
      <c r="G27" s="61"/>
      <c r="H27" s="61"/>
      <c r="I27" s="61"/>
      <c r="J27" s="61"/>
      <c r="K27" s="3" t="str">
        <f t="shared" si="0"/>
        <v>fail</v>
      </c>
      <c r="L27" s="19" t="str">
        <f>IFERROR(IF(AND(MATCH(A27,Projection_classes,0),YEAR(current_date)=Projections!B27),"pass","fail"),"")</f>
        <v>pass</v>
      </c>
    </row>
    <row r="28" spans="1:12" x14ac:dyDescent="0.25">
      <c r="A28" s="64" t="s">
        <v>58</v>
      </c>
      <c r="B28" s="63">
        <v>2001</v>
      </c>
      <c r="C28" s="65">
        <v>189.71904766</v>
      </c>
      <c r="D28" s="65">
        <v>189.71904766</v>
      </c>
      <c r="E28" s="65">
        <v>189.71904766</v>
      </c>
      <c r="F28" s="61"/>
      <c r="G28" s="61"/>
      <c r="H28" s="61"/>
      <c r="I28" s="61"/>
      <c r="J28" s="61"/>
      <c r="K28" s="3" t="str">
        <f t="shared" si="0"/>
        <v>pass</v>
      </c>
      <c r="L28" s="19" t="str">
        <f>IFERROR(IF(AND(MATCH(A28,Projection_classes,0),YEAR(current_date)=Projections!B28),"pass","fail"),"")</f>
        <v>fail</v>
      </c>
    </row>
    <row r="29" spans="1:12" x14ac:dyDescent="0.25">
      <c r="A29" s="64" t="s">
        <v>58</v>
      </c>
      <c r="B29" s="63">
        <v>2002</v>
      </c>
      <c r="C29" s="65">
        <v>388.93941031000003</v>
      </c>
      <c r="D29" s="65">
        <v>388.93941031000003</v>
      </c>
      <c r="E29" s="65">
        <v>388.93941031000003</v>
      </c>
      <c r="F29" s="61"/>
      <c r="G29" s="61"/>
      <c r="H29" s="61"/>
      <c r="I29" s="61"/>
      <c r="J29" s="61"/>
      <c r="K29" s="3" t="str">
        <f t="shared" si="0"/>
        <v>pass</v>
      </c>
      <c r="L29" s="19" t="str">
        <f>IFERROR(IF(AND(MATCH(A29,Projection_classes,0),YEAR(current_date)=Projections!B29),"pass","fail"),"")</f>
        <v>fail</v>
      </c>
    </row>
    <row r="30" spans="1:12" x14ac:dyDescent="0.25">
      <c r="A30" s="64" t="s">
        <v>58</v>
      </c>
      <c r="B30" s="63">
        <v>2003</v>
      </c>
      <c r="C30" s="65">
        <v>575.05219492999993</v>
      </c>
      <c r="D30" s="65">
        <v>575.05219492999993</v>
      </c>
      <c r="E30" s="65">
        <v>575.05219492999993</v>
      </c>
      <c r="F30" s="61"/>
      <c r="G30" s="61"/>
      <c r="H30" s="61"/>
      <c r="I30" s="61"/>
      <c r="J30" s="61"/>
      <c r="K30" s="3" t="str">
        <f t="shared" si="0"/>
        <v>pass</v>
      </c>
      <c r="L30" s="19" t="str">
        <f>IFERROR(IF(AND(MATCH(A30,Projection_classes,0),YEAR(current_date)=Projections!B30),"pass","fail"),"")</f>
        <v>fail</v>
      </c>
    </row>
    <row r="31" spans="1:12" x14ac:dyDescent="0.25">
      <c r="A31" s="64" t="s">
        <v>58</v>
      </c>
      <c r="B31" s="63">
        <v>2004</v>
      </c>
      <c r="C31" s="65">
        <v>576.24931800000013</v>
      </c>
      <c r="D31" s="65">
        <v>576.24931800000013</v>
      </c>
      <c r="E31" s="65">
        <v>576.24931800000013</v>
      </c>
      <c r="F31" s="61"/>
      <c r="G31" s="61"/>
      <c r="H31" s="61"/>
      <c r="I31" s="61"/>
      <c r="J31" s="61"/>
      <c r="K31" s="3" t="str">
        <f t="shared" si="0"/>
        <v>pass</v>
      </c>
      <c r="L31" s="19" t="str">
        <f>IFERROR(IF(AND(MATCH(A31,Projection_classes,0),YEAR(current_date)=Projections!B31),"pass","fail"),"")</f>
        <v>fail</v>
      </c>
    </row>
    <row r="32" spans="1:12" x14ac:dyDescent="0.25">
      <c r="A32" s="64" t="s">
        <v>58</v>
      </c>
      <c r="B32" s="63">
        <v>2005</v>
      </c>
      <c r="C32" s="65">
        <v>296.19872643999997</v>
      </c>
      <c r="D32" s="65">
        <v>296.19872643999997</v>
      </c>
      <c r="E32" s="65">
        <v>296.19872643999997</v>
      </c>
      <c r="F32" s="61"/>
      <c r="G32" s="61"/>
      <c r="H32" s="61"/>
      <c r="I32" s="61"/>
      <c r="J32" s="61"/>
      <c r="K32" s="3" t="str">
        <f t="shared" si="0"/>
        <v>pass</v>
      </c>
      <c r="L32" s="19" t="str">
        <f>IFERROR(IF(AND(MATCH(A32,Projection_classes,0),YEAR(current_date)=Projections!B32),"pass","fail"),"")</f>
        <v>fail</v>
      </c>
    </row>
    <row r="33" spans="1:12" x14ac:dyDescent="0.25">
      <c r="A33" s="64" t="s">
        <v>58</v>
      </c>
      <c r="B33" s="63">
        <v>2006</v>
      </c>
      <c r="C33" s="65">
        <v>192.98272944000001</v>
      </c>
      <c r="D33" s="65">
        <v>192.98272944000001</v>
      </c>
      <c r="E33" s="65">
        <v>192.98272944000001</v>
      </c>
      <c r="F33" s="61"/>
      <c r="G33" s="61"/>
      <c r="H33" s="61"/>
      <c r="I33" s="61"/>
      <c r="J33" s="61"/>
      <c r="K33" s="3" t="str">
        <f t="shared" si="0"/>
        <v>pass</v>
      </c>
      <c r="L33" s="19" t="str">
        <f>IFERROR(IF(AND(MATCH(A33,Projection_classes,0),YEAR(current_date)=Projections!B33),"pass","fail"),"")</f>
        <v>fail</v>
      </c>
    </row>
    <row r="34" spans="1:12" x14ac:dyDescent="0.25">
      <c r="A34" s="64" t="s">
        <v>58</v>
      </c>
      <c r="B34" s="63">
        <v>2007</v>
      </c>
      <c r="C34" s="65">
        <v>137.97027628999999</v>
      </c>
      <c r="D34" s="65">
        <v>137.97027628999999</v>
      </c>
      <c r="E34" s="65">
        <v>137.97027628999999</v>
      </c>
      <c r="F34" s="61"/>
      <c r="G34" s="61"/>
      <c r="H34" s="61"/>
      <c r="I34" s="61"/>
      <c r="J34" s="61"/>
      <c r="K34" s="3" t="str">
        <f t="shared" si="0"/>
        <v>pass</v>
      </c>
      <c r="L34" s="19" t="str">
        <f>IFERROR(IF(AND(MATCH(A34,Projection_classes,0),YEAR(current_date)=Projections!B34),"pass","fail"),"")</f>
        <v>fail</v>
      </c>
    </row>
    <row r="35" spans="1:12" x14ac:dyDescent="0.25">
      <c r="A35" s="64" t="s">
        <v>58</v>
      </c>
      <c r="B35" s="63">
        <v>2008</v>
      </c>
      <c r="C35" s="65">
        <v>108.99175455</v>
      </c>
      <c r="D35" s="65">
        <v>108.99175455</v>
      </c>
      <c r="E35" s="65">
        <v>108.99175455</v>
      </c>
      <c r="F35" s="61"/>
      <c r="G35" s="61"/>
      <c r="H35" s="61"/>
      <c r="I35" s="61"/>
      <c r="J35" s="61"/>
      <c r="K35" s="3" t="str">
        <f t="shared" si="0"/>
        <v>pass</v>
      </c>
      <c r="L35" s="19" t="str">
        <f>IFERROR(IF(AND(MATCH(A35,Projection_classes,0),YEAR(current_date)=Projections!B35),"pass","fail"),"")</f>
        <v>fail</v>
      </c>
    </row>
    <row r="36" spans="1:12" x14ac:dyDescent="0.25">
      <c r="A36" s="64" t="s">
        <v>58</v>
      </c>
      <c r="B36" s="63">
        <v>2009</v>
      </c>
      <c r="C36" s="65">
        <v>161.950125165423</v>
      </c>
      <c r="D36" s="65">
        <v>161.950125165423</v>
      </c>
      <c r="E36" s="65">
        <v>161.950125165423</v>
      </c>
      <c r="F36" s="61"/>
      <c r="G36" s="61"/>
      <c r="H36" s="61"/>
      <c r="I36" s="61"/>
      <c r="J36" s="61"/>
      <c r="K36" s="3" t="str">
        <f t="shared" si="0"/>
        <v>pass</v>
      </c>
      <c r="L36" s="19" t="str">
        <f>IFERROR(IF(AND(MATCH(A36,Projection_classes,0),YEAR(current_date)=Projections!B36),"pass","fail"),"")</f>
        <v>fail</v>
      </c>
    </row>
    <row r="37" spans="1:12" x14ac:dyDescent="0.25">
      <c r="A37" s="64" t="s">
        <v>58</v>
      </c>
      <c r="B37" s="63">
        <v>2010</v>
      </c>
      <c r="C37" s="65">
        <v>215.04545198193011</v>
      </c>
      <c r="D37" s="65">
        <v>215.04545198193011</v>
      </c>
      <c r="E37" s="65">
        <v>215.04545198193011</v>
      </c>
      <c r="F37" s="61"/>
      <c r="G37" s="61"/>
      <c r="H37" s="61"/>
      <c r="I37" s="61"/>
      <c r="J37" s="61"/>
      <c r="K37" s="3" t="str">
        <f t="shared" si="0"/>
        <v>pass</v>
      </c>
      <c r="L37" s="19" t="str">
        <f>IFERROR(IF(AND(MATCH(A37,Projection_classes,0),YEAR(current_date)=Projections!B37),"pass","fail"),"")</f>
        <v>fail</v>
      </c>
    </row>
    <row r="38" spans="1:12" x14ac:dyDescent="0.25">
      <c r="A38" s="64" t="s">
        <v>58</v>
      </c>
      <c r="B38" s="63">
        <v>2011</v>
      </c>
      <c r="C38" s="65">
        <v>222.1637397784655</v>
      </c>
      <c r="D38" s="65">
        <v>222.1637397784655</v>
      </c>
      <c r="E38" s="65">
        <v>222.1637397784655</v>
      </c>
      <c r="F38" s="61"/>
      <c r="G38" s="61"/>
      <c r="H38" s="61"/>
      <c r="I38" s="61"/>
      <c r="J38" s="61"/>
      <c r="K38" s="3" t="str">
        <f t="shared" si="0"/>
        <v>pass</v>
      </c>
      <c r="L38" s="19" t="str">
        <f>IFERROR(IF(AND(MATCH(A38,Projection_classes,0),YEAR(current_date)=Projections!B38),"pass","fail"),"")</f>
        <v>fail</v>
      </c>
    </row>
    <row r="39" spans="1:12" x14ac:dyDescent="0.25">
      <c r="A39" s="64" t="s">
        <v>58</v>
      </c>
      <c r="B39" s="63">
        <v>2012</v>
      </c>
      <c r="C39" s="65">
        <v>241.74510585778</v>
      </c>
      <c r="D39" s="65">
        <v>241.74510585778</v>
      </c>
      <c r="E39" s="65">
        <v>241.74510585778</v>
      </c>
      <c r="F39" s="61"/>
      <c r="G39" s="61"/>
      <c r="H39" s="61"/>
      <c r="I39" s="61"/>
      <c r="J39" s="61"/>
      <c r="K39" s="3" t="str">
        <f t="shared" si="0"/>
        <v>pass</v>
      </c>
      <c r="L39" s="19" t="str">
        <f>IFERROR(IF(AND(MATCH(A39,Projection_classes,0),YEAR(current_date)=Projections!B39),"pass","fail"),"")</f>
        <v>fail</v>
      </c>
    </row>
    <row r="40" spans="1:12" x14ac:dyDescent="0.25">
      <c r="A40" s="64" t="s">
        <v>58</v>
      </c>
      <c r="B40" s="63">
        <v>2013</v>
      </c>
      <c r="C40" s="65">
        <v>291.56665314281997</v>
      </c>
      <c r="D40" s="65">
        <v>291.56665314281997</v>
      </c>
      <c r="E40" s="65">
        <v>291.56665314281997</v>
      </c>
      <c r="F40" s="61"/>
      <c r="G40" s="61"/>
      <c r="H40" s="61"/>
      <c r="I40" s="61"/>
      <c r="J40" s="61"/>
      <c r="K40" s="3" t="str">
        <f t="shared" si="0"/>
        <v>pass</v>
      </c>
      <c r="L40" s="19" t="str">
        <f>IFERROR(IF(AND(MATCH(A40,Projection_classes,0),YEAR(current_date)=Projections!B40),"pass","fail"),"")</f>
        <v>fail</v>
      </c>
    </row>
    <row r="41" spans="1:12" x14ac:dyDescent="0.25">
      <c r="A41" s="64" t="s">
        <v>58</v>
      </c>
      <c r="B41" s="63">
        <v>2014</v>
      </c>
      <c r="C41" s="65">
        <v>310.46893037937798</v>
      </c>
      <c r="D41" s="65">
        <v>310.46893037937798</v>
      </c>
      <c r="E41" s="65">
        <v>310.46893037937798</v>
      </c>
      <c r="F41" s="61"/>
      <c r="G41" s="61"/>
      <c r="H41" s="61"/>
      <c r="I41" s="61"/>
      <c r="J41" s="61"/>
      <c r="K41" s="3" t="str">
        <f t="shared" si="0"/>
        <v>pass</v>
      </c>
      <c r="L41" s="19" t="str">
        <f>IFERROR(IF(AND(MATCH(A41,Projection_classes,0),YEAR(current_date)=Projections!B41),"pass","fail"),"")</f>
        <v>fail</v>
      </c>
    </row>
    <row r="42" spans="1:12" x14ac:dyDescent="0.25">
      <c r="A42" s="64" t="s">
        <v>58</v>
      </c>
      <c r="B42" s="63">
        <v>2015</v>
      </c>
      <c r="C42" s="65">
        <v>341.05681025000001</v>
      </c>
      <c r="D42" s="65">
        <v>341.05681025000001</v>
      </c>
      <c r="E42" s="65">
        <v>341.05681025000001</v>
      </c>
      <c r="F42" s="61"/>
      <c r="G42" s="61"/>
      <c r="H42" s="61"/>
      <c r="I42" s="61"/>
      <c r="J42" s="61"/>
      <c r="K42" s="3" t="str">
        <f t="shared" si="0"/>
        <v>pass</v>
      </c>
      <c r="L42" s="19" t="str">
        <f>IFERROR(IF(AND(MATCH(A42,Projection_classes,0),YEAR(current_date)=Projections!B42),"pass","fail"),"")</f>
        <v>fail</v>
      </c>
    </row>
    <row r="43" spans="1:12" x14ac:dyDescent="0.25">
      <c r="A43" s="64" t="s">
        <v>58</v>
      </c>
      <c r="B43" s="63">
        <v>2016</v>
      </c>
      <c r="C43" s="65">
        <v>311.47375355949998</v>
      </c>
      <c r="D43" s="65">
        <v>311.47375355949998</v>
      </c>
      <c r="E43" s="65">
        <v>311.47375355949998</v>
      </c>
      <c r="F43" s="61"/>
      <c r="G43" s="61"/>
      <c r="H43" s="61"/>
      <c r="I43" s="61"/>
      <c r="J43" s="61"/>
      <c r="K43" s="3" t="str">
        <f t="shared" si="0"/>
        <v>pass</v>
      </c>
      <c r="L43" s="19" t="str">
        <f>IFERROR(IF(AND(MATCH(A43,Projection_classes,0),YEAR(current_date)=Projections!B43),"pass","fail"),"")</f>
        <v>fail</v>
      </c>
    </row>
    <row r="44" spans="1:12" x14ac:dyDescent="0.25">
      <c r="A44" s="64" t="s">
        <v>58</v>
      </c>
      <c r="B44" s="63">
        <v>2017</v>
      </c>
      <c r="C44" s="65">
        <v>291.30659649</v>
      </c>
      <c r="D44" s="65">
        <v>291.30659649</v>
      </c>
      <c r="E44" s="65">
        <v>291.30659649</v>
      </c>
      <c r="F44" s="61"/>
      <c r="G44" s="61"/>
      <c r="H44" s="61"/>
      <c r="I44" s="61"/>
      <c r="J44" s="61"/>
      <c r="K44" s="3" t="str">
        <f t="shared" si="0"/>
        <v>pass</v>
      </c>
      <c r="L44" s="19" t="str">
        <f>IFERROR(IF(AND(MATCH(A44,Projection_classes,0),YEAR(current_date)=Projections!B44),"pass","fail"),"")</f>
        <v>fail</v>
      </c>
    </row>
    <row r="45" spans="1:12" x14ac:dyDescent="0.25">
      <c r="A45" s="64" t="s">
        <v>58</v>
      </c>
      <c r="B45" s="63">
        <v>2018</v>
      </c>
      <c r="C45" s="65">
        <v>285.82264982999999</v>
      </c>
      <c r="D45" s="65">
        <v>285.82264982999999</v>
      </c>
      <c r="E45" s="65">
        <v>285.82264982999999</v>
      </c>
      <c r="F45" s="61"/>
      <c r="G45" s="61"/>
      <c r="H45" s="61"/>
      <c r="I45" s="61"/>
      <c r="J45" s="61"/>
      <c r="K45" s="3" t="str">
        <f t="shared" si="0"/>
        <v>pass</v>
      </c>
      <c r="L45" s="19" t="str">
        <f>IFERROR(IF(AND(MATCH(A45,Projection_classes,0),YEAR(current_date)=Projections!B45),"pass","fail"),"")</f>
        <v>fail</v>
      </c>
    </row>
    <row r="46" spans="1:12" x14ac:dyDescent="0.25">
      <c r="A46" s="64" t="s">
        <v>58</v>
      </c>
      <c r="B46" s="63">
        <v>2019</v>
      </c>
      <c r="C46" s="65">
        <v>254.7898008299999</v>
      </c>
      <c r="D46" s="65">
        <v>254.7898008299999</v>
      </c>
      <c r="E46" s="65">
        <v>254.7898008299999</v>
      </c>
      <c r="F46" s="61"/>
      <c r="G46" s="61"/>
      <c r="H46" s="61"/>
      <c r="I46" s="61"/>
      <c r="J46" s="61"/>
      <c r="K46" s="3" t="str">
        <f t="shared" si="0"/>
        <v>pass</v>
      </c>
      <c r="L46" s="19" t="str">
        <f>IFERROR(IF(AND(MATCH(A46,Projection_classes,0),YEAR(current_date)=Projections!B46),"pass","fail"),"")</f>
        <v>fail</v>
      </c>
    </row>
    <row r="47" spans="1:12" x14ac:dyDescent="0.25">
      <c r="A47" s="64" t="s">
        <v>58</v>
      </c>
      <c r="B47" s="63">
        <v>2020</v>
      </c>
      <c r="C47" s="65">
        <v>197.0358948599999</v>
      </c>
      <c r="D47" s="65">
        <v>197.0358948599999</v>
      </c>
      <c r="E47" s="65">
        <v>197.0358948599999</v>
      </c>
      <c r="F47" s="61"/>
      <c r="G47" s="61"/>
      <c r="H47" s="61"/>
      <c r="I47" s="61"/>
      <c r="J47" s="61"/>
      <c r="K47" s="3" t="str">
        <f t="shared" si="0"/>
        <v>pass</v>
      </c>
      <c r="L47" s="19" t="str">
        <f>IFERROR(IF(AND(MATCH(A47,Projection_classes,0),YEAR(current_date)=Projections!B47),"pass","fail"),"")</f>
        <v>fail</v>
      </c>
    </row>
    <row r="48" spans="1:12" x14ac:dyDescent="0.25">
      <c r="A48" s="64" t="s">
        <v>58</v>
      </c>
      <c r="B48" s="63">
        <v>2021</v>
      </c>
      <c r="C48" s="65">
        <v>162.67078033999999</v>
      </c>
      <c r="D48" s="65">
        <v>162.67078033999999</v>
      </c>
      <c r="E48" s="65">
        <v>162.67078033999999</v>
      </c>
      <c r="F48" s="61"/>
      <c r="G48" s="61"/>
      <c r="H48" s="61"/>
      <c r="I48" s="61"/>
      <c r="J48" s="61"/>
      <c r="K48" s="3" t="str">
        <f t="shared" si="0"/>
        <v>pass</v>
      </c>
      <c r="L48" s="19" t="str">
        <f>IFERROR(IF(AND(MATCH(A48,Projection_classes,0),YEAR(current_date)=Projections!B48),"pass","fail"),"")</f>
        <v>fail</v>
      </c>
    </row>
    <row r="49" spans="1:12" x14ac:dyDescent="0.25">
      <c r="A49" s="64" t="s">
        <v>58</v>
      </c>
      <c r="B49" s="63">
        <v>2022</v>
      </c>
      <c r="C49" s="65">
        <v>160.00840128999991</v>
      </c>
      <c r="D49" s="65">
        <v>160.00840128999991</v>
      </c>
      <c r="E49" s="65">
        <v>160.00840128999991</v>
      </c>
      <c r="F49" s="61"/>
      <c r="G49" s="61"/>
      <c r="H49" s="61"/>
      <c r="I49" s="61"/>
      <c r="J49" s="61"/>
      <c r="K49" s="3" t="str">
        <f t="shared" si="0"/>
        <v>pass</v>
      </c>
      <c r="L49" s="19" t="str">
        <f>IFERROR(IF(AND(MATCH(A49,Projection_classes,0),YEAR(current_date)=Projections!B49),"pass","fail"),"")</f>
        <v>fail</v>
      </c>
    </row>
    <row r="50" spans="1:12" x14ac:dyDescent="0.25">
      <c r="A50" s="64" t="s">
        <v>58</v>
      </c>
      <c r="B50" s="63">
        <v>2023</v>
      </c>
      <c r="C50" s="65">
        <v>144.33033566</v>
      </c>
      <c r="D50" s="65">
        <v>144.33033566</v>
      </c>
      <c r="E50" s="65">
        <v>144.33033566</v>
      </c>
      <c r="F50" s="61"/>
      <c r="G50" s="61"/>
      <c r="H50" s="61"/>
      <c r="I50" s="61"/>
      <c r="J50" s="61"/>
      <c r="K50" s="3" t="str">
        <f t="shared" si="0"/>
        <v>pass</v>
      </c>
      <c r="L50" s="19" t="str">
        <f>IFERROR(IF(AND(MATCH(A50,Projection_classes,0),YEAR(current_date)=Projections!B50),"pass","fail"),"")</f>
        <v>fail</v>
      </c>
    </row>
    <row r="51" spans="1:12" x14ac:dyDescent="0.25">
      <c r="A51" s="64" t="s">
        <v>58</v>
      </c>
      <c r="B51" s="63">
        <v>2024</v>
      </c>
      <c r="C51" s="65">
        <v>143.73443785000001</v>
      </c>
      <c r="D51" s="65">
        <v>143.73443785000001</v>
      </c>
      <c r="E51" s="65">
        <v>143.73443785000001</v>
      </c>
      <c r="F51" s="61"/>
      <c r="G51" s="61"/>
      <c r="H51" s="61"/>
      <c r="I51" s="61"/>
      <c r="J51" s="61"/>
      <c r="K51" s="3" t="str">
        <f t="shared" si="0"/>
        <v>pass</v>
      </c>
      <c r="L51" s="19" t="str">
        <f>IFERROR(IF(AND(MATCH(A51,Projection_classes,0),YEAR(current_date)=Projections!B51),"pass","fail"),"")</f>
        <v>fail</v>
      </c>
    </row>
    <row r="52" spans="1:12" x14ac:dyDescent="0.25">
      <c r="A52" s="64" t="s">
        <v>58</v>
      </c>
      <c r="B52" s="63">
        <v>2025</v>
      </c>
      <c r="C52" s="65">
        <v>33.833428049999988</v>
      </c>
      <c r="D52" s="65">
        <v>33.833428049999988</v>
      </c>
      <c r="E52" s="65">
        <v>33.833428049999988</v>
      </c>
      <c r="F52" s="61"/>
      <c r="G52" s="61"/>
      <c r="H52" s="61"/>
      <c r="I52" s="61"/>
      <c r="J52" s="61"/>
      <c r="K52" s="3" t="str">
        <f t="shared" si="0"/>
        <v>pass</v>
      </c>
      <c r="L52" s="19" t="str">
        <f>IFERROR(IF(AND(MATCH(A52,Projection_classes,0),YEAR(current_date)=Projections!B52),"pass","fail"),"")</f>
        <v>fail</v>
      </c>
    </row>
    <row r="53" spans="1:12" x14ac:dyDescent="0.25">
      <c r="A53" s="64" t="s">
        <v>58</v>
      </c>
      <c r="B53" s="63">
        <v>2026</v>
      </c>
      <c r="C53" s="65">
        <v>101.5394665487009</v>
      </c>
      <c r="D53" s="65">
        <v>0</v>
      </c>
      <c r="E53" s="65">
        <v>0</v>
      </c>
      <c r="F53" s="61"/>
      <c r="G53" s="61"/>
      <c r="H53" s="61"/>
      <c r="I53" s="61"/>
      <c r="J53" s="61"/>
      <c r="K53" s="3" t="str">
        <f t="shared" si="0"/>
        <v>fail</v>
      </c>
      <c r="L53" s="19" t="str">
        <f>IFERROR(IF(AND(MATCH(A53,Projection_classes,0),YEAR(current_date)=Projections!B53),"pass","fail"),"")</f>
        <v>pass</v>
      </c>
    </row>
    <row r="54" spans="1:12" x14ac:dyDescent="0.25">
      <c r="A54" s="64" t="s">
        <v>62</v>
      </c>
      <c r="B54" s="63">
        <v>2001</v>
      </c>
      <c r="C54" s="65">
        <v>0</v>
      </c>
      <c r="D54" s="65">
        <v>0</v>
      </c>
      <c r="E54" s="65">
        <v>0</v>
      </c>
      <c r="F54" s="61"/>
      <c r="G54" s="61"/>
      <c r="H54" s="61"/>
      <c r="I54" s="61"/>
      <c r="J54" s="61"/>
      <c r="K54" s="3" t="str">
        <f t="shared" si="0"/>
        <v>pass</v>
      </c>
      <c r="L54" s="19" t="str">
        <f>IFERROR(IF(AND(MATCH(A54,Projection_classes,0),YEAR(current_date)=Projections!B54),"pass","fail"),"")</f>
        <v>fail</v>
      </c>
    </row>
    <row r="55" spans="1:12" x14ac:dyDescent="0.25">
      <c r="A55" s="64" t="s">
        <v>62</v>
      </c>
      <c r="B55" s="63">
        <v>2002</v>
      </c>
      <c r="C55" s="65">
        <v>0</v>
      </c>
      <c r="D55" s="65">
        <v>0</v>
      </c>
      <c r="E55" s="65">
        <v>0</v>
      </c>
      <c r="F55" s="61"/>
      <c r="G55" s="61"/>
      <c r="H55" s="61"/>
      <c r="I55" s="61"/>
      <c r="J55" s="61"/>
      <c r="K55" s="3" t="str">
        <f t="shared" si="0"/>
        <v>pass</v>
      </c>
      <c r="L55" s="19" t="str">
        <f>IFERROR(IF(AND(MATCH(A55,Projection_classes,0),YEAR(current_date)=Projections!B55),"pass","fail"),"")</f>
        <v>fail</v>
      </c>
    </row>
    <row r="56" spans="1:12" x14ac:dyDescent="0.25">
      <c r="A56" s="64" t="s">
        <v>62</v>
      </c>
      <c r="B56" s="63">
        <v>2003</v>
      </c>
      <c r="C56" s="65">
        <v>0</v>
      </c>
      <c r="D56" s="65">
        <v>0</v>
      </c>
      <c r="E56" s="65">
        <v>0</v>
      </c>
      <c r="F56" s="61"/>
      <c r="G56" s="61"/>
      <c r="H56" s="61"/>
      <c r="I56" s="61"/>
      <c r="J56" s="61"/>
      <c r="K56" s="3" t="str">
        <f t="shared" si="0"/>
        <v>pass</v>
      </c>
      <c r="L56" s="19" t="str">
        <f>IFERROR(IF(AND(MATCH(A56,Projection_classes,0),YEAR(current_date)=Projections!B56),"pass","fail"),"")</f>
        <v>fail</v>
      </c>
    </row>
    <row r="57" spans="1:12" x14ac:dyDescent="0.25">
      <c r="A57" s="64" t="s">
        <v>62</v>
      </c>
      <c r="B57" s="63">
        <v>2004</v>
      </c>
      <c r="C57" s="65">
        <v>0</v>
      </c>
      <c r="D57" s="65">
        <v>0</v>
      </c>
      <c r="E57" s="65">
        <v>0</v>
      </c>
      <c r="F57" s="61"/>
      <c r="G57" s="61"/>
      <c r="H57" s="61"/>
      <c r="I57" s="61"/>
      <c r="J57" s="61"/>
      <c r="K57" s="3" t="str">
        <f t="shared" si="0"/>
        <v>pass</v>
      </c>
      <c r="L57" s="19" t="str">
        <f>IFERROR(IF(AND(MATCH(A57,Projection_classes,0),YEAR(current_date)=Projections!B57),"pass","fail"),"")</f>
        <v>fail</v>
      </c>
    </row>
    <row r="58" spans="1:12" x14ac:dyDescent="0.25">
      <c r="A58" s="64" t="s">
        <v>62</v>
      </c>
      <c r="B58" s="63">
        <v>2005</v>
      </c>
      <c r="C58" s="65">
        <v>0</v>
      </c>
      <c r="D58" s="65">
        <v>0</v>
      </c>
      <c r="E58" s="65">
        <v>0</v>
      </c>
      <c r="F58" s="61"/>
      <c r="G58" s="61"/>
      <c r="H58" s="61"/>
      <c r="I58" s="61"/>
      <c r="J58" s="61"/>
      <c r="K58" s="3" t="str">
        <f t="shared" si="0"/>
        <v>pass</v>
      </c>
      <c r="L58" s="19" t="str">
        <f>IFERROR(IF(AND(MATCH(A58,Projection_classes,0),YEAR(current_date)=Projections!B58),"pass","fail"),"")</f>
        <v>fail</v>
      </c>
    </row>
    <row r="59" spans="1:12" x14ac:dyDescent="0.25">
      <c r="A59" s="64" t="s">
        <v>62</v>
      </c>
      <c r="B59" s="63">
        <v>2006</v>
      </c>
      <c r="C59" s="65">
        <v>0</v>
      </c>
      <c r="D59" s="65">
        <v>0</v>
      </c>
      <c r="E59" s="65">
        <v>0</v>
      </c>
      <c r="F59" s="61"/>
      <c r="G59" s="61"/>
      <c r="H59" s="61"/>
      <c r="I59" s="61"/>
      <c r="J59" s="61"/>
      <c r="K59" s="3" t="str">
        <f t="shared" si="0"/>
        <v>pass</v>
      </c>
      <c r="L59" s="19" t="str">
        <f>IFERROR(IF(AND(MATCH(A59,Projection_classes,0),YEAR(current_date)=Projections!B59),"pass","fail"),"")</f>
        <v>fail</v>
      </c>
    </row>
    <row r="60" spans="1:12" x14ac:dyDescent="0.25">
      <c r="A60" s="64" t="s">
        <v>62</v>
      </c>
      <c r="B60" s="63">
        <v>2007</v>
      </c>
      <c r="C60" s="65">
        <v>0</v>
      </c>
      <c r="D60" s="65">
        <v>0</v>
      </c>
      <c r="E60" s="65">
        <v>0</v>
      </c>
      <c r="F60" s="61"/>
      <c r="G60" s="61"/>
      <c r="H60" s="61"/>
      <c r="I60" s="61">
        <v>-9.0413677419889371E-3</v>
      </c>
      <c r="J60" s="61">
        <v>8.7733472005159241E-2</v>
      </c>
      <c r="K60" s="3" t="str">
        <f t="shared" si="0"/>
        <v>pass</v>
      </c>
      <c r="L60" s="19" t="str">
        <f>IFERROR(IF(AND(MATCH(A60,Projection_classes,0),YEAR(current_date)=Projections!B60),"pass","fail"),"")</f>
        <v>fail</v>
      </c>
    </row>
    <row r="61" spans="1:12" x14ac:dyDescent="0.25">
      <c r="A61" s="64" t="s">
        <v>62</v>
      </c>
      <c r="B61" s="63">
        <v>2008</v>
      </c>
      <c r="C61" s="65">
        <v>0</v>
      </c>
      <c r="D61" s="65">
        <v>0</v>
      </c>
      <c r="E61" s="65">
        <v>0</v>
      </c>
      <c r="F61" s="61"/>
      <c r="G61" s="61"/>
      <c r="H61" s="61"/>
      <c r="I61" s="61">
        <v>-5.0167356169113941E-2</v>
      </c>
      <c r="J61" s="61">
        <v>8.7236473497871003E-2</v>
      </c>
      <c r="K61" s="3" t="str">
        <f t="shared" si="0"/>
        <v>pass</v>
      </c>
      <c r="L61" s="19" t="str">
        <f>IFERROR(IF(AND(MATCH(A61,Projection_classes,0),YEAR(current_date)=Projections!B61),"pass","fail"),"")</f>
        <v>fail</v>
      </c>
    </row>
    <row r="62" spans="1:12" x14ac:dyDescent="0.25">
      <c r="A62" s="64" t="s">
        <v>62</v>
      </c>
      <c r="B62" s="63">
        <v>2009</v>
      </c>
      <c r="C62" s="65">
        <v>0</v>
      </c>
      <c r="D62" s="65">
        <v>0</v>
      </c>
      <c r="E62" s="65">
        <v>0</v>
      </c>
      <c r="F62" s="61"/>
      <c r="G62" s="61"/>
      <c r="H62" s="61"/>
      <c r="I62" s="61">
        <v>-2.091060796389688E-2</v>
      </c>
      <c r="J62" s="61">
        <v>7.5952757846034391E-2</v>
      </c>
      <c r="K62" s="3" t="str">
        <f t="shared" si="0"/>
        <v>pass</v>
      </c>
      <c r="L62" s="19" t="str">
        <f>IFERROR(IF(AND(MATCH(A62,Projection_classes,0),YEAR(current_date)=Projections!B62),"pass","fail"),"")</f>
        <v>fail</v>
      </c>
    </row>
    <row r="63" spans="1:12" x14ac:dyDescent="0.25">
      <c r="A63" s="64" t="s">
        <v>62</v>
      </c>
      <c r="B63" s="63">
        <v>2010</v>
      </c>
      <c r="C63" s="65">
        <v>0</v>
      </c>
      <c r="D63" s="65">
        <v>0</v>
      </c>
      <c r="E63" s="65">
        <v>0</v>
      </c>
      <c r="F63" s="61"/>
      <c r="G63" s="61"/>
      <c r="H63" s="61"/>
      <c r="I63" s="61">
        <v>-2.9274553278735288E-4</v>
      </c>
      <c r="J63" s="61">
        <v>7.191205066491646E-2</v>
      </c>
      <c r="K63" s="3" t="str">
        <f t="shared" si="0"/>
        <v>pass</v>
      </c>
      <c r="L63" s="19" t="str">
        <f>IFERROR(IF(AND(MATCH(A63,Projection_classes,0),YEAR(current_date)=Projections!B63),"pass","fail"),"")</f>
        <v>fail</v>
      </c>
    </row>
    <row r="64" spans="1:12" x14ac:dyDescent="0.25">
      <c r="A64" s="64" t="s">
        <v>62</v>
      </c>
      <c r="B64" s="63">
        <v>2011</v>
      </c>
      <c r="C64" s="65">
        <v>5.5998279999999996</v>
      </c>
      <c r="D64" s="65">
        <v>5.5998279999999996</v>
      </c>
      <c r="E64" s="65">
        <v>5.5998279999999996</v>
      </c>
      <c r="F64" s="61"/>
      <c r="G64" s="61"/>
      <c r="H64" s="61"/>
      <c r="I64" s="61">
        <v>-5.8227880425146816E-3</v>
      </c>
      <c r="J64" s="61">
        <v>7.5227489027520855E-2</v>
      </c>
      <c r="K64" s="3" t="str">
        <f t="shared" si="0"/>
        <v>pass</v>
      </c>
      <c r="L64" s="19" t="str">
        <f>IFERROR(IF(AND(MATCH(A64,Projection_classes,0),YEAR(current_date)=Projections!B64),"pass","fail"),"")</f>
        <v>fail</v>
      </c>
    </row>
    <row r="65" spans="1:12" x14ac:dyDescent="0.25">
      <c r="A65" s="64" t="s">
        <v>62</v>
      </c>
      <c r="B65" s="63">
        <v>2012</v>
      </c>
      <c r="C65" s="65">
        <v>13.65878333</v>
      </c>
      <c r="D65" s="65">
        <v>13.65878333</v>
      </c>
      <c r="E65" s="65">
        <v>13.65878333</v>
      </c>
      <c r="F65" s="61"/>
      <c r="G65" s="61"/>
      <c r="H65" s="61"/>
      <c r="I65" s="61">
        <v>-2.1910282720563061E-3</v>
      </c>
      <c r="J65" s="61">
        <v>7.400698281269702E-2</v>
      </c>
      <c r="K65" s="3" t="str">
        <f t="shared" si="0"/>
        <v>pass</v>
      </c>
      <c r="L65" s="19" t="str">
        <f>IFERROR(IF(AND(MATCH(A65,Projection_classes,0),YEAR(current_date)=Projections!B65),"pass","fail"),"")</f>
        <v>fail</v>
      </c>
    </row>
    <row r="66" spans="1:12" x14ac:dyDescent="0.25">
      <c r="A66" s="64" t="s">
        <v>62</v>
      </c>
      <c r="B66" s="63">
        <v>2013</v>
      </c>
      <c r="C66" s="65">
        <v>15.7841477224</v>
      </c>
      <c r="D66" s="65">
        <v>15.7841477224</v>
      </c>
      <c r="E66" s="65">
        <v>15.7841477224</v>
      </c>
      <c r="F66" s="61"/>
      <c r="G66" s="61"/>
      <c r="H66" s="61"/>
      <c r="I66" s="61">
        <v>-4.9192178929690078E-3</v>
      </c>
      <c r="J66" s="61">
        <v>6.932203504876866E-2</v>
      </c>
      <c r="K66" s="3" t="str">
        <f t="shared" ref="K66:K129" si="1">IF(OR(B66&lt;$N$1,B66&gt;$P$1),"fail","pass")</f>
        <v>pass</v>
      </c>
      <c r="L66" s="19" t="str">
        <f>IFERROR(IF(AND(MATCH(A66,Projection_classes,0),YEAR(current_date)=Projections!B66),"pass","fail"),"")</f>
        <v>fail</v>
      </c>
    </row>
    <row r="67" spans="1:12" x14ac:dyDescent="0.25">
      <c r="A67" s="64" t="s">
        <v>62</v>
      </c>
      <c r="B67" s="63">
        <v>2014</v>
      </c>
      <c r="C67" s="65">
        <v>25.262466497599991</v>
      </c>
      <c r="D67" s="65">
        <v>25.262466497599991</v>
      </c>
      <c r="E67" s="65">
        <v>25.262466497599991</v>
      </c>
      <c r="F67" s="61"/>
      <c r="G67" s="61"/>
      <c r="H67" s="61"/>
      <c r="I67" s="61">
        <v>-1.6754683426198791E-2</v>
      </c>
      <c r="J67" s="61">
        <v>6.7044285142412674E-2</v>
      </c>
      <c r="K67" s="3" t="str">
        <f t="shared" si="1"/>
        <v>pass</v>
      </c>
      <c r="L67" s="19" t="str">
        <f>IFERROR(IF(AND(MATCH(A67,Projection_classes,0),YEAR(current_date)=Projections!B67),"pass","fail"),"")</f>
        <v>fail</v>
      </c>
    </row>
    <row r="68" spans="1:12" x14ac:dyDescent="0.25">
      <c r="A68" s="64" t="s">
        <v>62</v>
      </c>
      <c r="B68" s="63">
        <v>2015</v>
      </c>
      <c r="C68" s="65">
        <v>42.256078799999997</v>
      </c>
      <c r="D68" s="65">
        <v>42.256078799999997</v>
      </c>
      <c r="E68" s="65">
        <v>42.256078799999997</v>
      </c>
      <c r="F68" s="61"/>
      <c r="G68" s="61"/>
      <c r="H68" s="61"/>
      <c r="I68" s="61">
        <v>-1.3229944620239079E-2</v>
      </c>
      <c r="J68" s="61">
        <v>6.9245491358009836E-2</v>
      </c>
      <c r="K68" s="3" t="str">
        <f t="shared" si="1"/>
        <v>pass</v>
      </c>
      <c r="L68" s="19" t="str">
        <f>IFERROR(IF(AND(MATCH(A68,Projection_classes,0),YEAR(current_date)=Projections!B68),"pass","fail"),"")</f>
        <v>fail</v>
      </c>
    </row>
    <row r="69" spans="1:12" x14ac:dyDescent="0.25">
      <c r="A69" s="64" t="s">
        <v>62</v>
      </c>
      <c r="B69" s="63">
        <v>2016</v>
      </c>
      <c r="C69" s="65">
        <v>52.74631467999999</v>
      </c>
      <c r="D69" s="65">
        <v>52.74631467999999</v>
      </c>
      <c r="E69" s="65">
        <v>52.74631467999999</v>
      </c>
      <c r="F69" s="61"/>
      <c r="G69" s="61"/>
      <c r="H69" s="61"/>
      <c r="I69" s="61">
        <v>-4.7554079317897457E-3</v>
      </c>
      <c r="J69" s="61">
        <v>6.9561772558719204E-2</v>
      </c>
      <c r="K69" s="3" t="str">
        <f t="shared" si="1"/>
        <v>pass</v>
      </c>
      <c r="L69" s="19" t="str">
        <f>IFERROR(IF(AND(MATCH(A69,Projection_classes,0),YEAR(current_date)=Projections!B69),"pass","fail"),"")</f>
        <v>fail</v>
      </c>
    </row>
    <row r="70" spans="1:12" x14ac:dyDescent="0.25">
      <c r="A70" s="64" t="s">
        <v>62</v>
      </c>
      <c r="B70" s="63">
        <v>2017</v>
      </c>
      <c r="C70" s="65">
        <v>55.959254159999993</v>
      </c>
      <c r="D70" s="65">
        <v>55.959254159999993</v>
      </c>
      <c r="E70" s="65">
        <v>55.959254159999993</v>
      </c>
      <c r="F70" s="61"/>
      <c r="G70" s="61"/>
      <c r="H70" s="61"/>
      <c r="I70" s="61">
        <v>-5.1204853976140052E-3</v>
      </c>
      <c r="J70" s="61">
        <v>7.9010007659150894E-2</v>
      </c>
      <c r="K70" s="3" t="str">
        <f t="shared" si="1"/>
        <v>pass</v>
      </c>
      <c r="L70" s="19" t="str">
        <f>IFERROR(IF(AND(MATCH(A70,Projection_classes,0),YEAR(current_date)=Projections!B70),"pass","fail"),"")</f>
        <v>fail</v>
      </c>
    </row>
    <row r="71" spans="1:12" x14ac:dyDescent="0.25">
      <c r="A71" s="64" t="s">
        <v>62</v>
      </c>
      <c r="B71" s="63">
        <v>2018</v>
      </c>
      <c r="C71" s="65">
        <v>61.755824359999998</v>
      </c>
      <c r="D71" s="65">
        <v>61.755824359999998</v>
      </c>
      <c r="E71" s="65">
        <v>61.755824359999998</v>
      </c>
      <c r="F71" s="61"/>
      <c r="G71" s="61"/>
      <c r="H71" s="61"/>
      <c r="I71" s="61">
        <v>1.249709936935472E-2</v>
      </c>
      <c r="J71" s="61">
        <v>7.8738372326652151E-2</v>
      </c>
      <c r="K71" s="3" t="str">
        <f t="shared" si="1"/>
        <v>pass</v>
      </c>
      <c r="L71" s="19" t="str">
        <f>IFERROR(IF(AND(MATCH(A71,Projection_classes,0),YEAR(current_date)=Projections!B71),"pass","fail"),"")</f>
        <v>fail</v>
      </c>
    </row>
    <row r="72" spans="1:12" x14ac:dyDescent="0.25">
      <c r="A72" s="64" t="s">
        <v>62</v>
      </c>
      <c r="B72" s="63">
        <v>2019</v>
      </c>
      <c r="C72" s="65">
        <v>71.065674829999992</v>
      </c>
      <c r="D72" s="65">
        <v>71.065674829999992</v>
      </c>
      <c r="E72" s="65">
        <v>71.065674829999992</v>
      </c>
      <c r="F72" s="61"/>
      <c r="G72" s="61"/>
      <c r="H72" s="61"/>
      <c r="I72" s="61">
        <v>7.0366493014718756E-2</v>
      </c>
      <c r="J72" s="61">
        <v>7.5645595666574472E-2</v>
      </c>
      <c r="K72" s="3" t="str">
        <f t="shared" si="1"/>
        <v>pass</v>
      </c>
      <c r="L72" s="19" t="str">
        <f>IFERROR(IF(AND(MATCH(A72,Projection_classes,0),YEAR(current_date)=Projections!B72),"pass","fail"),"")</f>
        <v>fail</v>
      </c>
    </row>
    <row r="73" spans="1:12" x14ac:dyDescent="0.25">
      <c r="A73" s="64" t="s">
        <v>62</v>
      </c>
      <c r="B73" s="63">
        <v>2020</v>
      </c>
      <c r="C73" s="65">
        <v>95.165111090000025</v>
      </c>
      <c r="D73" s="65">
        <v>95.165111090000025</v>
      </c>
      <c r="E73" s="65">
        <v>95.165111090000025</v>
      </c>
      <c r="F73" s="61"/>
      <c r="G73" s="61"/>
      <c r="H73" s="61"/>
      <c r="I73" s="61">
        <v>0.111850969102957</v>
      </c>
      <c r="J73" s="61">
        <v>5.5985512880836641E-2</v>
      </c>
      <c r="K73" s="3" t="str">
        <f t="shared" si="1"/>
        <v>pass</v>
      </c>
      <c r="L73" s="19" t="str">
        <f>IFERROR(IF(AND(MATCH(A73,Projection_classes,0),YEAR(current_date)=Projections!B73),"pass","fail"),"")</f>
        <v>fail</v>
      </c>
    </row>
    <row r="74" spans="1:12" x14ac:dyDescent="0.25">
      <c r="A74" s="64" t="s">
        <v>62</v>
      </c>
      <c r="B74" s="63">
        <v>2021</v>
      </c>
      <c r="C74" s="65">
        <v>115.49327426000001</v>
      </c>
      <c r="D74" s="65">
        <v>115.49327426000001</v>
      </c>
      <c r="E74" s="65">
        <v>115.49327426000001</v>
      </c>
      <c r="F74" s="61"/>
      <c r="G74" s="61"/>
      <c r="H74" s="61"/>
      <c r="I74" s="61">
        <v>0.1056551219451876</v>
      </c>
      <c r="J74" s="61">
        <v>8.869785475996772E-2</v>
      </c>
      <c r="K74" s="3" t="str">
        <f t="shared" si="1"/>
        <v>pass</v>
      </c>
      <c r="L74" s="19" t="str">
        <f>IFERROR(IF(AND(MATCH(A74,Projection_classes,0),YEAR(current_date)=Projections!B74),"pass","fail"),"")</f>
        <v>fail</v>
      </c>
    </row>
    <row r="75" spans="1:12" x14ac:dyDescent="0.25">
      <c r="A75" s="64" t="s">
        <v>62</v>
      </c>
      <c r="B75" s="63">
        <v>2022</v>
      </c>
      <c r="C75" s="65">
        <v>126.70813115999999</v>
      </c>
      <c r="D75" s="65">
        <v>126.70813115999999</v>
      </c>
      <c r="E75" s="65">
        <v>126.70813115999999</v>
      </c>
      <c r="F75" s="61"/>
      <c r="G75" s="61"/>
      <c r="H75" s="61"/>
      <c r="I75" s="61">
        <v>8.6224395372696661E-2</v>
      </c>
      <c r="J75" s="61">
        <v>0.1022222090505058</v>
      </c>
      <c r="K75" s="3" t="str">
        <f t="shared" si="1"/>
        <v>pass</v>
      </c>
      <c r="L75" s="19" t="str">
        <f>IFERROR(IF(AND(MATCH(A75,Projection_classes,0),YEAR(current_date)=Projections!B75),"pass","fail"),"")</f>
        <v>fail</v>
      </c>
    </row>
    <row r="76" spans="1:12" x14ac:dyDescent="0.25">
      <c r="A76" s="64" t="s">
        <v>62</v>
      </c>
      <c r="B76" s="63">
        <v>2023</v>
      </c>
      <c r="C76" s="65">
        <v>133.84366907</v>
      </c>
      <c r="D76" s="65">
        <v>133.84366907</v>
      </c>
      <c r="E76" s="65">
        <v>133.84366907</v>
      </c>
      <c r="F76" s="61"/>
      <c r="G76" s="61"/>
      <c r="H76" s="61"/>
      <c r="I76" s="61">
        <v>7.2207110613637049E-2</v>
      </c>
      <c r="J76" s="61">
        <v>7.5249495485309126E-2</v>
      </c>
      <c r="K76" s="3" t="str">
        <f t="shared" si="1"/>
        <v>pass</v>
      </c>
      <c r="L76" s="19" t="str">
        <f>IFERROR(IF(AND(MATCH(A76,Projection_classes,0),YEAR(current_date)=Projections!B76),"pass","fail"),"")</f>
        <v>fail</v>
      </c>
    </row>
    <row r="77" spans="1:12" x14ac:dyDescent="0.25">
      <c r="A77" s="64" t="s">
        <v>62</v>
      </c>
      <c r="B77" s="63">
        <v>2024</v>
      </c>
      <c r="C77" s="65">
        <v>136.01499050999999</v>
      </c>
      <c r="D77" s="65">
        <v>136.01499050999999</v>
      </c>
      <c r="E77" s="65">
        <v>136.01499050999999</v>
      </c>
      <c r="F77" s="61"/>
      <c r="G77" s="61"/>
      <c r="H77" s="61"/>
      <c r="I77" s="61">
        <v>7.7167475238996586E-2</v>
      </c>
      <c r="J77" s="61">
        <v>8.4594525980512758E-2</v>
      </c>
      <c r="K77" s="3" t="str">
        <f t="shared" si="1"/>
        <v>pass</v>
      </c>
      <c r="L77" s="19" t="str">
        <f>IFERROR(IF(AND(MATCH(A77,Projection_classes,0),YEAR(current_date)=Projections!B77),"pass","fail"),"")</f>
        <v>fail</v>
      </c>
    </row>
    <row r="78" spans="1:12" x14ac:dyDescent="0.25">
      <c r="A78" s="64" t="s">
        <v>62</v>
      </c>
      <c r="B78" s="63">
        <v>2025</v>
      </c>
      <c r="C78" s="65">
        <v>58.554583790000009</v>
      </c>
      <c r="D78" s="65">
        <v>58.554583790000009</v>
      </c>
      <c r="E78" s="65">
        <v>58.554583790000009</v>
      </c>
      <c r="F78" s="61"/>
      <c r="G78" s="61"/>
      <c r="H78" s="61"/>
      <c r="I78" s="61"/>
      <c r="J78" s="61"/>
      <c r="K78" s="3" t="str">
        <f t="shared" si="1"/>
        <v>pass</v>
      </c>
      <c r="L78" s="19" t="str">
        <f>IFERROR(IF(AND(MATCH(A78,Projection_classes,0),YEAR(current_date)=Projections!B78),"pass","fail"),"")</f>
        <v>fail</v>
      </c>
    </row>
    <row r="79" spans="1:12" x14ac:dyDescent="0.25">
      <c r="A79" s="64" t="s">
        <v>62</v>
      </c>
      <c r="B79" s="63">
        <v>2026</v>
      </c>
      <c r="C79" s="65">
        <v>78.444238647123285</v>
      </c>
      <c r="D79" s="65">
        <v>0</v>
      </c>
      <c r="E79" s="65">
        <v>0</v>
      </c>
      <c r="F79" s="61"/>
      <c r="G79" s="61"/>
      <c r="H79" s="61"/>
      <c r="I79" s="61"/>
      <c r="J79" s="61"/>
      <c r="K79" s="3" t="str">
        <f t="shared" si="1"/>
        <v>fail</v>
      </c>
      <c r="L79" s="19" t="str">
        <f>IFERROR(IF(AND(MATCH(A79,Projection_classes,0),YEAR(current_date)=Projections!B79),"pass","fail"),"")</f>
        <v>pass</v>
      </c>
    </row>
    <row r="80" spans="1:12" x14ac:dyDescent="0.25">
      <c r="A80" s="64" t="s">
        <v>63</v>
      </c>
      <c r="B80" s="63">
        <v>2001</v>
      </c>
      <c r="C80" s="65">
        <v>1.911092E-2</v>
      </c>
      <c r="D80" s="65">
        <v>1.911092E-2</v>
      </c>
      <c r="E80" s="65">
        <v>1.911092E-2</v>
      </c>
      <c r="F80" s="61"/>
      <c r="G80" s="61"/>
      <c r="H80" s="61"/>
      <c r="I80" s="61"/>
      <c r="J80" s="61"/>
      <c r="K80" s="3" t="str">
        <f t="shared" si="1"/>
        <v>pass</v>
      </c>
      <c r="L80" s="19" t="str">
        <f>IFERROR(IF(AND(MATCH(A80,Projection_classes,0),YEAR(current_date)=Projections!B80),"pass","fail"),"")</f>
        <v>fail</v>
      </c>
    </row>
    <row r="81" spans="1:12" x14ac:dyDescent="0.25">
      <c r="A81" s="64" t="s">
        <v>63</v>
      </c>
      <c r="B81" s="63">
        <v>2002</v>
      </c>
      <c r="C81" s="65">
        <v>0.51573729999999995</v>
      </c>
      <c r="D81" s="65">
        <v>0.51573729999999995</v>
      </c>
      <c r="E81" s="65">
        <v>0.51573729999999995</v>
      </c>
      <c r="F81" s="61"/>
      <c r="G81" s="61"/>
      <c r="H81" s="61"/>
      <c r="I81" s="61"/>
      <c r="J81" s="61"/>
      <c r="K81" s="3" t="str">
        <f t="shared" si="1"/>
        <v>pass</v>
      </c>
      <c r="L81" s="19" t="str">
        <f>IFERROR(IF(AND(MATCH(A81,Projection_classes,0),YEAR(current_date)=Projections!B81),"pass","fail"),"")</f>
        <v>fail</v>
      </c>
    </row>
    <row r="82" spans="1:12" x14ac:dyDescent="0.25">
      <c r="A82" s="64" t="s">
        <v>63</v>
      </c>
      <c r="B82" s="63">
        <v>2003</v>
      </c>
      <c r="C82" s="65">
        <v>0.72562762999999986</v>
      </c>
      <c r="D82" s="65">
        <v>0.72562762999999986</v>
      </c>
      <c r="E82" s="65">
        <v>0.72562762999999986</v>
      </c>
      <c r="F82" s="61"/>
      <c r="G82" s="61"/>
      <c r="H82" s="61"/>
      <c r="I82" s="61"/>
      <c r="J82" s="61"/>
      <c r="K82" s="3" t="str">
        <f t="shared" si="1"/>
        <v>pass</v>
      </c>
      <c r="L82" s="19" t="str">
        <f>IFERROR(IF(AND(MATCH(A82,Projection_classes,0),YEAR(current_date)=Projections!B82),"pass","fail"),"")</f>
        <v>fail</v>
      </c>
    </row>
    <row r="83" spans="1:12" x14ac:dyDescent="0.25">
      <c r="A83" s="64" t="s">
        <v>63</v>
      </c>
      <c r="B83" s="63">
        <v>2004</v>
      </c>
      <c r="C83" s="65">
        <v>1.896159989999999</v>
      </c>
      <c r="D83" s="65">
        <v>1.896159989999999</v>
      </c>
      <c r="E83" s="65">
        <v>1.896159989999999</v>
      </c>
      <c r="F83" s="61"/>
      <c r="G83" s="61"/>
      <c r="H83" s="61"/>
      <c r="I83" s="61"/>
      <c r="J83" s="61"/>
      <c r="K83" s="3" t="str">
        <f t="shared" si="1"/>
        <v>pass</v>
      </c>
      <c r="L83" s="19" t="str">
        <f>IFERROR(IF(AND(MATCH(A83,Projection_classes,0),YEAR(current_date)=Projections!B83),"pass","fail"),"")</f>
        <v>fail</v>
      </c>
    </row>
    <row r="84" spans="1:12" x14ac:dyDescent="0.25">
      <c r="A84" s="64" t="s">
        <v>63</v>
      </c>
      <c r="B84" s="63">
        <v>2005</v>
      </c>
      <c r="C84" s="65">
        <v>18.20579347</v>
      </c>
      <c r="D84" s="65">
        <v>18.20579347</v>
      </c>
      <c r="E84" s="65">
        <v>18.20579347</v>
      </c>
      <c r="F84" s="61"/>
      <c r="G84" s="61"/>
      <c r="H84" s="61"/>
      <c r="I84" s="61"/>
      <c r="J84" s="61"/>
      <c r="K84" s="3" t="str">
        <f t="shared" si="1"/>
        <v>pass</v>
      </c>
      <c r="L84" s="19" t="str">
        <f>IFERROR(IF(AND(MATCH(A84,Projection_classes,0),YEAR(current_date)=Projections!B84),"pass","fail"),"")</f>
        <v>fail</v>
      </c>
    </row>
    <row r="85" spans="1:12" x14ac:dyDescent="0.25">
      <c r="A85" s="64" t="s">
        <v>63</v>
      </c>
      <c r="B85" s="63">
        <v>2006</v>
      </c>
      <c r="C85" s="65">
        <v>32.330881660000003</v>
      </c>
      <c r="D85" s="65">
        <v>32.330881660000003</v>
      </c>
      <c r="E85" s="65">
        <v>32.330881660000003</v>
      </c>
      <c r="F85" s="61"/>
      <c r="G85" s="61"/>
      <c r="H85" s="61"/>
      <c r="I85" s="61"/>
      <c r="J85" s="61"/>
      <c r="K85" s="3" t="str">
        <f t="shared" si="1"/>
        <v>pass</v>
      </c>
      <c r="L85" s="19" t="str">
        <f>IFERROR(IF(AND(MATCH(A85,Projection_classes,0),YEAR(current_date)=Projections!B85),"pass","fail"),"")</f>
        <v>fail</v>
      </c>
    </row>
    <row r="86" spans="1:12" x14ac:dyDescent="0.25">
      <c r="A86" s="64" t="s">
        <v>63</v>
      </c>
      <c r="B86" s="63">
        <v>2007</v>
      </c>
      <c r="C86" s="65">
        <v>39.530358849999999</v>
      </c>
      <c r="D86" s="65">
        <v>39.530358849999999</v>
      </c>
      <c r="E86" s="65">
        <v>39.530358849999999</v>
      </c>
      <c r="F86" s="61"/>
      <c r="G86" s="61"/>
      <c r="H86" s="61"/>
      <c r="I86" s="61"/>
      <c r="J86" s="61"/>
      <c r="K86" s="3" t="str">
        <f t="shared" si="1"/>
        <v>pass</v>
      </c>
      <c r="L86" s="19" t="str">
        <f>IFERROR(IF(AND(MATCH(A86,Projection_classes,0),YEAR(current_date)=Projections!B86),"pass","fail"),"")</f>
        <v>fail</v>
      </c>
    </row>
    <row r="87" spans="1:12" x14ac:dyDescent="0.25">
      <c r="A87" s="64" t="s">
        <v>63</v>
      </c>
      <c r="B87" s="63">
        <v>2008</v>
      </c>
      <c r="C87" s="65">
        <v>40.738299779999977</v>
      </c>
      <c r="D87" s="65">
        <v>40.738299779999977</v>
      </c>
      <c r="E87" s="65">
        <v>40.738299779999977</v>
      </c>
      <c r="F87" s="61"/>
      <c r="G87" s="61"/>
      <c r="H87" s="61"/>
      <c r="I87" s="61"/>
      <c r="J87" s="61"/>
      <c r="K87" s="3" t="str">
        <f t="shared" si="1"/>
        <v>pass</v>
      </c>
      <c r="L87" s="19" t="str">
        <f>IFERROR(IF(AND(MATCH(A87,Projection_classes,0),YEAR(current_date)=Projections!B87),"pass","fail"),"")</f>
        <v>fail</v>
      </c>
    </row>
    <row r="88" spans="1:12" x14ac:dyDescent="0.25">
      <c r="A88" s="64" t="s">
        <v>63</v>
      </c>
      <c r="B88" s="63">
        <v>2009</v>
      </c>
      <c r="C88" s="65">
        <v>33.904751857490012</v>
      </c>
      <c r="D88" s="65">
        <v>33.904751857490012</v>
      </c>
      <c r="E88" s="65">
        <v>33.904751857490012</v>
      </c>
      <c r="F88" s="61"/>
      <c r="G88" s="61"/>
      <c r="H88" s="61"/>
      <c r="I88" s="61"/>
      <c r="J88" s="61"/>
      <c r="K88" s="3" t="str">
        <f t="shared" si="1"/>
        <v>pass</v>
      </c>
      <c r="L88" s="19" t="str">
        <f>IFERROR(IF(AND(MATCH(A88,Projection_classes,0),YEAR(current_date)=Projections!B88),"pass","fail"),"")</f>
        <v>fail</v>
      </c>
    </row>
    <row r="89" spans="1:12" x14ac:dyDescent="0.25">
      <c r="A89" s="64" t="s">
        <v>63</v>
      </c>
      <c r="B89" s="63">
        <v>2010</v>
      </c>
      <c r="C89" s="65">
        <v>32.850792489999989</v>
      </c>
      <c r="D89" s="65">
        <v>32.850792489999989</v>
      </c>
      <c r="E89" s="65">
        <v>32.850792489999989</v>
      </c>
      <c r="F89" s="61"/>
      <c r="G89" s="61"/>
      <c r="H89" s="61"/>
      <c r="I89" s="61"/>
      <c r="J89" s="61"/>
      <c r="K89" s="3" t="str">
        <f t="shared" si="1"/>
        <v>pass</v>
      </c>
      <c r="L89" s="19" t="str">
        <f>IFERROR(IF(AND(MATCH(A89,Projection_classes,0),YEAR(current_date)=Projections!B89),"pass","fail"),"")</f>
        <v>fail</v>
      </c>
    </row>
    <row r="90" spans="1:12" x14ac:dyDescent="0.25">
      <c r="A90" s="64" t="s">
        <v>63</v>
      </c>
      <c r="B90" s="63">
        <v>2011</v>
      </c>
      <c r="C90" s="65">
        <v>39.024914149999987</v>
      </c>
      <c r="D90" s="65">
        <v>39.024914149999987</v>
      </c>
      <c r="E90" s="65">
        <v>39.024914149999987</v>
      </c>
      <c r="F90" s="61"/>
      <c r="G90" s="61"/>
      <c r="H90" s="61"/>
      <c r="I90" s="61"/>
      <c r="J90" s="61"/>
      <c r="K90" s="3" t="str">
        <f t="shared" si="1"/>
        <v>pass</v>
      </c>
      <c r="L90" s="19" t="str">
        <f>IFERROR(IF(AND(MATCH(A90,Projection_classes,0),YEAR(current_date)=Projections!B90),"pass","fail"),"")</f>
        <v>fail</v>
      </c>
    </row>
    <row r="91" spans="1:12" x14ac:dyDescent="0.25">
      <c r="A91" s="64" t="s">
        <v>63</v>
      </c>
      <c r="B91" s="63">
        <v>2012</v>
      </c>
      <c r="C91" s="65">
        <v>53.606203860000008</v>
      </c>
      <c r="D91" s="65">
        <v>53.606203860000008</v>
      </c>
      <c r="E91" s="65">
        <v>53.606203860000008</v>
      </c>
      <c r="F91" s="61"/>
      <c r="G91" s="61"/>
      <c r="H91" s="61"/>
      <c r="I91" s="61"/>
      <c r="J91" s="61"/>
      <c r="K91" s="3" t="str">
        <f t="shared" si="1"/>
        <v>pass</v>
      </c>
      <c r="L91" s="19" t="str">
        <f>IFERROR(IF(AND(MATCH(A91,Projection_classes,0),YEAR(current_date)=Projections!B91),"pass","fail"),"")</f>
        <v>fail</v>
      </c>
    </row>
    <row r="92" spans="1:12" x14ac:dyDescent="0.25">
      <c r="A92" s="64" t="s">
        <v>63</v>
      </c>
      <c r="B92" s="63">
        <v>2013</v>
      </c>
      <c r="C92" s="65">
        <v>70.61354295999999</v>
      </c>
      <c r="D92" s="65">
        <v>70.61354295999999</v>
      </c>
      <c r="E92" s="65">
        <v>70.61354295999999</v>
      </c>
      <c r="F92" s="61"/>
      <c r="G92" s="61"/>
      <c r="H92" s="61"/>
      <c r="I92" s="61"/>
      <c r="J92" s="61"/>
      <c r="K92" s="3" t="str">
        <f t="shared" si="1"/>
        <v>pass</v>
      </c>
      <c r="L92" s="19" t="str">
        <f>IFERROR(IF(AND(MATCH(A92,Projection_classes,0),YEAR(current_date)=Projections!B92),"pass","fail"),"")</f>
        <v>fail</v>
      </c>
    </row>
    <row r="93" spans="1:12" x14ac:dyDescent="0.25">
      <c r="A93" s="64" t="s">
        <v>63</v>
      </c>
      <c r="B93" s="63">
        <v>2014</v>
      </c>
      <c r="C93" s="65">
        <v>79.023453009999955</v>
      </c>
      <c r="D93" s="65">
        <v>79.023453009999955</v>
      </c>
      <c r="E93" s="65">
        <v>79.023453009999955</v>
      </c>
      <c r="F93" s="61"/>
      <c r="G93" s="61"/>
      <c r="H93" s="61"/>
      <c r="I93" s="61"/>
      <c r="J93" s="61"/>
      <c r="K93" s="3" t="str">
        <f t="shared" si="1"/>
        <v>pass</v>
      </c>
      <c r="L93" s="19" t="str">
        <f>IFERROR(IF(AND(MATCH(A93,Projection_classes,0),YEAR(current_date)=Projections!B93),"pass","fail"),"")</f>
        <v>fail</v>
      </c>
    </row>
    <row r="94" spans="1:12" x14ac:dyDescent="0.25">
      <c r="A94" s="64" t="s">
        <v>63</v>
      </c>
      <c r="B94" s="63">
        <v>2015</v>
      </c>
      <c r="C94" s="65">
        <v>82.981221568103578</v>
      </c>
      <c r="D94" s="65">
        <v>82.981221568103578</v>
      </c>
      <c r="E94" s="65">
        <v>82.981221568103578</v>
      </c>
      <c r="F94" s="61"/>
      <c r="G94" s="61"/>
      <c r="H94" s="61"/>
      <c r="I94" s="61"/>
      <c r="J94" s="61"/>
      <c r="K94" s="3" t="str">
        <f t="shared" si="1"/>
        <v>pass</v>
      </c>
      <c r="L94" s="19" t="str">
        <f>IFERROR(IF(AND(MATCH(A94,Projection_classes,0),YEAR(current_date)=Projections!B94),"pass","fail"),"")</f>
        <v>fail</v>
      </c>
    </row>
    <row r="95" spans="1:12" x14ac:dyDescent="0.25">
      <c r="A95" s="64" t="s">
        <v>63</v>
      </c>
      <c r="B95" s="63">
        <v>2016</v>
      </c>
      <c r="C95" s="65">
        <v>97.587706670203389</v>
      </c>
      <c r="D95" s="65">
        <v>97.587706670203389</v>
      </c>
      <c r="E95" s="65">
        <v>97.587706670203389</v>
      </c>
      <c r="F95" s="61"/>
      <c r="G95" s="61"/>
      <c r="H95" s="61"/>
      <c r="I95" s="61"/>
      <c r="J95" s="61"/>
      <c r="K95" s="3" t="str">
        <f t="shared" si="1"/>
        <v>pass</v>
      </c>
      <c r="L95" s="19" t="str">
        <f>IFERROR(IF(AND(MATCH(A95,Projection_classes,0),YEAR(current_date)=Projections!B95),"pass","fail"),"")</f>
        <v>fail</v>
      </c>
    </row>
    <row r="96" spans="1:12" x14ac:dyDescent="0.25">
      <c r="A96" s="64" t="s">
        <v>63</v>
      </c>
      <c r="B96" s="63">
        <v>2017</v>
      </c>
      <c r="C96" s="65">
        <v>127.87710181</v>
      </c>
      <c r="D96" s="65">
        <v>127.87710181</v>
      </c>
      <c r="E96" s="65">
        <v>127.87710181</v>
      </c>
      <c r="F96" s="61"/>
      <c r="G96" s="61"/>
      <c r="H96" s="61"/>
      <c r="I96" s="61"/>
      <c r="J96" s="61"/>
      <c r="K96" s="3" t="str">
        <f t="shared" si="1"/>
        <v>pass</v>
      </c>
      <c r="L96" s="19" t="str">
        <f>IFERROR(IF(AND(MATCH(A96,Projection_classes,0),YEAR(current_date)=Projections!B96),"pass","fail"),"")</f>
        <v>fail</v>
      </c>
    </row>
    <row r="97" spans="1:12" x14ac:dyDescent="0.25">
      <c r="A97" s="64" t="s">
        <v>63</v>
      </c>
      <c r="B97" s="63">
        <v>2018</v>
      </c>
      <c r="C97" s="65">
        <v>172.21359583</v>
      </c>
      <c r="D97" s="65">
        <v>172.21359583</v>
      </c>
      <c r="E97" s="65">
        <v>172.21359583</v>
      </c>
      <c r="F97" s="61"/>
      <c r="G97" s="61"/>
      <c r="H97" s="61"/>
      <c r="I97" s="61"/>
      <c r="J97" s="61"/>
      <c r="K97" s="3" t="str">
        <f t="shared" si="1"/>
        <v>pass</v>
      </c>
      <c r="L97" s="19" t="str">
        <f>IFERROR(IF(AND(MATCH(A97,Projection_classes,0),YEAR(current_date)=Projections!B97),"pass","fail"),"")</f>
        <v>fail</v>
      </c>
    </row>
    <row r="98" spans="1:12" x14ac:dyDescent="0.25">
      <c r="A98" s="64" t="s">
        <v>63</v>
      </c>
      <c r="B98" s="63">
        <v>2019</v>
      </c>
      <c r="C98" s="65">
        <v>224.71662697299999</v>
      </c>
      <c r="D98" s="65">
        <v>224.71662697299999</v>
      </c>
      <c r="E98" s="65">
        <v>224.71662697299999</v>
      </c>
      <c r="F98" s="61"/>
      <c r="G98" s="61"/>
      <c r="H98" s="61"/>
      <c r="I98" s="61"/>
      <c r="J98" s="61"/>
      <c r="K98" s="3" t="str">
        <f t="shared" si="1"/>
        <v>pass</v>
      </c>
      <c r="L98" s="19" t="str">
        <f>IFERROR(IF(AND(MATCH(A98,Projection_classes,0),YEAR(current_date)=Projections!B98),"pass","fail"),"")</f>
        <v>fail</v>
      </c>
    </row>
    <row r="99" spans="1:12" x14ac:dyDescent="0.25">
      <c r="A99" s="64" t="s">
        <v>63</v>
      </c>
      <c r="B99" s="63">
        <v>2020</v>
      </c>
      <c r="C99" s="65">
        <v>238.754702517</v>
      </c>
      <c r="D99" s="65">
        <v>238.754702517</v>
      </c>
      <c r="E99" s="65">
        <v>238.754702517</v>
      </c>
      <c r="F99" s="61"/>
      <c r="G99" s="61"/>
      <c r="H99" s="61"/>
      <c r="I99" s="61"/>
      <c r="J99" s="61"/>
      <c r="K99" s="3" t="str">
        <f t="shared" si="1"/>
        <v>pass</v>
      </c>
      <c r="L99" s="19" t="str">
        <f>IFERROR(IF(AND(MATCH(A99,Projection_classes,0),YEAR(current_date)=Projections!B99),"pass","fail"),"")</f>
        <v>fail</v>
      </c>
    </row>
    <row r="100" spans="1:12" x14ac:dyDescent="0.25">
      <c r="A100" s="64" t="s">
        <v>63</v>
      </c>
      <c r="B100" s="63">
        <v>2021</v>
      </c>
      <c r="C100" s="65">
        <v>226.03482214999991</v>
      </c>
      <c r="D100" s="65">
        <v>226.03482214999991</v>
      </c>
      <c r="E100" s="65">
        <v>226.03482214999991</v>
      </c>
      <c r="F100" s="61"/>
      <c r="G100" s="61"/>
      <c r="H100" s="61"/>
      <c r="I100" s="61"/>
      <c r="J100" s="61"/>
      <c r="K100" s="3" t="str">
        <f t="shared" si="1"/>
        <v>pass</v>
      </c>
      <c r="L100" s="19" t="str">
        <f>IFERROR(IF(AND(MATCH(A100,Projection_classes,0),YEAR(current_date)=Projections!B100),"pass","fail"),"")</f>
        <v>fail</v>
      </c>
    </row>
    <row r="101" spans="1:12" x14ac:dyDescent="0.25">
      <c r="A101" s="64" t="s">
        <v>63</v>
      </c>
      <c r="B101" s="63">
        <v>2022</v>
      </c>
      <c r="C101" s="65">
        <v>240.01516828000001</v>
      </c>
      <c r="D101" s="65">
        <v>240.01516828000001</v>
      </c>
      <c r="E101" s="65">
        <v>240.01516828000001</v>
      </c>
      <c r="F101" s="61"/>
      <c r="G101" s="61"/>
      <c r="H101" s="61"/>
      <c r="I101" s="61"/>
      <c r="J101" s="61"/>
      <c r="K101" s="3" t="str">
        <f t="shared" si="1"/>
        <v>pass</v>
      </c>
      <c r="L101" s="19" t="str">
        <f>IFERROR(IF(AND(MATCH(A101,Projection_classes,0),YEAR(current_date)=Projections!B101),"pass","fail"),"")</f>
        <v>fail</v>
      </c>
    </row>
    <row r="102" spans="1:12" x14ac:dyDescent="0.25">
      <c r="A102" s="64" t="s">
        <v>63</v>
      </c>
      <c r="B102" s="63">
        <v>2023</v>
      </c>
      <c r="C102" s="65">
        <v>232.91183204999999</v>
      </c>
      <c r="D102" s="65">
        <v>232.91183204999999</v>
      </c>
      <c r="E102" s="65">
        <v>232.91183204999999</v>
      </c>
      <c r="F102" s="61"/>
      <c r="G102" s="61"/>
      <c r="H102" s="61"/>
      <c r="I102" s="61"/>
      <c r="J102" s="61"/>
      <c r="K102" s="3" t="str">
        <f t="shared" si="1"/>
        <v>pass</v>
      </c>
      <c r="L102" s="19" t="str">
        <f>IFERROR(IF(AND(MATCH(A102,Projection_classes,0),YEAR(current_date)=Projections!B102),"pass","fail"),"")</f>
        <v>fail</v>
      </c>
    </row>
    <row r="103" spans="1:12" x14ac:dyDescent="0.25">
      <c r="A103" s="64" t="s">
        <v>63</v>
      </c>
      <c r="B103" s="63">
        <v>2024</v>
      </c>
      <c r="C103" s="65">
        <v>188.79207229999989</v>
      </c>
      <c r="D103" s="65">
        <v>188.79207229999989</v>
      </c>
      <c r="E103" s="65">
        <v>188.79207229999989</v>
      </c>
      <c r="F103" s="61"/>
      <c r="G103" s="61"/>
      <c r="H103" s="61"/>
      <c r="I103" s="61"/>
      <c r="J103" s="61"/>
      <c r="K103" s="3" t="str">
        <f t="shared" si="1"/>
        <v>pass</v>
      </c>
      <c r="L103" s="19" t="str">
        <f>IFERROR(IF(AND(MATCH(A103,Projection_classes,0),YEAR(current_date)=Projections!B103),"pass","fail"),"")</f>
        <v>fail</v>
      </c>
    </row>
    <row r="104" spans="1:12" x14ac:dyDescent="0.25">
      <c r="A104" s="64" t="s">
        <v>63</v>
      </c>
      <c r="B104" s="63">
        <v>2025</v>
      </c>
      <c r="C104" s="65">
        <v>37.190889060000011</v>
      </c>
      <c r="D104" s="65">
        <v>37.190889060000011</v>
      </c>
      <c r="E104" s="65">
        <v>37.190889060000011</v>
      </c>
      <c r="F104" s="61"/>
      <c r="G104" s="61"/>
      <c r="H104" s="61"/>
      <c r="I104" s="61"/>
      <c r="J104" s="61"/>
      <c r="K104" s="3" t="str">
        <f t="shared" si="1"/>
        <v>pass</v>
      </c>
      <c r="L104" s="19" t="str">
        <f>IFERROR(IF(AND(MATCH(A104,Projection_classes,0),YEAR(current_date)=Projections!B104),"pass","fail"),"")</f>
        <v>fail</v>
      </c>
    </row>
    <row r="105" spans="1:12" x14ac:dyDescent="0.25">
      <c r="A105" s="64" t="s">
        <v>63</v>
      </c>
      <c r="B105" s="63">
        <v>2026</v>
      </c>
      <c r="C105" s="65">
        <v>114.4816072411011</v>
      </c>
      <c r="D105" s="65">
        <v>0</v>
      </c>
      <c r="E105" s="65">
        <v>0</v>
      </c>
      <c r="F105" s="61"/>
      <c r="G105" s="61"/>
      <c r="H105" s="61"/>
      <c r="I105" s="61"/>
      <c r="J105" s="61"/>
      <c r="K105" s="3" t="str">
        <f t="shared" si="1"/>
        <v>fail</v>
      </c>
      <c r="L105" s="19" t="str">
        <f>IFERROR(IF(AND(MATCH(A105,Projection_classes,0),YEAR(current_date)=Projections!B105),"pass","fail"),"")</f>
        <v>pass</v>
      </c>
    </row>
    <row r="106" spans="1:12" x14ac:dyDescent="0.25">
      <c r="A106" s="64" t="s">
        <v>57</v>
      </c>
      <c r="B106" s="63">
        <v>2001</v>
      </c>
      <c r="C106" s="65">
        <v>0</v>
      </c>
      <c r="D106" s="65">
        <v>0</v>
      </c>
      <c r="E106" s="65">
        <v>0</v>
      </c>
      <c r="F106" s="61"/>
      <c r="G106" s="61"/>
      <c r="H106" s="61"/>
      <c r="I106" s="61"/>
      <c r="J106" s="61"/>
      <c r="K106" s="3" t="str">
        <f t="shared" si="1"/>
        <v>pass</v>
      </c>
      <c r="L106" s="19" t="str">
        <f>IFERROR(IF(AND(MATCH(A106,Projection_classes,0),YEAR(current_date)=Projections!B106),"pass","fail"),"")</f>
        <v>fail</v>
      </c>
    </row>
    <row r="107" spans="1:12" x14ac:dyDescent="0.25">
      <c r="A107" s="64" t="s">
        <v>57</v>
      </c>
      <c r="B107" s="63">
        <v>2002</v>
      </c>
      <c r="C107" s="65">
        <v>0</v>
      </c>
      <c r="D107" s="65">
        <v>0</v>
      </c>
      <c r="E107" s="65">
        <v>0</v>
      </c>
      <c r="F107" s="61"/>
      <c r="G107" s="61"/>
      <c r="H107" s="61"/>
      <c r="I107" s="61"/>
      <c r="J107" s="61"/>
      <c r="K107" s="3" t="str">
        <f t="shared" si="1"/>
        <v>pass</v>
      </c>
      <c r="L107" s="19" t="str">
        <f>IFERROR(IF(AND(MATCH(A107,Projection_classes,0),YEAR(current_date)=Projections!B107),"pass","fail"),"")</f>
        <v>fail</v>
      </c>
    </row>
    <row r="108" spans="1:12" x14ac:dyDescent="0.25">
      <c r="A108" s="64" t="s">
        <v>57</v>
      </c>
      <c r="B108" s="63">
        <v>2003</v>
      </c>
      <c r="C108" s="65">
        <v>0</v>
      </c>
      <c r="D108" s="65">
        <v>0</v>
      </c>
      <c r="E108" s="65">
        <v>0</v>
      </c>
      <c r="F108" s="61"/>
      <c r="G108" s="61"/>
      <c r="H108" s="61"/>
      <c r="I108" s="61"/>
      <c r="J108" s="61"/>
      <c r="K108" s="3" t="str">
        <f t="shared" si="1"/>
        <v>pass</v>
      </c>
      <c r="L108" s="19" t="str">
        <f>IFERROR(IF(AND(MATCH(A108,Projection_classes,0),YEAR(current_date)=Projections!B108),"pass","fail"),"")</f>
        <v>fail</v>
      </c>
    </row>
    <row r="109" spans="1:12" x14ac:dyDescent="0.25">
      <c r="A109" s="64" t="s">
        <v>57</v>
      </c>
      <c r="B109" s="63">
        <v>2004</v>
      </c>
      <c r="C109" s="65">
        <v>0</v>
      </c>
      <c r="D109" s="65">
        <v>0</v>
      </c>
      <c r="E109" s="65">
        <v>0</v>
      </c>
      <c r="F109" s="61"/>
      <c r="G109" s="61"/>
      <c r="H109" s="61"/>
      <c r="I109" s="61"/>
      <c r="J109" s="61"/>
      <c r="K109" s="3" t="str">
        <f t="shared" si="1"/>
        <v>pass</v>
      </c>
      <c r="L109" s="19" t="str">
        <f>IFERROR(IF(AND(MATCH(A109,Projection_classes,0),YEAR(current_date)=Projections!B109),"pass","fail"),"")</f>
        <v>fail</v>
      </c>
    </row>
    <row r="110" spans="1:12" x14ac:dyDescent="0.25">
      <c r="A110" s="64" t="s">
        <v>57</v>
      </c>
      <c r="B110" s="63">
        <v>2005</v>
      </c>
      <c r="C110" s="65">
        <v>0</v>
      </c>
      <c r="D110" s="65">
        <v>0</v>
      </c>
      <c r="E110" s="65">
        <v>0</v>
      </c>
      <c r="F110" s="61"/>
      <c r="G110" s="61"/>
      <c r="H110" s="61"/>
      <c r="I110" s="61"/>
      <c r="J110" s="61"/>
      <c r="K110" s="3" t="str">
        <f t="shared" si="1"/>
        <v>pass</v>
      </c>
      <c r="L110" s="19" t="str">
        <f>IFERROR(IF(AND(MATCH(A110,Projection_classes,0),YEAR(current_date)=Projections!B110),"pass","fail"),"")</f>
        <v>fail</v>
      </c>
    </row>
    <row r="111" spans="1:12" x14ac:dyDescent="0.25">
      <c r="A111" s="64" t="s">
        <v>57</v>
      </c>
      <c r="B111" s="63">
        <v>2006</v>
      </c>
      <c r="C111" s="65">
        <v>0</v>
      </c>
      <c r="D111" s="65">
        <v>0</v>
      </c>
      <c r="E111" s="65">
        <v>0</v>
      </c>
      <c r="F111" s="61"/>
      <c r="G111" s="61"/>
      <c r="H111" s="61"/>
      <c r="I111" s="61"/>
      <c r="J111" s="61"/>
      <c r="K111" s="3" t="str">
        <f t="shared" si="1"/>
        <v>pass</v>
      </c>
      <c r="L111" s="19" t="str">
        <f>IFERROR(IF(AND(MATCH(A111,Projection_classes,0),YEAR(current_date)=Projections!B111),"pass","fail"),"")</f>
        <v>fail</v>
      </c>
    </row>
    <row r="112" spans="1:12" x14ac:dyDescent="0.25">
      <c r="A112" s="64" t="s">
        <v>57</v>
      </c>
      <c r="B112" s="63">
        <v>2007</v>
      </c>
      <c r="C112" s="65">
        <v>0</v>
      </c>
      <c r="D112" s="65">
        <v>0</v>
      </c>
      <c r="E112" s="65">
        <v>0</v>
      </c>
      <c r="F112" s="61"/>
      <c r="G112" s="61"/>
      <c r="H112" s="61"/>
      <c r="I112" s="61">
        <v>-9.0413677419889371E-3</v>
      </c>
      <c r="J112" s="61">
        <v>8.7733472005159241E-2</v>
      </c>
      <c r="K112" s="3" t="str">
        <f t="shared" si="1"/>
        <v>pass</v>
      </c>
      <c r="L112" s="19" t="str">
        <f>IFERROR(IF(AND(MATCH(A112,Projection_classes,0),YEAR(current_date)=Projections!B112),"pass","fail"),"")</f>
        <v>fail</v>
      </c>
    </row>
    <row r="113" spans="1:12" x14ac:dyDescent="0.25">
      <c r="A113" s="64" t="s">
        <v>57</v>
      </c>
      <c r="B113" s="63">
        <v>2008</v>
      </c>
      <c r="C113" s="65">
        <v>0</v>
      </c>
      <c r="D113" s="65">
        <v>0</v>
      </c>
      <c r="E113" s="65">
        <v>0</v>
      </c>
      <c r="F113" s="61"/>
      <c r="G113" s="61"/>
      <c r="H113" s="61"/>
      <c r="I113" s="61">
        <v>-5.0167356169113941E-2</v>
      </c>
      <c r="J113" s="61">
        <v>8.7236473497871003E-2</v>
      </c>
      <c r="K113" s="3" t="str">
        <f t="shared" si="1"/>
        <v>pass</v>
      </c>
      <c r="L113" s="19" t="str">
        <f>IFERROR(IF(AND(MATCH(A113,Projection_classes,0),YEAR(current_date)=Projections!B113),"pass","fail"),"")</f>
        <v>fail</v>
      </c>
    </row>
    <row r="114" spans="1:12" x14ac:dyDescent="0.25">
      <c r="A114" s="64" t="s">
        <v>57</v>
      </c>
      <c r="B114" s="63">
        <v>2009</v>
      </c>
      <c r="C114" s="65">
        <v>0</v>
      </c>
      <c r="D114" s="65">
        <v>0</v>
      </c>
      <c r="E114" s="65">
        <v>0</v>
      </c>
      <c r="F114" s="61"/>
      <c r="G114" s="61"/>
      <c r="H114" s="61"/>
      <c r="I114" s="61">
        <v>-2.091060796389688E-2</v>
      </c>
      <c r="J114" s="61">
        <v>7.5952757846034391E-2</v>
      </c>
      <c r="K114" s="3" t="str">
        <f t="shared" si="1"/>
        <v>pass</v>
      </c>
      <c r="L114" s="19" t="str">
        <f>IFERROR(IF(AND(MATCH(A114,Projection_classes,0),YEAR(current_date)=Projections!B114),"pass","fail"),"")</f>
        <v>fail</v>
      </c>
    </row>
    <row r="115" spans="1:12" x14ac:dyDescent="0.25">
      <c r="A115" s="64" t="s">
        <v>57</v>
      </c>
      <c r="B115" s="63">
        <v>2010</v>
      </c>
      <c r="C115" s="65">
        <v>0</v>
      </c>
      <c r="D115" s="65">
        <v>0</v>
      </c>
      <c r="E115" s="65">
        <v>0</v>
      </c>
      <c r="F115" s="61"/>
      <c r="G115" s="61"/>
      <c r="H115" s="61"/>
      <c r="I115" s="61">
        <v>-2.9274553278735288E-4</v>
      </c>
      <c r="J115" s="61">
        <v>7.191205066491646E-2</v>
      </c>
      <c r="K115" s="3" t="str">
        <f t="shared" si="1"/>
        <v>pass</v>
      </c>
      <c r="L115" s="19" t="str">
        <f>IFERROR(IF(AND(MATCH(A115,Projection_classes,0),YEAR(current_date)=Projections!B115),"pass","fail"),"")</f>
        <v>fail</v>
      </c>
    </row>
    <row r="116" spans="1:12" x14ac:dyDescent="0.25">
      <c r="A116" s="64" t="s">
        <v>57</v>
      </c>
      <c r="B116" s="63">
        <v>2011</v>
      </c>
      <c r="C116" s="65">
        <v>0</v>
      </c>
      <c r="D116" s="65">
        <v>0</v>
      </c>
      <c r="E116" s="65">
        <v>0</v>
      </c>
      <c r="F116" s="61"/>
      <c r="G116" s="61"/>
      <c r="H116" s="61"/>
      <c r="I116" s="61">
        <v>-5.8227880425146816E-3</v>
      </c>
      <c r="J116" s="61">
        <v>7.5227489027520855E-2</v>
      </c>
      <c r="K116" s="3" t="str">
        <f t="shared" si="1"/>
        <v>pass</v>
      </c>
      <c r="L116" s="19" t="str">
        <f>IFERROR(IF(AND(MATCH(A116,Projection_classes,0),YEAR(current_date)=Projections!B116),"pass","fail"),"")</f>
        <v>fail</v>
      </c>
    </row>
    <row r="117" spans="1:12" x14ac:dyDescent="0.25">
      <c r="A117" s="64" t="s">
        <v>57</v>
      </c>
      <c r="B117" s="63">
        <v>2012</v>
      </c>
      <c r="C117" s="65">
        <v>0</v>
      </c>
      <c r="D117" s="65">
        <v>0</v>
      </c>
      <c r="E117" s="65">
        <v>0</v>
      </c>
      <c r="F117" s="61"/>
      <c r="G117" s="61"/>
      <c r="H117" s="61"/>
      <c r="I117" s="61">
        <v>-2.1910282720563061E-3</v>
      </c>
      <c r="J117" s="61">
        <v>7.400698281269702E-2</v>
      </c>
      <c r="K117" s="3" t="str">
        <f t="shared" si="1"/>
        <v>pass</v>
      </c>
      <c r="L117" s="19" t="str">
        <f>IFERROR(IF(AND(MATCH(A117,Projection_classes,0),YEAR(current_date)=Projections!B117),"pass","fail"),"")</f>
        <v>fail</v>
      </c>
    </row>
    <row r="118" spans="1:12" x14ac:dyDescent="0.25">
      <c r="A118" s="64" t="s">
        <v>57</v>
      </c>
      <c r="B118" s="63">
        <v>2013</v>
      </c>
      <c r="C118" s="65">
        <v>0.87111992272930583</v>
      </c>
      <c r="D118" s="65">
        <v>0.87111992272930583</v>
      </c>
      <c r="E118" s="65">
        <v>0.87111992272930583</v>
      </c>
      <c r="F118" s="61"/>
      <c r="G118" s="61"/>
      <c r="H118" s="61"/>
      <c r="I118" s="61">
        <v>-4.9192178929690078E-3</v>
      </c>
      <c r="J118" s="61">
        <v>6.932203504876866E-2</v>
      </c>
      <c r="K118" s="3" t="str">
        <f t="shared" si="1"/>
        <v>pass</v>
      </c>
      <c r="L118" s="19" t="str">
        <f>IFERROR(IF(AND(MATCH(A118,Projection_classes,0),YEAR(current_date)=Projections!B118),"pass","fail"),"")</f>
        <v>fail</v>
      </c>
    </row>
    <row r="119" spans="1:12" x14ac:dyDescent="0.25">
      <c r="A119" s="64" t="s">
        <v>57</v>
      </c>
      <c r="B119" s="63">
        <v>2014</v>
      </c>
      <c r="C119" s="65">
        <v>11.848346157</v>
      </c>
      <c r="D119" s="65">
        <v>11.848346157</v>
      </c>
      <c r="E119" s="65">
        <v>11.848346157</v>
      </c>
      <c r="F119" s="61"/>
      <c r="G119" s="61"/>
      <c r="H119" s="61"/>
      <c r="I119" s="61">
        <v>-1.6754683426198791E-2</v>
      </c>
      <c r="J119" s="61">
        <v>6.7044285142412674E-2</v>
      </c>
      <c r="K119" s="3" t="str">
        <f t="shared" si="1"/>
        <v>pass</v>
      </c>
      <c r="L119" s="19" t="str">
        <f>IFERROR(IF(AND(MATCH(A119,Projection_classes,0),YEAR(current_date)=Projections!B119),"pass","fail"),"")</f>
        <v>fail</v>
      </c>
    </row>
    <row r="120" spans="1:12" x14ac:dyDescent="0.25">
      <c r="A120" s="64" t="s">
        <v>57</v>
      </c>
      <c r="B120" s="63">
        <v>2015</v>
      </c>
      <c r="C120" s="65">
        <v>22.925659425687929</v>
      </c>
      <c r="D120" s="65">
        <v>22.925659425687929</v>
      </c>
      <c r="E120" s="65">
        <v>22.925659425687929</v>
      </c>
      <c r="F120" s="61"/>
      <c r="G120" s="61"/>
      <c r="H120" s="61"/>
      <c r="I120" s="61">
        <v>-1.3229944620239079E-2</v>
      </c>
      <c r="J120" s="61">
        <v>6.9245491358009836E-2</v>
      </c>
      <c r="K120" s="3" t="str">
        <f t="shared" si="1"/>
        <v>pass</v>
      </c>
      <c r="L120" s="19" t="str">
        <f>IFERROR(IF(AND(MATCH(A120,Projection_classes,0),YEAR(current_date)=Projections!B120),"pass","fail"),"")</f>
        <v>fail</v>
      </c>
    </row>
    <row r="121" spans="1:12" x14ac:dyDescent="0.25">
      <c r="A121" s="64" t="s">
        <v>57</v>
      </c>
      <c r="B121" s="63">
        <v>2016</v>
      </c>
      <c r="C121" s="65">
        <v>27.114830153025562</v>
      </c>
      <c r="D121" s="65">
        <v>27.114830153025562</v>
      </c>
      <c r="E121" s="65">
        <v>27.114830153025562</v>
      </c>
      <c r="F121" s="61"/>
      <c r="G121" s="61"/>
      <c r="H121" s="61"/>
      <c r="I121" s="61">
        <v>-4.7554079317897457E-3</v>
      </c>
      <c r="J121" s="61">
        <v>6.9561772558719204E-2</v>
      </c>
      <c r="K121" s="3" t="str">
        <f t="shared" si="1"/>
        <v>pass</v>
      </c>
      <c r="L121" s="19" t="str">
        <f>IFERROR(IF(AND(MATCH(A121,Projection_classes,0),YEAR(current_date)=Projections!B121),"pass","fail"),"")</f>
        <v>fail</v>
      </c>
    </row>
    <row r="122" spans="1:12" x14ac:dyDescent="0.25">
      <c r="A122" s="64" t="s">
        <v>57</v>
      </c>
      <c r="B122" s="64">
        <v>2017</v>
      </c>
      <c r="C122" s="65">
        <v>38.059478510000012</v>
      </c>
      <c r="D122" s="65">
        <v>38.059478510000012</v>
      </c>
      <c r="E122" s="65">
        <v>38.059478510000012</v>
      </c>
      <c r="F122" s="61"/>
      <c r="G122" s="61"/>
      <c r="H122" s="61"/>
      <c r="I122" s="61">
        <v>-5.1204853976140052E-3</v>
      </c>
      <c r="J122" s="61">
        <v>7.9010007659150894E-2</v>
      </c>
      <c r="K122" s="3" t="str">
        <f t="shared" si="1"/>
        <v>pass</v>
      </c>
      <c r="L122" s="19" t="str">
        <f>IFERROR(IF(AND(MATCH(A122,Projection_classes,0),YEAR(current_date)=Projections!B122),"pass","fail"),"")</f>
        <v>fail</v>
      </c>
    </row>
    <row r="123" spans="1:12" x14ac:dyDescent="0.25">
      <c r="A123" s="64" t="s">
        <v>57</v>
      </c>
      <c r="B123" s="64">
        <v>2018</v>
      </c>
      <c r="C123" s="65">
        <v>52.866291040000007</v>
      </c>
      <c r="D123" s="65">
        <v>52.866291040000007</v>
      </c>
      <c r="E123" s="65">
        <v>52.866291040000007</v>
      </c>
      <c r="F123" s="61"/>
      <c r="G123" s="61"/>
      <c r="H123" s="61"/>
      <c r="I123" s="61">
        <v>1.249709936935472E-2</v>
      </c>
      <c r="J123" s="61">
        <v>7.8738372326652151E-2</v>
      </c>
      <c r="K123" s="3" t="str">
        <f t="shared" si="1"/>
        <v>pass</v>
      </c>
      <c r="L123" s="19" t="str">
        <f>IFERROR(IF(AND(MATCH(A123,Projection_classes,0),YEAR(current_date)=Projections!B123),"pass","fail"),"")</f>
        <v>fail</v>
      </c>
    </row>
    <row r="124" spans="1:12" x14ac:dyDescent="0.25">
      <c r="A124" s="64" t="s">
        <v>57</v>
      </c>
      <c r="B124" s="64">
        <v>2019</v>
      </c>
      <c r="C124" s="65">
        <v>65.409704279999971</v>
      </c>
      <c r="D124" s="65">
        <v>65.409704279999971</v>
      </c>
      <c r="E124" s="65">
        <v>65.409704279999971</v>
      </c>
      <c r="F124" s="61"/>
      <c r="G124" s="61"/>
      <c r="H124" s="61"/>
      <c r="I124" s="61">
        <v>7.0366493014718756E-2</v>
      </c>
      <c r="J124" s="61">
        <v>7.5645595666574472E-2</v>
      </c>
      <c r="K124" s="3" t="str">
        <f t="shared" si="1"/>
        <v>pass</v>
      </c>
      <c r="L124" s="19" t="str">
        <f>IFERROR(IF(AND(MATCH(A124,Projection_classes,0),YEAR(current_date)=Projections!B124),"pass","fail"),"")</f>
        <v>fail</v>
      </c>
    </row>
    <row r="125" spans="1:12" x14ac:dyDescent="0.25">
      <c r="A125" s="64" t="s">
        <v>57</v>
      </c>
      <c r="B125" s="64">
        <v>2020</v>
      </c>
      <c r="C125" s="65">
        <v>51.512735443921237</v>
      </c>
      <c r="D125" s="65">
        <v>51.512735443921237</v>
      </c>
      <c r="E125" s="65">
        <v>51.512735443921237</v>
      </c>
      <c r="F125" s="61"/>
      <c r="G125" s="61"/>
      <c r="H125" s="61"/>
      <c r="I125" s="61">
        <v>0.111850969102957</v>
      </c>
      <c r="J125" s="61">
        <v>5.5985512880836641E-2</v>
      </c>
      <c r="K125" s="3" t="str">
        <f t="shared" si="1"/>
        <v>pass</v>
      </c>
      <c r="L125" s="19" t="str">
        <f>IFERROR(IF(AND(MATCH(A125,Projection_classes,0),YEAR(current_date)=Projections!B125),"pass","fail"),"")</f>
        <v>fail</v>
      </c>
    </row>
    <row r="126" spans="1:12" x14ac:dyDescent="0.25">
      <c r="A126" s="64" t="s">
        <v>57</v>
      </c>
      <c r="B126" s="64">
        <v>2021</v>
      </c>
      <c r="C126" s="65">
        <v>67.185464163293176</v>
      </c>
      <c r="D126" s="65">
        <v>67.185464163293176</v>
      </c>
      <c r="E126" s="65">
        <v>67.185464163293176</v>
      </c>
      <c r="F126" s="61"/>
      <c r="G126" s="61"/>
      <c r="H126" s="61"/>
      <c r="I126" s="61">
        <v>0.1056551219451876</v>
      </c>
      <c r="J126" s="61">
        <v>8.869785475996772E-2</v>
      </c>
      <c r="K126" s="3" t="str">
        <f t="shared" si="1"/>
        <v>pass</v>
      </c>
      <c r="L126" s="19" t="str">
        <f>IFERROR(IF(AND(MATCH(A126,Projection_classes,0),YEAR(current_date)=Projections!B126),"pass","fail"),"")</f>
        <v>fail</v>
      </c>
    </row>
    <row r="127" spans="1:12" x14ac:dyDescent="0.25">
      <c r="A127" s="64" t="s">
        <v>57</v>
      </c>
      <c r="B127" s="64">
        <v>2022</v>
      </c>
      <c r="C127" s="65">
        <v>107.2378159593211</v>
      </c>
      <c r="D127" s="65">
        <v>107.2378159593211</v>
      </c>
      <c r="E127" s="65">
        <v>107.2378159593211</v>
      </c>
      <c r="F127" s="61"/>
      <c r="G127" s="61"/>
      <c r="H127" s="61"/>
      <c r="I127" s="61">
        <v>8.6224395372696661E-2</v>
      </c>
      <c r="J127" s="61">
        <v>0.1022222090505058</v>
      </c>
      <c r="K127" s="3" t="str">
        <f t="shared" si="1"/>
        <v>pass</v>
      </c>
      <c r="L127" s="19" t="str">
        <f>IFERROR(IF(AND(MATCH(A127,Projection_classes,0),YEAR(current_date)=Projections!B127),"pass","fail"),"")</f>
        <v>fail</v>
      </c>
    </row>
    <row r="128" spans="1:12" x14ac:dyDescent="0.25">
      <c r="A128" s="64" t="s">
        <v>57</v>
      </c>
      <c r="B128" s="64">
        <v>2023</v>
      </c>
      <c r="C128" s="65">
        <v>118.4022212870594</v>
      </c>
      <c r="D128" s="65">
        <v>118.4022212870594</v>
      </c>
      <c r="E128" s="65">
        <v>118.4022212870594</v>
      </c>
      <c r="F128" s="61"/>
      <c r="G128" s="61"/>
      <c r="H128" s="61"/>
      <c r="I128" s="61">
        <v>7.2207110613637049E-2</v>
      </c>
      <c r="J128" s="61">
        <v>7.5249495485309126E-2</v>
      </c>
      <c r="K128" s="3" t="str">
        <f t="shared" si="1"/>
        <v>pass</v>
      </c>
      <c r="L128" s="19" t="str">
        <f>IFERROR(IF(AND(MATCH(A128,Projection_classes,0),YEAR(current_date)=Projections!B128),"pass","fail"),"")</f>
        <v>fail</v>
      </c>
    </row>
    <row r="129" spans="1:12" x14ac:dyDescent="0.25">
      <c r="A129" s="64" t="s">
        <v>57</v>
      </c>
      <c r="B129" s="64">
        <v>2024</v>
      </c>
      <c r="C129" s="65">
        <v>99.062282364791614</v>
      </c>
      <c r="D129" s="65">
        <v>99.062282364791614</v>
      </c>
      <c r="E129" s="65">
        <v>99.062282364791614</v>
      </c>
      <c r="F129" s="61"/>
      <c r="G129" s="61"/>
      <c r="H129" s="61"/>
      <c r="I129" s="61">
        <v>7.7167475238996586E-2</v>
      </c>
      <c r="J129" s="61">
        <v>8.4594525980512758E-2</v>
      </c>
      <c r="K129" s="3" t="str">
        <f t="shared" si="1"/>
        <v>pass</v>
      </c>
      <c r="L129" s="19" t="str">
        <f>IFERROR(IF(AND(MATCH(A129,Projection_classes,0),YEAR(current_date)=Projections!B129),"pass","fail"),"")</f>
        <v>fail</v>
      </c>
    </row>
    <row r="130" spans="1:12" x14ac:dyDescent="0.25">
      <c r="A130" s="64" t="s">
        <v>57</v>
      </c>
      <c r="B130" s="64">
        <v>2025</v>
      </c>
      <c r="C130" s="65">
        <v>32.376575287831663</v>
      </c>
      <c r="D130" s="65">
        <v>32.376575287831663</v>
      </c>
      <c r="E130" s="65">
        <v>32.376575287831663</v>
      </c>
      <c r="F130" s="61"/>
      <c r="G130" s="61"/>
      <c r="H130" s="61"/>
      <c r="I130" s="61"/>
      <c r="J130" s="61"/>
      <c r="K130" s="3" t="str">
        <f t="shared" ref="K130:K193" si="2">IF(OR(B130&lt;$N$1,B130&gt;$P$1),"fail","pass")</f>
        <v>pass</v>
      </c>
      <c r="L130" s="19" t="str">
        <f>IFERROR(IF(AND(MATCH(A130,Projection_classes,0),YEAR(current_date)=Projections!B130),"pass","fail"),"")</f>
        <v>fail</v>
      </c>
    </row>
    <row r="131" spans="1:12" x14ac:dyDescent="0.25">
      <c r="A131" s="64" t="s">
        <v>57</v>
      </c>
      <c r="B131" s="64">
        <v>2026</v>
      </c>
      <c r="C131" s="65">
        <v>136.80361200654849</v>
      </c>
      <c r="D131" s="65">
        <v>0</v>
      </c>
      <c r="E131" s="65">
        <v>0</v>
      </c>
      <c r="F131" s="61"/>
      <c r="G131" s="61"/>
      <c r="H131" s="61"/>
      <c r="I131" s="61"/>
      <c r="J131" s="61"/>
      <c r="K131" s="3" t="str">
        <f t="shared" si="2"/>
        <v>fail</v>
      </c>
      <c r="L131" s="19" t="str">
        <f>IFERROR(IF(AND(MATCH(A131,Projection_classes,0),YEAR(current_date)=Projections!B131),"pass","fail"),"")</f>
        <v>pass</v>
      </c>
    </row>
    <row r="132" spans="1:12" x14ac:dyDescent="0.25">
      <c r="A132" s="64" t="s">
        <v>64</v>
      </c>
      <c r="B132" s="64">
        <v>2001</v>
      </c>
      <c r="C132" s="65">
        <v>0</v>
      </c>
      <c r="D132" s="65">
        <v>0</v>
      </c>
      <c r="E132" s="65">
        <v>0</v>
      </c>
      <c r="F132" s="61"/>
      <c r="G132" s="61"/>
      <c r="H132" s="61"/>
      <c r="I132" s="61"/>
      <c r="J132" s="61"/>
      <c r="K132" s="3" t="str">
        <f t="shared" si="2"/>
        <v>pass</v>
      </c>
      <c r="L132" s="19" t="str">
        <f>IFERROR(IF(AND(MATCH(A132,Projection_classes,0),YEAR(current_date)=Projections!B132),"pass","fail"),"")</f>
        <v>fail</v>
      </c>
    </row>
    <row r="133" spans="1:12" x14ac:dyDescent="0.25">
      <c r="A133" s="64" t="s">
        <v>64</v>
      </c>
      <c r="B133" s="64">
        <v>2002</v>
      </c>
      <c r="C133" s="65">
        <v>0.42720068999999999</v>
      </c>
      <c r="D133" s="65">
        <v>0.42720068999999999</v>
      </c>
      <c r="E133" s="65">
        <v>0.42720068999999999</v>
      </c>
      <c r="F133" s="61"/>
      <c r="G133" s="61"/>
      <c r="H133" s="61"/>
      <c r="I133" s="61"/>
      <c r="J133" s="61"/>
      <c r="K133" s="3" t="str">
        <f t="shared" si="2"/>
        <v>pass</v>
      </c>
      <c r="L133" s="19" t="str">
        <f>IFERROR(IF(AND(MATCH(A133,Projection_classes,0),YEAR(current_date)=Projections!B133),"pass","fail"),"")</f>
        <v>fail</v>
      </c>
    </row>
    <row r="134" spans="1:12" x14ac:dyDescent="0.25">
      <c r="A134" s="64" t="s">
        <v>64</v>
      </c>
      <c r="B134" s="64">
        <v>2003</v>
      </c>
      <c r="C134" s="65">
        <v>31.757359539999999</v>
      </c>
      <c r="D134" s="65">
        <v>31.757359539999999</v>
      </c>
      <c r="E134" s="65">
        <v>31.757359539999999</v>
      </c>
      <c r="F134" s="61"/>
      <c r="G134" s="61"/>
      <c r="H134" s="61"/>
      <c r="I134" s="61"/>
      <c r="J134" s="61"/>
      <c r="K134" s="3" t="str">
        <f t="shared" si="2"/>
        <v>pass</v>
      </c>
      <c r="L134" s="19" t="str">
        <f>IFERROR(IF(AND(MATCH(A134,Projection_classes,0),YEAR(current_date)=Projections!B134),"pass","fail"),"")</f>
        <v>fail</v>
      </c>
    </row>
    <row r="135" spans="1:12" x14ac:dyDescent="0.25">
      <c r="A135" s="64" t="s">
        <v>64</v>
      </c>
      <c r="B135" s="64">
        <v>2004</v>
      </c>
      <c r="C135" s="65">
        <v>55.531213530000038</v>
      </c>
      <c r="D135" s="65">
        <v>55.531213530000038</v>
      </c>
      <c r="E135" s="65">
        <v>55.531213530000038</v>
      </c>
      <c r="F135" s="61"/>
      <c r="G135" s="61"/>
      <c r="H135" s="61"/>
      <c r="I135" s="61"/>
      <c r="J135" s="61"/>
      <c r="K135" s="3" t="str">
        <f t="shared" si="2"/>
        <v>pass</v>
      </c>
      <c r="L135" s="19" t="str">
        <f>IFERROR(IF(AND(MATCH(A135,Projection_classes,0),YEAR(current_date)=Projections!B135),"pass","fail"),"")</f>
        <v>fail</v>
      </c>
    </row>
    <row r="136" spans="1:12" x14ac:dyDescent="0.25">
      <c r="A136" s="64" t="s">
        <v>64</v>
      </c>
      <c r="B136" s="64">
        <v>2005</v>
      </c>
      <c r="C136" s="65">
        <v>60.404109920000003</v>
      </c>
      <c r="D136" s="65">
        <v>60.404109920000003</v>
      </c>
      <c r="E136" s="65">
        <v>60.404109920000003</v>
      </c>
      <c r="F136" s="61"/>
      <c r="G136" s="61"/>
      <c r="H136" s="61"/>
      <c r="I136" s="61"/>
      <c r="J136" s="61"/>
      <c r="K136" s="3" t="str">
        <f t="shared" si="2"/>
        <v>pass</v>
      </c>
      <c r="L136" s="19" t="str">
        <f>IFERROR(IF(AND(MATCH(A136,Projection_classes,0),YEAR(current_date)=Projections!B136),"pass","fail"),"")</f>
        <v>fail</v>
      </c>
    </row>
    <row r="137" spans="1:12" x14ac:dyDescent="0.25">
      <c r="A137" s="64" t="s">
        <v>64</v>
      </c>
      <c r="B137" s="64">
        <v>2006</v>
      </c>
      <c r="C137" s="65">
        <v>64.834785080000003</v>
      </c>
      <c r="D137" s="65">
        <v>64.834785080000003</v>
      </c>
      <c r="E137" s="65">
        <v>64.834785080000003</v>
      </c>
      <c r="F137" s="61"/>
      <c r="G137" s="61"/>
      <c r="H137" s="61"/>
      <c r="I137" s="61"/>
      <c r="J137" s="61"/>
      <c r="K137" s="3" t="str">
        <f t="shared" si="2"/>
        <v>pass</v>
      </c>
      <c r="L137" s="19" t="str">
        <f>IFERROR(IF(AND(MATCH(A137,Projection_classes,0),YEAR(current_date)=Projections!B137),"pass","fail"),"")</f>
        <v>fail</v>
      </c>
    </row>
    <row r="138" spans="1:12" x14ac:dyDescent="0.25">
      <c r="A138" s="64" t="s">
        <v>64</v>
      </c>
      <c r="B138" s="64">
        <v>2007</v>
      </c>
      <c r="C138" s="65">
        <v>63.167442629999996</v>
      </c>
      <c r="D138" s="65">
        <v>63.167442629999996</v>
      </c>
      <c r="E138" s="65">
        <v>63.167442629999996</v>
      </c>
      <c r="F138" s="61"/>
      <c r="G138" s="61"/>
      <c r="H138" s="61"/>
      <c r="I138" s="61">
        <v>-9.0413677419889371E-3</v>
      </c>
      <c r="J138" s="61">
        <v>8.7733472005159241E-2</v>
      </c>
      <c r="K138" s="3" t="str">
        <f t="shared" si="2"/>
        <v>pass</v>
      </c>
      <c r="L138" s="19" t="str">
        <f>IFERROR(IF(AND(MATCH(A138,Projection_classes,0),YEAR(current_date)=Projections!B138),"pass","fail"),"")</f>
        <v>fail</v>
      </c>
    </row>
    <row r="139" spans="1:12" x14ac:dyDescent="0.25">
      <c r="A139" s="64" t="s">
        <v>64</v>
      </c>
      <c r="B139" s="64">
        <v>2008</v>
      </c>
      <c r="C139" s="65">
        <v>56.212327749999979</v>
      </c>
      <c r="D139" s="65">
        <v>56.212327749999979</v>
      </c>
      <c r="E139" s="65">
        <v>56.212327749999979</v>
      </c>
      <c r="F139" s="61"/>
      <c r="G139" s="61"/>
      <c r="H139" s="61"/>
      <c r="I139" s="61">
        <v>-5.0167356169113941E-2</v>
      </c>
      <c r="J139" s="61">
        <v>8.7236473497871003E-2</v>
      </c>
      <c r="K139" s="3" t="str">
        <f t="shared" si="2"/>
        <v>pass</v>
      </c>
      <c r="L139" s="19" t="str">
        <f>IFERROR(IF(AND(MATCH(A139,Projection_classes,0),YEAR(current_date)=Projections!B139),"pass","fail"),"")</f>
        <v>fail</v>
      </c>
    </row>
    <row r="140" spans="1:12" x14ac:dyDescent="0.25">
      <c r="A140" s="64" t="s">
        <v>64</v>
      </c>
      <c r="B140" s="64">
        <v>2009</v>
      </c>
      <c r="C140" s="65">
        <v>42.135833439019969</v>
      </c>
      <c r="D140" s="65">
        <v>42.135833439019969</v>
      </c>
      <c r="E140" s="65">
        <v>42.135833439019969</v>
      </c>
      <c r="F140" s="61"/>
      <c r="G140" s="61"/>
      <c r="H140" s="61"/>
      <c r="I140" s="61">
        <v>-2.091060796389688E-2</v>
      </c>
      <c r="J140" s="61">
        <v>7.5952757846034391E-2</v>
      </c>
      <c r="K140" s="3" t="str">
        <f t="shared" si="2"/>
        <v>pass</v>
      </c>
      <c r="L140" s="19" t="str">
        <f>IFERROR(IF(AND(MATCH(A140,Projection_classes,0),YEAR(current_date)=Projections!B140),"pass","fail"),"")</f>
        <v>fail</v>
      </c>
    </row>
    <row r="141" spans="1:12" x14ac:dyDescent="0.25">
      <c r="A141" s="64" t="s">
        <v>64</v>
      </c>
      <c r="B141" s="64">
        <v>2010</v>
      </c>
      <c r="C141" s="65">
        <v>32.887353559399997</v>
      </c>
      <c r="D141" s="65">
        <v>32.887353559399997</v>
      </c>
      <c r="E141" s="65">
        <v>32.887353559399997</v>
      </c>
      <c r="F141" s="61"/>
      <c r="G141" s="61"/>
      <c r="H141" s="61"/>
      <c r="I141" s="61">
        <v>-2.9274553278735288E-4</v>
      </c>
      <c r="J141" s="61">
        <v>7.191205066491646E-2</v>
      </c>
      <c r="K141" s="3" t="str">
        <f t="shared" si="2"/>
        <v>pass</v>
      </c>
      <c r="L141" s="19" t="str">
        <f>IFERROR(IF(AND(MATCH(A141,Projection_classes,0),YEAR(current_date)=Projections!B141),"pass","fail"),"")</f>
        <v>fail</v>
      </c>
    </row>
    <row r="142" spans="1:12" x14ac:dyDescent="0.25">
      <c r="A142" s="64" t="s">
        <v>64</v>
      </c>
      <c r="B142" s="64">
        <v>2011</v>
      </c>
      <c r="C142" s="65">
        <v>35.019956429999979</v>
      </c>
      <c r="D142" s="65">
        <v>35.019956429999979</v>
      </c>
      <c r="E142" s="65">
        <v>35.019956429999979</v>
      </c>
      <c r="F142" s="61"/>
      <c r="G142" s="61"/>
      <c r="H142" s="61"/>
      <c r="I142" s="61">
        <v>-5.8227880425146816E-3</v>
      </c>
      <c r="J142" s="61">
        <v>7.5227489027520855E-2</v>
      </c>
      <c r="K142" s="3" t="str">
        <f t="shared" si="2"/>
        <v>pass</v>
      </c>
      <c r="L142" s="19" t="str">
        <f>IFERROR(IF(AND(MATCH(A142,Projection_classes,0),YEAR(current_date)=Projections!B142),"pass","fail"),"")</f>
        <v>fail</v>
      </c>
    </row>
    <row r="143" spans="1:12" x14ac:dyDescent="0.25">
      <c r="A143" s="64" t="s">
        <v>64</v>
      </c>
      <c r="B143" s="64">
        <v>2012</v>
      </c>
      <c r="C143" s="65">
        <v>38.221042620000013</v>
      </c>
      <c r="D143" s="65">
        <v>38.221042620000013</v>
      </c>
      <c r="E143" s="65">
        <v>38.221042620000013</v>
      </c>
      <c r="F143" s="61"/>
      <c r="G143" s="61"/>
      <c r="H143" s="61"/>
      <c r="I143" s="61">
        <v>-2.1910282720563061E-3</v>
      </c>
      <c r="J143" s="61">
        <v>7.400698281269702E-2</v>
      </c>
      <c r="K143" s="3" t="str">
        <f t="shared" si="2"/>
        <v>pass</v>
      </c>
      <c r="L143" s="19" t="str">
        <f>IFERROR(IF(AND(MATCH(A143,Projection_classes,0),YEAR(current_date)=Projections!B143),"pass","fail"),"")</f>
        <v>fail</v>
      </c>
    </row>
    <row r="144" spans="1:12" x14ac:dyDescent="0.25">
      <c r="A144" s="64" t="s">
        <v>64</v>
      </c>
      <c r="B144" s="64">
        <v>2013</v>
      </c>
      <c r="C144" s="65">
        <v>40.264559509999998</v>
      </c>
      <c r="D144" s="65">
        <v>40.264559509999998</v>
      </c>
      <c r="E144" s="65">
        <v>40.264559509999998</v>
      </c>
      <c r="F144" s="61"/>
      <c r="G144" s="61"/>
      <c r="H144" s="61"/>
      <c r="I144" s="61">
        <v>-4.9192178929690078E-3</v>
      </c>
      <c r="J144" s="61">
        <v>6.932203504876866E-2</v>
      </c>
      <c r="K144" s="3" t="str">
        <f t="shared" si="2"/>
        <v>pass</v>
      </c>
      <c r="L144" s="19" t="str">
        <f>IFERROR(IF(AND(MATCH(A144,Projection_classes,0),YEAR(current_date)=Projections!B144),"pass","fail"),"")</f>
        <v>fail</v>
      </c>
    </row>
    <row r="145" spans="1:12" x14ac:dyDescent="0.25">
      <c r="A145" s="64" t="s">
        <v>64</v>
      </c>
      <c r="B145" s="64">
        <v>2014</v>
      </c>
      <c r="C145" s="65">
        <v>41.578853369999997</v>
      </c>
      <c r="D145" s="65">
        <v>41.578853369999997</v>
      </c>
      <c r="E145" s="65">
        <v>41.578853369999997</v>
      </c>
      <c r="F145" s="61"/>
      <c r="G145" s="61"/>
      <c r="H145" s="61"/>
      <c r="I145" s="61">
        <v>-1.6754683426198791E-2</v>
      </c>
      <c r="J145" s="61">
        <v>6.7044285142412674E-2</v>
      </c>
      <c r="K145" s="3" t="str">
        <f t="shared" si="2"/>
        <v>pass</v>
      </c>
      <c r="L145" s="19" t="str">
        <f>IFERROR(IF(AND(MATCH(A145,Projection_classes,0),YEAR(current_date)=Projections!B145),"pass","fail"),"")</f>
        <v>fail</v>
      </c>
    </row>
    <row r="146" spans="1:12" x14ac:dyDescent="0.25">
      <c r="A146" s="64" t="s">
        <v>64</v>
      </c>
      <c r="B146" s="64">
        <v>2015</v>
      </c>
      <c r="C146" s="65">
        <v>43.155825610000022</v>
      </c>
      <c r="D146" s="65">
        <v>43.155825610000022</v>
      </c>
      <c r="E146" s="65">
        <v>43.155825610000022</v>
      </c>
      <c r="F146" s="61"/>
      <c r="G146" s="61"/>
      <c r="H146" s="61"/>
      <c r="I146" s="61">
        <v>-1.3229944620239079E-2</v>
      </c>
      <c r="J146" s="61">
        <v>6.9245491358009836E-2</v>
      </c>
      <c r="K146" s="3" t="str">
        <f t="shared" si="2"/>
        <v>pass</v>
      </c>
      <c r="L146" s="19" t="str">
        <f>IFERROR(IF(AND(MATCH(A146,Projection_classes,0),YEAR(current_date)=Projections!B146),"pass","fail"),"")</f>
        <v>fail</v>
      </c>
    </row>
    <row r="147" spans="1:12" x14ac:dyDescent="0.25">
      <c r="A147" s="64" t="s">
        <v>64</v>
      </c>
      <c r="B147" s="64">
        <v>2016</v>
      </c>
      <c r="C147" s="65">
        <v>44.706104310000001</v>
      </c>
      <c r="D147" s="65">
        <v>44.706104310000001</v>
      </c>
      <c r="E147" s="65">
        <v>44.706104310000001</v>
      </c>
      <c r="F147" s="61"/>
      <c r="G147" s="61"/>
      <c r="H147" s="61"/>
      <c r="I147" s="61">
        <v>-4.7554079317897457E-3</v>
      </c>
      <c r="J147" s="61">
        <v>6.9561772558719204E-2</v>
      </c>
      <c r="K147" s="3" t="str">
        <f t="shared" si="2"/>
        <v>pass</v>
      </c>
      <c r="L147" s="19" t="str">
        <f>IFERROR(IF(AND(MATCH(A147,Projection_classes,0),YEAR(current_date)=Projections!B147),"pass","fail"),"")</f>
        <v>fail</v>
      </c>
    </row>
    <row r="148" spans="1:12" x14ac:dyDescent="0.25">
      <c r="A148" s="64" t="s">
        <v>64</v>
      </c>
      <c r="B148" s="64">
        <v>2017</v>
      </c>
      <c r="C148" s="65">
        <v>45.116550259999983</v>
      </c>
      <c r="D148" s="65">
        <v>45.116550259999983</v>
      </c>
      <c r="E148" s="65">
        <v>45.116550259999983</v>
      </c>
      <c r="F148" s="61"/>
      <c r="G148" s="61"/>
      <c r="H148" s="61"/>
      <c r="I148" s="61">
        <v>-5.1204853976140052E-3</v>
      </c>
      <c r="J148" s="61">
        <v>7.9010007659150894E-2</v>
      </c>
      <c r="K148" s="3" t="str">
        <f t="shared" si="2"/>
        <v>pass</v>
      </c>
      <c r="L148" s="19" t="str">
        <f>IFERROR(IF(AND(MATCH(A148,Projection_classes,0),YEAR(current_date)=Projections!B148),"pass","fail"),"")</f>
        <v>fail</v>
      </c>
    </row>
    <row r="149" spans="1:12" x14ac:dyDescent="0.25">
      <c r="A149" s="64" t="s">
        <v>64</v>
      </c>
      <c r="B149" s="64">
        <v>2018</v>
      </c>
      <c r="C149" s="65">
        <v>45.596924670000021</v>
      </c>
      <c r="D149" s="65">
        <v>45.596924670000021</v>
      </c>
      <c r="E149" s="65">
        <v>45.596924670000021</v>
      </c>
      <c r="F149" s="61"/>
      <c r="G149" s="61"/>
      <c r="H149" s="61"/>
      <c r="I149" s="61">
        <v>1.249709936935472E-2</v>
      </c>
      <c r="J149" s="61">
        <v>7.8738372326652151E-2</v>
      </c>
      <c r="K149" s="3" t="str">
        <f t="shared" si="2"/>
        <v>pass</v>
      </c>
      <c r="L149" s="19" t="str">
        <f>IFERROR(IF(AND(MATCH(A149,Projection_classes,0),YEAR(current_date)=Projections!B149),"pass","fail"),"")</f>
        <v>fail</v>
      </c>
    </row>
    <row r="150" spans="1:12" x14ac:dyDescent="0.25">
      <c r="A150" s="64" t="s">
        <v>64</v>
      </c>
      <c r="B150" s="64">
        <v>2019</v>
      </c>
      <c r="C150" s="65">
        <v>49.877377550000027</v>
      </c>
      <c r="D150" s="65">
        <v>49.877377550000027</v>
      </c>
      <c r="E150" s="65">
        <v>49.877377550000027</v>
      </c>
      <c r="F150" s="61"/>
      <c r="G150" s="61"/>
      <c r="H150" s="61"/>
      <c r="I150" s="61">
        <v>7.0366493014718756E-2</v>
      </c>
      <c r="J150" s="61">
        <v>7.5645595666574472E-2</v>
      </c>
      <c r="K150" s="3" t="str">
        <f t="shared" si="2"/>
        <v>pass</v>
      </c>
      <c r="L150" s="19" t="str">
        <f>IFERROR(IF(AND(MATCH(A150,Projection_classes,0),YEAR(current_date)=Projections!B150),"pass","fail"),"")</f>
        <v>fail</v>
      </c>
    </row>
    <row r="151" spans="1:12" x14ac:dyDescent="0.25">
      <c r="A151" s="64" t="s">
        <v>64</v>
      </c>
      <c r="B151" s="64">
        <v>2020</v>
      </c>
      <c r="C151" s="65">
        <v>55.221372868605087</v>
      </c>
      <c r="D151" s="65">
        <v>55.221372868605087</v>
      </c>
      <c r="E151" s="65">
        <v>55.221372868605087</v>
      </c>
      <c r="F151" s="61"/>
      <c r="G151" s="61"/>
      <c r="H151" s="61"/>
      <c r="I151" s="61">
        <v>0.111850969102957</v>
      </c>
      <c r="J151" s="61">
        <v>5.5985512880836641E-2</v>
      </c>
      <c r="K151" s="3" t="str">
        <f t="shared" si="2"/>
        <v>pass</v>
      </c>
      <c r="L151" s="19" t="str">
        <f>IFERROR(IF(AND(MATCH(A151,Projection_classes,0),YEAR(current_date)=Projections!B151),"pass","fail"),"")</f>
        <v>fail</v>
      </c>
    </row>
    <row r="152" spans="1:12" x14ac:dyDescent="0.25">
      <c r="A152" s="64" t="s">
        <v>64</v>
      </c>
      <c r="B152" s="64">
        <v>2021</v>
      </c>
      <c r="C152" s="65">
        <v>63.035239773359741</v>
      </c>
      <c r="D152" s="65">
        <v>63.035239773359741</v>
      </c>
      <c r="E152" s="65">
        <v>63.035239773359741</v>
      </c>
      <c r="F152" s="61"/>
      <c r="G152" s="61"/>
      <c r="H152" s="61"/>
      <c r="I152" s="61">
        <v>0.1056551219451876</v>
      </c>
      <c r="J152" s="61">
        <v>8.869785475996772E-2</v>
      </c>
      <c r="K152" s="3" t="str">
        <f t="shared" si="2"/>
        <v>pass</v>
      </c>
      <c r="L152" s="19" t="str">
        <f>IFERROR(IF(AND(MATCH(A152,Projection_classes,0),YEAR(current_date)=Projections!B152),"pass","fail"),"")</f>
        <v>fail</v>
      </c>
    </row>
    <row r="153" spans="1:12" x14ac:dyDescent="0.25">
      <c r="A153" s="64" t="s">
        <v>64</v>
      </c>
      <c r="B153" s="64">
        <v>2022</v>
      </c>
      <c r="C153" s="65">
        <v>68.043034475015361</v>
      </c>
      <c r="D153" s="65">
        <v>68.043034475015361</v>
      </c>
      <c r="E153" s="65">
        <v>68.043034475015361</v>
      </c>
      <c r="F153" s="61"/>
      <c r="G153" s="61"/>
      <c r="H153" s="61"/>
      <c r="I153" s="61">
        <v>8.6224395372696661E-2</v>
      </c>
      <c r="J153" s="61">
        <v>0.1022222090505058</v>
      </c>
      <c r="K153" s="3" t="str">
        <f t="shared" si="2"/>
        <v>pass</v>
      </c>
      <c r="L153" s="19" t="str">
        <f>IFERROR(IF(AND(MATCH(A153,Projection_classes,0),YEAR(current_date)=Projections!B153),"pass","fail"),"")</f>
        <v>fail</v>
      </c>
    </row>
    <row r="154" spans="1:12" x14ac:dyDescent="0.25">
      <c r="A154" s="64" t="s">
        <v>64</v>
      </c>
      <c r="B154" s="64">
        <v>2023</v>
      </c>
      <c r="C154" s="65">
        <v>52.181441876987257</v>
      </c>
      <c r="D154" s="65">
        <v>52.181441876987257</v>
      </c>
      <c r="E154" s="65">
        <v>52.181441876987257</v>
      </c>
      <c r="F154" s="61"/>
      <c r="G154" s="61"/>
      <c r="H154" s="61"/>
      <c r="I154" s="61">
        <v>7.2207110613637049E-2</v>
      </c>
      <c r="J154" s="61">
        <v>7.5249495485309126E-2</v>
      </c>
      <c r="K154" s="3" t="str">
        <f t="shared" si="2"/>
        <v>pass</v>
      </c>
      <c r="L154" s="19" t="str">
        <f>IFERROR(IF(AND(MATCH(A154,Projection_classes,0),YEAR(current_date)=Projections!B154),"pass","fail"),"")</f>
        <v>fail</v>
      </c>
    </row>
    <row r="155" spans="1:12" x14ac:dyDescent="0.25">
      <c r="A155" s="64" t="s">
        <v>64</v>
      </c>
      <c r="B155" s="64">
        <v>2024</v>
      </c>
      <c r="C155" s="65">
        <v>40.161230409999988</v>
      </c>
      <c r="D155" s="65">
        <v>40.161230409999988</v>
      </c>
      <c r="E155" s="65">
        <v>40.161230409999988</v>
      </c>
      <c r="F155" s="61"/>
      <c r="G155" s="61"/>
      <c r="H155" s="61"/>
      <c r="I155" s="61">
        <v>7.7167475238996586E-2</v>
      </c>
      <c r="J155" s="61">
        <v>8.4594525980512758E-2</v>
      </c>
      <c r="K155" s="3" t="str">
        <f t="shared" si="2"/>
        <v>pass</v>
      </c>
      <c r="L155" s="19" t="str">
        <f>IFERROR(IF(AND(MATCH(A155,Projection_classes,0),YEAR(current_date)=Projections!B155),"pass","fail"),"")</f>
        <v>fail</v>
      </c>
    </row>
    <row r="156" spans="1:12" x14ac:dyDescent="0.25">
      <c r="A156" s="64" t="s">
        <v>64</v>
      </c>
      <c r="B156" s="64">
        <v>2025</v>
      </c>
      <c r="C156" s="65">
        <v>12.886728829999999</v>
      </c>
      <c r="D156" s="65">
        <v>12.886728829999999</v>
      </c>
      <c r="E156" s="65">
        <v>12.886728829999999</v>
      </c>
      <c r="F156" s="61"/>
      <c r="G156" s="61"/>
      <c r="H156" s="61"/>
      <c r="I156" s="61"/>
      <c r="J156" s="61"/>
      <c r="K156" s="3" t="str">
        <f t="shared" si="2"/>
        <v>pass</v>
      </c>
      <c r="L156" s="19" t="str">
        <f>IFERROR(IF(AND(MATCH(A156,Projection_classes,0),YEAR(current_date)=Projections!B156),"pass","fail"),"")</f>
        <v>fail</v>
      </c>
    </row>
    <row r="157" spans="1:12" x14ac:dyDescent="0.25">
      <c r="A157" s="64" t="s">
        <v>64</v>
      </c>
      <c r="B157" s="64">
        <v>2026</v>
      </c>
      <c r="C157" s="65">
        <v>30.393500341245641</v>
      </c>
      <c r="D157" s="65">
        <v>0</v>
      </c>
      <c r="E157" s="65">
        <v>0</v>
      </c>
      <c r="F157" s="61"/>
      <c r="G157" s="61"/>
      <c r="H157" s="61"/>
      <c r="I157" s="61"/>
      <c r="J157" s="61"/>
      <c r="K157" s="3" t="str">
        <f t="shared" si="2"/>
        <v>fail</v>
      </c>
      <c r="L157" s="19" t="str">
        <f>IFERROR(IF(AND(MATCH(A157,Projection_classes,0),YEAR(current_date)=Projections!B157),"pass","fail"),"")</f>
        <v>pass</v>
      </c>
    </row>
    <row r="158" spans="1:12" x14ac:dyDescent="0.25">
      <c r="A158" s="64" t="s">
        <v>54</v>
      </c>
      <c r="B158" s="64">
        <v>2001</v>
      </c>
      <c r="C158" s="65">
        <v>10.90974786</v>
      </c>
      <c r="D158" s="65">
        <v>10.90974786</v>
      </c>
      <c r="E158" s="65">
        <v>10.90974786</v>
      </c>
      <c r="F158" s="61"/>
      <c r="G158" s="61"/>
      <c r="H158" s="61"/>
      <c r="I158" s="61"/>
      <c r="J158" s="61"/>
      <c r="K158" s="3" t="str">
        <f t="shared" si="2"/>
        <v>pass</v>
      </c>
      <c r="L158" s="19" t="str">
        <f>IFERROR(IF(AND(MATCH(A158,Projection_classes,0),YEAR(current_date)=Projections!B158),"pass","fail"),"")</f>
        <v>fail</v>
      </c>
    </row>
    <row r="159" spans="1:12" x14ac:dyDescent="0.25">
      <c r="A159" s="64" t="s">
        <v>54</v>
      </c>
      <c r="B159" s="64">
        <v>2002</v>
      </c>
      <c r="C159" s="65">
        <v>11.20721677</v>
      </c>
      <c r="D159" s="65">
        <v>11.20721677</v>
      </c>
      <c r="E159" s="65">
        <v>11.20721677</v>
      </c>
      <c r="F159" s="61"/>
      <c r="G159" s="61"/>
      <c r="H159" s="61"/>
      <c r="I159" s="61"/>
      <c r="J159" s="61"/>
      <c r="K159" s="3" t="str">
        <f t="shared" si="2"/>
        <v>pass</v>
      </c>
      <c r="L159" s="19" t="str">
        <f>IFERROR(IF(AND(MATCH(A159,Projection_classes,0),YEAR(current_date)=Projections!B159),"pass","fail"),"")</f>
        <v>fail</v>
      </c>
    </row>
    <row r="160" spans="1:12" x14ac:dyDescent="0.25">
      <c r="A160" s="64" t="s">
        <v>54</v>
      </c>
      <c r="B160" s="64">
        <v>2003</v>
      </c>
      <c r="C160" s="65">
        <v>15.38332568</v>
      </c>
      <c r="D160" s="65">
        <v>15.38332568</v>
      </c>
      <c r="E160" s="65">
        <v>15.38332568</v>
      </c>
      <c r="F160" s="61"/>
      <c r="G160" s="61"/>
      <c r="H160" s="61"/>
      <c r="I160" s="61"/>
      <c r="J160" s="61"/>
      <c r="K160" s="3" t="str">
        <f t="shared" si="2"/>
        <v>pass</v>
      </c>
      <c r="L160" s="19" t="str">
        <f>IFERROR(IF(AND(MATCH(A160,Projection_classes,0),YEAR(current_date)=Projections!B160),"pass","fail"),"")</f>
        <v>fail</v>
      </c>
    </row>
    <row r="161" spans="1:12" x14ac:dyDescent="0.25">
      <c r="A161" s="64" t="s">
        <v>54</v>
      </c>
      <c r="B161" s="64">
        <v>2004</v>
      </c>
      <c r="C161" s="65">
        <v>41.897390170000001</v>
      </c>
      <c r="D161" s="65">
        <v>41.897390170000001</v>
      </c>
      <c r="E161" s="65">
        <v>41.897390170000001</v>
      </c>
      <c r="F161" s="61"/>
      <c r="G161" s="61"/>
      <c r="H161" s="61"/>
      <c r="I161" s="61"/>
      <c r="J161" s="61"/>
      <c r="K161" s="3" t="str">
        <f t="shared" si="2"/>
        <v>pass</v>
      </c>
      <c r="L161" s="19" t="str">
        <f>IFERROR(IF(AND(MATCH(A161,Projection_classes,0),YEAR(current_date)=Projections!B161),"pass","fail"),"")</f>
        <v>fail</v>
      </c>
    </row>
    <row r="162" spans="1:12" x14ac:dyDescent="0.25">
      <c r="A162" s="64" t="s">
        <v>54</v>
      </c>
      <c r="B162" s="64">
        <v>2005</v>
      </c>
      <c r="C162" s="65">
        <v>54.756794680000013</v>
      </c>
      <c r="D162" s="65">
        <v>54.756794680000013</v>
      </c>
      <c r="E162" s="65">
        <v>54.756794680000013</v>
      </c>
      <c r="F162" s="61"/>
      <c r="G162" s="61"/>
      <c r="H162" s="61"/>
      <c r="I162" s="61"/>
      <c r="J162" s="61"/>
      <c r="K162" s="3" t="str">
        <f t="shared" si="2"/>
        <v>pass</v>
      </c>
      <c r="L162" s="19" t="str">
        <f>IFERROR(IF(AND(MATCH(A162,Projection_classes,0),YEAR(current_date)=Projections!B162),"pass","fail"),"")</f>
        <v>fail</v>
      </c>
    </row>
    <row r="163" spans="1:12" x14ac:dyDescent="0.25">
      <c r="A163" s="64" t="s">
        <v>54</v>
      </c>
      <c r="B163" s="64">
        <v>2006</v>
      </c>
      <c r="C163" s="65">
        <v>68.039602150000007</v>
      </c>
      <c r="D163" s="65">
        <v>68.039602150000007</v>
      </c>
      <c r="E163" s="65">
        <v>68.039602150000007</v>
      </c>
      <c r="F163" s="61"/>
      <c r="G163" s="61"/>
      <c r="H163" s="61"/>
      <c r="I163" s="61"/>
      <c r="J163" s="61"/>
      <c r="K163" s="3" t="str">
        <f t="shared" si="2"/>
        <v>pass</v>
      </c>
      <c r="L163" s="19" t="str">
        <f>IFERROR(IF(AND(MATCH(A163,Projection_classes,0),YEAR(current_date)=Projections!B163),"pass","fail"),"")</f>
        <v>fail</v>
      </c>
    </row>
    <row r="164" spans="1:12" x14ac:dyDescent="0.25">
      <c r="A164" s="64" t="s">
        <v>54</v>
      </c>
      <c r="B164" s="64">
        <v>2007</v>
      </c>
      <c r="C164" s="65">
        <v>75.832312739999978</v>
      </c>
      <c r="D164" s="65">
        <v>75.832312739999978</v>
      </c>
      <c r="E164" s="65">
        <v>75.832312739999978</v>
      </c>
      <c r="F164" s="61"/>
      <c r="G164" s="61"/>
      <c r="H164" s="61"/>
      <c r="I164" s="61">
        <v>-9.0413677419889371E-3</v>
      </c>
      <c r="J164" s="61">
        <v>8.7733472005159241E-2</v>
      </c>
      <c r="K164" s="3" t="str">
        <f t="shared" si="2"/>
        <v>pass</v>
      </c>
      <c r="L164" s="19" t="str">
        <f>IFERROR(IF(AND(MATCH(A164,Projection_classes,0),YEAR(current_date)=Projections!B164),"pass","fail"),"")</f>
        <v>fail</v>
      </c>
    </row>
    <row r="165" spans="1:12" x14ac:dyDescent="0.25">
      <c r="A165" s="64" t="s">
        <v>54</v>
      </c>
      <c r="B165" s="64">
        <v>2008</v>
      </c>
      <c r="C165" s="65">
        <v>55.575778890000073</v>
      </c>
      <c r="D165" s="65">
        <v>55.575778890000073</v>
      </c>
      <c r="E165" s="65">
        <v>55.575778890000073</v>
      </c>
      <c r="F165" s="61"/>
      <c r="G165" s="61"/>
      <c r="H165" s="61"/>
      <c r="I165" s="61">
        <v>-5.0167356169113941E-2</v>
      </c>
      <c r="J165" s="61">
        <v>8.7236473497871003E-2</v>
      </c>
      <c r="K165" s="3" t="str">
        <f t="shared" si="2"/>
        <v>pass</v>
      </c>
      <c r="L165" s="19" t="str">
        <f>IFERROR(IF(AND(MATCH(A165,Projection_classes,0),YEAR(current_date)=Projections!B165),"pass","fail"),"")</f>
        <v>fail</v>
      </c>
    </row>
    <row r="166" spans="1:12" x14ac:dyDescent="0.25">
      <c r="A166" s="64" t="s">
        <v>54</v>
      </c>
      <c r="B166" s="64">
        <v>2009</v>
      </c>
      <c r="C166" s="65">
        <v>28.100078255805059</v>
      </c>
      <c r="D166" s="65">
        <v>28.100078255805059</v>
      </c>
      <c r="E166" s="65">
        <v>28.100078255805059</v>
      </c>
      <c r="F166" s="61"/>
      <c r="G166" s="61"/>
      <c r="H166" s="61"/>
      <c r="I166" s="61">
        <v>-2.091060796389688E-2</v>
      </c>
      <c r="J166" s="61">
        <v>7.5952757846034391E-2</v>
      </c>
      <c r="K166" s="3" t="str">
        <f t="shared" si="2"/>
        <v>pass</v>
      </c>
      <c r="L166" s="19" t="str">
        <f>IFERROR(IF(AND(MATCH(A166,Projection_classes,0),YEAR(current_date)=Projections!B166),"pass","fail"),"")</f>
        <v>fail</v>
      </c>
    </row>
    <row r="167" spans="1:12" x14ac:dyDescent="0.25">
      <c r="A167" s="64" t="s">
        <v>54</v>
      </c>
      <c r="B167" s="64">
        <v>2010</v>
      </c>
      <c r="C167" s="65">
        <v>17.240442709000149</v>
      </c>
      <c r="D167" s="65">
        <v>17.240442709000149</v>
      </c>
      <c r="E167" s="65">
        <v>17.240442709000149</v>
      </c>
      <c r="F167" s="61"/>
      <c r="G167" s="61"/>
      <c r="H167" s="61"/>
      <c r="I167" s="61">
        <v>-2.9274553278735288E-4</v>
      </c>
      <c r="J167" s="61">
        <v>7.191205066491646E-2</v>
      </c>
      <c r="K167" s="3" t="str">
        <f t="shared" si="2"/>
        <v>pass</v>
      </c>
      <c r="L167" s="19" t="str">
        <f>IFERROR(IF(AND(MATCH(A167,Projection_classes,0),YEAR(current_date)=Projections!B167),"pass","fail"),"")</f>
        <v>fail</v>
      </c>
    </row>
    <row r="168" spans="1:12" x14ac:dyDescent="0.25">
      <c r="A168" s="64" t="s">
        <v>54</v>
      </c>
      <c r="B168" s="64">
        <v>2011</v>
      </c>
      <c r="C168" s="65">
        <v>14.303007320000029</v>
      </c>
      <c r="D168" s="65">
        <v>14.303007320000029</v>
      </c>
      <c r="E168" s="65">
        <v>14.303007320000029</v>
      </c>
      <c r="F168" s="61"/>
      <c r="G168" s="61"/>
      <c r="H168" s="61"/>
      <c r="I168" s="61">
        <v>-5.8227880425146816E-3</v>
      </c>
      <c r="J168" s="61">
        <v>7.5227489027520855E-2</v>
      </c>
      <c r="K168" s="3" t="str">
        <f t="shared" si="2"/>
        <v>pass</v>
      </c>
      <c r="L168" s="19" t="str">
        <f>IFERROR(IF(AND(MATCH(A168,Projection_classes,0),YEAR(current_date)=Projections!B168),"pass","fail"),"")</f>
        <v>fail</v>
      </c>
    </row>
    <row r="169" spans="1:12" x14ac:dyDescent="0.25">
      <c r="A169" s="64" t="s">
        <v>54</v>
      </c>
      <c r="B169" s="64">
        <v>2012</v>
      </c>
      <c r="C169" s="65">
        <v>12.5761126</v>
      </c>
      <c r="D169" s="65">
        <v>12.5761126</v>
      </c>
      <c r="E169" s="65">
        <v>12.5761126</v>
      </c>
      <c r="F169" s="61"/>
      <c r="G169" s="61"/>
      <c r="H169" s="61"/>
      <c r="I169" s="61">
        <v>-2.1910282720563061E-3</v>
      </c>
      <c r="J169" s="61">
        <v>7.400698281269702E-2</v>
      </c>
      <c r="K169" s="3" t="str">
        <f t="shared" si="2"/>
        <v>pass</v>
      </c>
      <c r="L169" s="19" t="str">
        <f>IFERROR(IF(AND(MATCH(A169,Projection_classes,0),YEAR(current_date)=Projections!B169),"pass","fail"),"")</f>
        <v>fail</v>
      </c>
    </row>
    <row r="170" spans="1:12" x14ac:dyDescent="0.25">
      <c r="A170" s="64" t="s">
        <v>54</v>
      </c>
      <c r="B170" s="64">
        <v>2013</v>
      </c>
      <c r="C170" s="65">
        <v>16.854761639999989</v>
      </c>
      <c r="D170" s="65">
        <v>16.854761639999989</v>
      </c>
      <c r="E170" s="65">
        <v>16.854761639999989</v>
      </c>
      <c r="F170" s="61"/>
      <c r="G170" s="61"/>
      <c r="H170" s="61"/>
      <c r="I170" s="61">
        <v>-4.9192178929690078E-3</v>
      </c>
      <c r="J170" s="61">
        <v>6.932203504876866E-2</v>
      </c>
      <c r="K170" s="3" t="str">
        <f t="shared" si="2"/>
        <v>pass</v>
      </c>
      <c r="L170" s="19" t="str">
        <f>IFERROR(IF(AND(MATCH(A170,Projection_classes,0),YEAR(current_date)=Projections!B170),"pass","fail"),"")</f>
        <v>fail</v>
      </c>
    </row>
    <row r="171" spans="1:12" x14ac:dyDescent="0.25">
      <c r="A171" s="64" t="s">
        <v>54</v>
      </c>
      <c r="B171" s="64">
        <v>2014</v>
      </c>
      <c r="C171" s="65">
        <v>27.645768160000049</v>
      </c>
      <c r="D171" s="65">
        <v>27.645768160000049</v>
      </c>
      <c r="E171" s="65">
        <v>27.645768160000049</v>
      </c>
      <c r="F171" s="61"/>
      <c r="G171" s="61"/>
      <c r="H171" s="61"/>
      <c r="I171" s="61">
        <v>-1.6754683426198791E-2</v>
      </c>
      <c r="J171" s="61">
        <v>6.7044285142412674E-2</v>
      </c>
      <c r="K171" s="3" t="str">
        <f t="shared" si="2"/>
        <v>pass</v>
      </c>
      <c r="L171" s="19" t="str">
        <f>IFERROR(IF(AND(MATCH(A171,Projection_classes,0),YEAR(current_date)=Projections!B171),"pass","fail"),"")</f>
        <v>fail</v>
      </c>
    </row>
    <row r="172" spans="1:12" x14ac:dyDescent="0.25">
      <c r="A172" s="64" t="s">
        <v>54</v>
      </c>
      <c r="B172" s="64">
        <v>2015</v>
      </c>
      <c r="C172" s="65">
        <v>41.320079319999991</v>
      </c>
      <c r="D172" s="65">
        <v>41.320079319999991</v>
      </c>
      <c r="E172" s="65">
        <v>41.320079319999991</v>
      </c>
      <c r="F172" s="61"/>
      <c r="G172" s="61"/>
      <c r="H172" s="61"/>
      <c r="I172" s="61">
        <v>-1.3229944620239079E-2</v>
      </c>
      <c r="J172" s="61">
        <v>6.9245491358009836E-2</v>
      </c>
      <c r="K172" s="3" t="str">
        <f t="shared" si="2"/>
        <v>pass</v>
      </c>
      <c r="L172" s="19" t="str">
        <f>IFERROR(IF(AND(MATCH(A172,Projection_classes,0),YEAR(current_date)=Projections!B172),"pass","fail"),"")</f>
        <v>fail</v>
      </c>
    </row>
    <row r="173" spans="1:12" x14ac:dyDescent="0.25">
      <c r="A173" s="64" t="s">
        <v>54</v>
      </c>
      <c r="B173" s="64">
        <v>2016</v>
      </c>
      <c r="C173" s="65">
        <v>55.21817517137422</v>
      </c>
      <c r="D173" s="65">
        <v>55.21817517137422</v>
      </c>
      <c r="E173" s="65">
        <v>55.21817517137422</v>
      </c>
      <c r="F173" s="61"/>
      <c r="G173" s="61"/>
      <c r="H173" s="61"/>
      <c r="I173" s="61">
        <v>-4.7554079317897457E-3</v>
      </c>
      <c r="J173" s="61">
        <v>6.9561772558719204E-2</v>
      </c>
      <c r="K173" s="3" t="str">
        <f t="shared" si="2"/>
        <v>pass</v>
      </c>
      <c r="L173" s="19" t="str">
        <f>IFERROR(IF(AND(MATCH(A173,Projection_classes,0),YEAR(current_date)=Projections!B173),"pass","fail"),"")</f>
        <v>fail</v>
      </c>
    </row>
    <row r="174" spans="1:12" x14ac:dyDescent="0.25">
      <c r="A174" s="64" t="s">
        <v>54</v>
      </c>
      <c r="B174" s="64">
        <v>2017</v>
      </c>
      <c r="C174" s="65">
        <v>69.724102430674577</v>
      </c>
      <c r="D174" s="65">
        <v>69.724102430674577</v>
      </c>
      <c r="E174" s="65">
        <v>69.724102430674577</v>
      </c>
      <c r="F174" s="61"/>
      <c r="G174" s="61"/>
      <c r="H174" s="61"/>
      <c r="I174" s="61">
        <v>-5.1204853976140052E-3</v>
      </c>
      <c r="J174" s="61">
        <v>7.9010007659150894E-2</v>
      </c>
      <c r="K174" s="3" t="str">
        <f t="shared" si="2"/>
        <v>pass</v>
      </c>
      <c r="L174" s="19" t="str">
        <f>IFERROR(IF(AND(MATCH(A174,Projection_classes,0),YEAR(current_date)=Projections!B174),"pass","fail"),"")</f>
        <v>fail</v>
      </c>
    </row>
    <row r="175" spans="1:12" x14ac:dyDescent="0.25">
      <c r="A175" s="64" t="s">
        <v>54</v>
      </c>
      <c r="B175" s="64">
        <v>2018</v>
      </c>
      <c r="C175" s="65">
        <v>94.903395281743812</v>
      </c>
      <c r="D175" s="65">
        <v>94.903395281743812</v>
      </c>
      <c r="E175" s="65">
        <v>94.903395281743812</v>
      </c>
      <c r="F175" s="61"/>
      <c r="G175" s="61"/>
      <c r="H175" s="61"/>
      <c r="I175" s="61">
        <v>1.249709936935472E-2</v>
      </c>
      <c r="J175" s="61">
        <v>7.8738372326652151E-2</v>
      </c>
      <c r="K175" s="3" t="str">
        <f t="shared" si="2"/>
        <v>pass</v>
      </c>
      <c r="L175" s="19" t="str">
        <f>IFERROR(IF(AND(MATCH(A175,Projection_classes,0),YEAR(current_date)=Projections!B175),"pass","fail"),"")</f>
        <v>fail</v>
      </c>
    </row>
    <row r="176" spans="1:12" x14ac:dyDescent="0.25">
      <c r="A176" s="64" t="s">
        <v>54</v>
      </c>
      <c r="B176" s="64">
        <v>2019</v>
      </c>
      <c r="C176" s="65">
        <v>134.39482093247409</v>
      </c>
      <c r="D176" s="65">
        <v>134.39482093247409</v>
      </c>
      <c r="E176" s="65">
        <v>134.39482093247409</v>
      </c>
      <c r="F176" s="61"/>
      <c r="G176" s="61"/>
      <c r="H176" s="61"/>
      <c r="I176" s="61">
        <v>7.0366493014718756E-2</v>
      </c>
      <c r="J176" s="61">
        <v>7.5645595666574472E-2</v>
      </c>
      <c r="K176" s="3" t="str">
        <f t="shared" si="2"/>
        <v>pass</v>
      </c>
      <c r="L176" s="19" t="str">
        <f>IFERROR(IF(AND(MATCH(A176,Projection_classes,0),YEAR(current_date)=Projections!B176),"pass","fail"),"")</f>
        <v>fail</v>
      </c>
    </row>
    <row r="177" spans="1:12" x14ac:dyDescent="0.25">
      <c r="A177" s="64" t="s">
        <v>54</v>
      </c>
      <c r="B177" s="64">
        <v>2020</v>
      </c>
      <c r="C177" s="65">
        <v>157.88018330266831</v>
      </c>
      <c r="D177" s="65">
        <v>157.88018330266831</v>
      </c>
      <c r="E177" s="65">
        <v>157.88018330266831</v>
      </c>
      <c r="F177" s="61"/>
      <c r="G177" s="61"/>
      <c r="H177" s="61"/>
      <c r="I177" s="61">
        <v>0.111850969102957</v>
      </c>
      <c r="J177" s="61">
        <v>5.5985512880836641E-2</v>
      </c>
      <c r="K177" s="3" t="str">
        <f t="shared" si="2"/>
        <v>pass</v>
      </c>
      <c r="L177" s="19" t="str">
        <f>IFERROR(IF(AND(MATCH(A177,Projection_classes,0),YEAR(current_date)=Projections!B177),"pass","fail"),"")</f>
        <v>fail</v>
      </c>
    </row>
    <row r="178" spans="1:12" x14ac:dyDescent="0.25">
      <c r="A178" s="64" t="s">
        <v>54</v>
      </c>
      <c r="B178" s="64">
        <v>2021</v>
      </c>
      <c r="C178" s="65">
        <v>192.6426617512632</v>
      </c>
      <c r="D178" s="65">
        <v>192.6426617512632</v>
      </c>
      <c r="E178" s="65">
        <v>192.6426617512632</v>
      </c>
      <c r="F178" s="61"/>
      <c r="G178" s="61"/>
      <c r="H178" s="61"/>
      <c r="I178" s="61">
        <v>0.1056551219451876</v>
      </c>
      <c r="J178" s="61">
        <v>8.869785475996772E-2</v>
      </c>
      <c r="K178" s="3" t="str">
        <f t="shared" si="2"/>
        <v>pass</v>
      </c>
      <c r="L178" s="19" t="str">
        <f>IFERROR(IF(AND(MATCH(A178,Projection_classes,0),YEAR(current_date)=Projections!B178),"pass","fail"),"")</f>
        <v>fail</v>
      </c>
    </row>
    <row r="179" spans="1:12" x14ac:dyDescent="0.25">
      <c r="A179" s="64" t="s">
        <v>54</v>
      </c>
      <c r="B179" s="64">
        <v>2022</v>
      </c>
      <c r="C179" s="65">
        <v>253.72503822176549</v>
      </c>
      <c r="D179" s="65">
        <v>253.72503822176549</v>
      </c>
      <c r="E179" s="65">
        <v>253.72503822176549</v>
      </c>
      <c r="F179" s="61"/>
      <c r="G179" s="61"/>
      <c r="H179" s="61"/>
      <c r="I179" s="61">
        <v>8.6224395372696661E-2</v>
      </c>
      <c r="J179" s="61">
        <v>0.1022222090505058</v>
      </c>
      <c r="K179" s="3" t="str">
        <f t="shared" si="2"/>
        <v>pass</v>
      </c>
      <c r="L179" s="19" t="str">
        <f>IFERROR(IF(AND(MATCH(A179,Projection_classes,0),YEAR(current_date)=Projections!B179),"pass","fail"),"")</f>
        <v>fail</v>
      </c>
    </row>
    <row r="180" spans="1:12" x14ac:dyDescent="0.25">
      <c r="A180" s="64" t="s">
        <v>54</v>
      </c>
      <c r="B180" s="64">
        <v>2023</v>
      </c>
      <c r="C180" s="65">
        <v>295.19828429489002</v>
      </c>
      <c r="D180" s="65">
        <v>295.19828429489002</v>
      </c>
      <c r="E180" s="65">
        <v>295.19828429489002</v>
      </c>
      <c r="F180" s="61"/>
      <c r="G180" s="61"/>
      <c r="H180" s="61"/>
      <c r="I180" s="61">
        <v>7.2207110613637049E-2</v>
      </c>
      <c r="J180" s="61">
        <v>7.5249495485309126E-2</v>
      </c>
      <c r="K180" s="3" t="str">
        <f t="shared" si="2"/>
        <v>pass</v>
      </c>
      <c r="L180" s="19" t="str">
        <f>IFERROR(IF(AND(MATCH(A180,Projection_classes,0),YEAR(current_date)=Projections!B180),"pass","fail"),"")</f>
        <v>fail</v>
      </c>
    </row>
    <row r="181" spans="1:12" x14ac:dyDescent="0.25">
      <c r="A181" s="64" t="s">
        <v>54</v>
      </c>
      <c r="B181" s="64">
        <v>2024</v>
      </c>
      <c r="C181" s="65">
        <v>314.05760690083571</v>
      </c>
      <c r="D181" s="65">
        <v>314.05760690083571</v>
      </c>
      <c r="E181" s="65">
        <v>314.05760690083571</v>
      </c>
      <c r="F181" s="61"/>
      <c r="G181" s="61"/>
      <c r="H181" s="61"/>
      <c r="I181" s="61">
        <v>7.7167475238996586E-2</v>
      </c>
      <c r="J181" s="61">
        <v>8.4594525980512758E-2</v>
      </c>
      <c r="K181" s="3" t="str">
        <f t="shared" si="2"/>
        <v>pass</v>
      </c>
      <c r="L181" s="19" t="str">
        <f>IFERROR(IF(AND(MATCH(A181,Projection_classes,0),YEAR(current_date)=Projections!B181),"pass","fail"),"")</f>
        <v>fail</v>
      </c>
    </row>
    <row r="182" spans="1:12" x14ac:dyDescent="0.25">
      <c r="A182" s="64" t="s">
        <v>54</v>
      </c>
      <c r="B182" s="64">
        <v>2025</v>
      </c>
      <c r="C182" s="65">
        <v>121.9239746505766</v>
      </c>
      <c r="D182" s="65">
        <v>121.9239746505766</v>
      </c>
      <c r="E182" s="65">
        <v>121.9239746505766</v>
      </c>
      <c r="F182" s="61"/>
      <c r="G182" s="61"/>
      <c r="H182" s="61"/>
      <c r="I182" s="61"/>
      <c r="J182" s="61"/>
      <c r="K182" s="3" t="str">
        <f t="shared" si="2"/>
        <v>pass</v>
      </c>
      <c r="L182" s="19" t="str">
        <f>IFERROR(IF(AND(MATCH(A182,Projection_classes,0),YEAR(current_date)=Projections!B182),"pass","fail"),"")</f>
        <v>fail</v>
      </c>
    </row>
    <row r="183" spans="1:12" x14ac:dyDescent="0.25">
      <c r="A183" s="64" t="s">
        <v>54</v>
      </c>
      <c r="B183" s="64">
        <v>2026</v>
      </c>
      <c r="C183" s="65">
        <v>307.1801653967172</v>
      </c>
      <c r="D183" s="65">
        <v>0</v>
      </c>
      <c r="E183" s="65">
        <v>0</v>
      </c>
      <c r="F183" s="61"/>
      <c r="G183" s="61"/>
      <c r="H183" s="61"/>
      <c r="I183" s="61"/>
      <c r="J183" s="61"/>
      <c r="K183" s="3" t="str">
        <f t="shared" si="2"/>
        <v>fail</v>
      </c>
      <c r="L183" s="19" t="str">
        <f>IFERROR(IF(AND(MATCH(A183,Projection_classes,0),YEAR(current_date)=Projections!B183),"pass","fail"),"")</f>
        <v>pass</v>
      </c>
    </row>
    <row r="184" spans="1:12" x14ac:dyDescent="0.25">
      <c r="A184" s="64" t="s">
        <v>59</v>
      </c>
      <c r="B184" s="64">
        <v>2001</v>
      </c>
      <c r="C184" s="65">
        <v>0</v>
      </c>
      <c r="D184" s="65">
        <v>0</v>
      </c>
      <c r="E184" s="65">
        <v>0</v>
      </c>
      <c r="F184" s="61"/>
      <c r="G184" s="61"/>
      <c r="H184" s="61"/>
      <c r="I184" s="61"/>
      <c r="J184" s="61"/>
      <c r="K184" s="3" t="str">
        <f t="shared" si="2"/>
        <v>pass</v>
      </c>
      <c r="L184" s="19" t="str">
        <f>IFERROR(IF(AND(MATCH(A184,Projection_classes,0),YEAR(current_date)=Projections!B184),"pass","fail"),"")</f>
        <v>fail</v>
      </c>
    </row>
    <row r="185" spans="1:12" x14ac:dyDescent="0.25">
      <c r="A185" s="64" t="s">
        <v>59</v>
      </c>
      <c r="B185" s="64">
        <v>2002</v>
      </c>
      <c r="C185" s="65">
        <v>0</v>
      </c>
      <c r="D185" s="65">
        <v>0</v>
      </c>
      <c r="E185" s="65">
        <v>0</v>
      </c>
      <c r="F185" s="61"/>
      <c r="G185" s="61"/>
      <c r="H185" s="61"/>
      <c r="I185" s="61"/>
      <c r="J185" s="61"/>
      <c r="K185" s="3" t="str">
        <f t="shared" si="2"/>
        <v>pass</v>
      </c>
      <c r="L185" s="19" t="str">
        <f>IFERROR(IF(AND(MATCH(A185,Projection_classes,0),YEAR(current_date)=Projections!B185),"pass","fail"),"")</f>
        <v>fail</v>
      </c>
    </row>
    <row r="186" spans="1:12" x14ac:dyDescent="0.25">
      <c r="A186" s="64" t="s">
        <v>59</v>
      </c>
      <c r="B186" s="64">
        <v>2003</v>
      </c>
      <c r="C186" s="65">
        <v>0</v>
      </c>
      <c r="D186" s="65">
        <v>0</v>
      </c>
      <c r="E186" s="65">
        <v>0</v>
      </c>
      <c r="F186" s="61"/>
      <c r="G186" s="61"/>
      <c r="H186" s="61"/>
      <c r="I186" s="61"/>
      <c r="J186" s="61"/>
      <c r="K186" s="3" t="str">
        <f t="shared" si="2"/>
        <v>pass</v>
      </c>
      <c r="L186" s="19" t="str">
        <f>IFERROR(IF(AND(MATCH(A186,Projection_classes,0),YEAR(current_date)=Projections!B186),"pass","fail"),"")</f>
        <v>fail</v>
      </c>
    </row>
    <row r="187" spans="1:12" x14ac:dyDescent="0.25">
      <c r="A187" s="64" t="s">
        <v>59</v>
      </c>
      <c r="B187" s="64">
        <v>2004</v>
      </c>
      <c r="C187" s="65">
        <v>0</v>
      </c>
      <c r="D187" s="65">
        <v>0</v>
      </c>
      <c r="E187" s="65">
        <v>0</v>
      </c>
      <c r="F187" s="61"/>
      <c r="G187" s="61"/>
      <c r="H187" s="61"/>
      <c r="I187" s="61"/>
      <c r="J187" s="61"/>
      <c r="K187" s="3" t="str">
        <f t="shared" si="2"/>
        <v>pass</v>
      </c>
      <c r="L187" s="19" t="str">
        <f>IFERROR(IF(AND(MATCH(A187,Projection_classes,0),YEAR(current_date)=Projections!B187),"pass","fail"),"")</f>
        <v>fail</v>
      </c>
    </row>
    <row r="188" spans="1:12" x14ac:dyDescent="0.25">
      <c r="A188" s="64" t="s">
        <v>59</v>
      </c>
      <c r="B188" s="64">
        <v>2005</v>
      </c>
      <c r="C188" s="65">
        <v>0</v>
      </c>
      <c r="D188" s="65">
        <v>0</v>
      </c>
      <c r="E188" s="65">
        <v>0</v>
      </c>
      <c r="F188" s="61"/>
      <c r="G188" s="61"/>
      <c r="H188" s="61"/>
      <c r="I188" s="61"/>
      <c r="J188" s="61"/>
      <c r="K188" s="3" t="str">
        <f t="shared" si="2"/>
        <v>pass</v>
      </c>
      <c r="L188" s="19" t="str">
        <f>IFERROR(IF(AND(MATCH(A188,Projection_classes,0),YEAR(current_date)=Projections!B188),"pass","fail"),"")</f>
        <v>fail</v>
      </c>
    </row>
    <row r="189" spans="1:12" x14ac:dyDescent="0.25">
      <c r="A189" s="64" t="s">
        <v>59</v>
      </c>
      <c r="B189" s="64">
        <v>2006</v>
      </c>
      <c r="C189" s="65">
        <v>0</v>
      </c>
      <c r="D189" s="65">
        <v>0</v>
      </c>
      <c r="E189" s="65">
        <v>0</v>
      </c>
      <c r="F189" s="61"/>
      <c r="G189" s="61"/>
      <c r="H189" s="61"/>
      <c r="I189" s="61"/>
      <c r="J189" s="61"/>
      <c r="K189" s="3" t="str">
        <f t="shared" si="2"/>
        <v>pass</v>
      </c>
      <c r="L189" s="19" t="str">
        <f>IFERROR(IF(AND(MATCH(A189,Projection_classes,0),YEAR(current_date)=Projections!B189),"pass","fail"),"")</f>
        <v>fail</v>
      </c>
    </row>
    <row r="190" spans="1:12" x14ac:dyDescent="0.25">
      <c r="A190" s="64" t="s">
        <v>59</v>
      </c>
      <c r="B190" s="64">
        <v>2007</v>
      </c>
      <c r="C190" s="65">
        <v>0</v>
      </c>
      <c r="D190" s="65">
        <v>0</v>
      </c>
      <c r="E190" s="65">
        <v>0</v>
      </c>
      <c r="F190" s="61"/>
      <c r="G190" s="61"/>
      <c r="H190" s="61"/>
      <c r="I190" s="61"/>
      <c r="J190" s="61"/>
      <c r="K190" s="3" t="str">
        <f t="shared" si="2"/>
        <v>pass</v>
      </c>
      <c r="L190" s="19" t="str">
        <f>IFERROR(IF(AND(MATCH(A190,Projection_classes,0),YEAR(current_date)=Projections!B190),"pass","fail"),"")</f>
        <v>fail</v>
      </c>
    </row>
    <row r="191" spans="1:12" x14ac:dyDescent="0.25">
      <c r="A191" s="64" t="s">
        <v>59</v>
      </c>
      <c r="B191" s="64">
        <v>2008</v>
      </c>
      <c r="C191" s="65">
        <v>0</v>
      </c>
      <c r="D191" s="65">
        <v>0</v>
      </c>
      <c r="E191" s="65">
        <v>0</v>
      </c>
      <c r="F191" s="61"/>
      <c r="G191" s="61"/>
      <c r="H191" s="61"/>
      <c r="I191" s="61"/>
      <c r="J191" s="61"/>
      <c r="K191" s="3" t="str">
        <f t="shared" si="2"/>
        <v>pass</v>
      </c>
      <c r="L191" s="19" t="str">
        <f>IFERROR(IF(AND(MATCH(A191,Projection_classes,0),YEAR(current_date)=Projections!B191),"pass","fail"),"")</f>
        <v>fail</v>
      </c>
    </row>
    <row r="192" spans="1:12" x14ac:dyDescent="0.25">
      <c r="A192" s="64" t="s">
        <v>59</v>
      </c>
      <c r="B192" s="64">
        <v>2009</v>
      </c>
      <c r="C192" s="65">
        <v>13.31240229</v>
      </c>
      <c r="D192" s="65">
        <v>13.31240229</v>
      </c>
      <c r="E192" s="65">
        <v>13.31240229</v>
      </c>
      <c r="F192" s="61"/>
      <c r="G192" s="61"/>
      <c r="H192" s="61"/>
      <c r="I192" s="61"/>
      <c r="J192" s="61"/>
      <c r="K192" s="3" t="str">
        <f t="shared" si="2"/>
        <v>pass</v>
      </c>
      <c r="L192" s="19" t="str">
        <f>IFERROR(IF(AND(MATCH(A192,Projection_classes,0),YEAR(current_date)=Projections!B192),"pass","fail"),"")</f>
        <v>fail</v>
      </c>
    </row>
    <row r="193" spans="1:12" x14ac:dyDescent="0.25">
      <c r="A193" s="64" t="s">
        <v>59</v>
      </c>
      <c r="B193" s="64">
        <v>2010</v>
      </c>
      <c r="C193" s="65">
        <v>40.146895592434213</v>
      </c>
      <c r="D193" s="65">
        <v>40.146895592434213</v>
      </c>
      <c r="E193" s="65">
        <v>40.146895592434213</v>
      </c>
      <c r="F193" s="61"/>
      <c r="G193" s="61"/>
      <c r="H193" s="61"/>
      <c r="I193" s="61"/>
      <c r="J193" s="61"/>
      <c r="K193" s="3" t="str">
        <f t="shared" si="2"/>
        <v>pass</v>
      </c>
      <c r="L193" s="19" t="str">
        <f>IFERROR(IF(AND(MATCH(A193,Projection_classes,0),YEAR(current_date)=Projections!B193),"pass","fail"),"")</f>
        <v>fail</v>
      </c>
    </row>
    <row r="194" spans="1:12" x14ac:dyDescent="0.25">
      <c r="A194" s="64" t="s">
        <v>59</v>
      </c>
      <c r="B194" s="64">
        <v>2011</v>
      </c>
      <c r="C194" s="65">
        <v>48.667401185099877</v>
      </c>
      <c r="D194" s="65">
        <v>48.667401185099877</v>
      </c>
      <c r="E194" s="65">
        <v>48.667401185099877</v>
      </c>
      <c r="F194" s="61"/>
      <c r="G194" s="61"/>
      <c r="H194" s="61"/>
      <c r="I194" s="61"/>
      <c r="J194" s="61"/>
      <c r="K194" s="3" t="str">
        <f t="shared" ref="K194:K257" si="3">IF(OR(B194&lt;$N$1,B194&gt;$P$1),"fail","pass")</f>
        <v>pass</v>
      </c>
      <c r="L194" s="19" t="str">
        <f>IFERROR(IF(AND(MATCH(A194,Projection_classes,0),YEAR(current_date)=Projections!B194),"pass","fail"),"")</f>
        <v>fail</v>
      </c>
    </row>
    <row r="195" spans="1:12" x14ac:dyDescent="0.25">
      <c r="A195" s="64" t="s">
        <v>59</v>
      </c>
      <c r="B195" s="64">
        <v>2012</v>
      </c>
      <c r="C195" s="65">
        <v>60.727255441380343</v>
      </c>
      <c r="D195" s="65">
        <v>60.727255441380343</v>
      </c>
      <c r="E195" s="65">
        <v>60.727255441380343</v>
      </c>
      <c r="F195" s="61"/>
      <c r="G195" s="61"/>
      <c r="H195" s="61"/>
      <c r="I195" s="61"/>
      <c r="J195" s="61"/>
      <c r="K195" s="3" t="str">
        <f t="shared" si="3"/>
        <v>pass</v>
      </c>
      <c r="L195" s="19" t="str">
        <f>IFERROR(IF(AND(MATCH(A195,Projection_classes,0),YEAR(current_date)=Projections!B195),"pass","fail"),"")</f>
        <v>fail</v>
      </c>
    </row>
    <row r="196" spans="1:12" x14ac:dyDescent="0.25">
      <c r="A196" s="64" t="s">
        <v>59</v>
      </c>
      <c r="B196" s="64">
        <v>2013</v>
      </c>
      <c r="C196" s="65">
        <v>65.904763621951531</v>
      </c>
      <c r="D196" s="65">
        <v>65.904763621951531</v>
      </c>
      <c r="E196" s="65">
        <v>65.904763621951531</v>
      </c>
      <c r="F196" s="61"/>
      <c r="G196" s="61"/>
      <c r="H196" s="61"/>
      <c r="I196" s="61"/>
      <c r="J196" s="61"/>
      <c r="K196" s="3" t="str">
        <f t="shared" si="3"/>
        <v>pass</v>
      </c>
      <c r="L196" s="19" t="str">
        <f>IFERROR(IF(AND(MATCH(A196,Projection_classes,0),YEAR(current_date)=Projections!B196),"pass","fail"),"")</f>
        <v>fail</v>
      </c>
    </row>
    <row r="197" spans="1:12" x14ac:dyDescent="0.25">
      <c r="A197" s="64" t="s">
        <v>59</v>
      </c>
      <c r="B197" s="64">
        <v>2014</v>
      </c>
      <c r="C197" s="65">
        <v>69.557480301072303</v>
      </c>
      <c r="D197" s="65">
        <v>69.557480301072303</v>
      </c>
      <c r="E197" s="65">
        <v>69.557480301072303</v>
      </c>
      <c r="F197" s="61"/>
      <c r="G197" s="61"/>
      <c r="H197" s="61"/>
      <c r="I197" s="61">
        <v>-2.3959248638255159E-2</v>
      </c>
      <c r="J197" s="61">
        <v>6.8580000000000085E-2</v>
      </c>
      <c r="K197" s="3" t="str">
        <f t="shared" si="3"/>
        <v>pass</v>
      </c>
      <c r="L197" s="19" t="str">
        <f>IFERROR(IF(AND(MATCH(A197,Projection_classes,0),YEAR(current_date)=Projections!B197),"pass","fail"),"")</f>
        <v>fail</v>
      </c>
    </row>
    <row r="198" spans="1:12" x14ac:dyDescent="0.25">
      <c r="A198" s="64" t="s">
        <v>59</v>
      </c>
      <c r="B198" s="64">
        <v>2015</v>
      </c>
      <c r="C198" s="65">
        <v>81.004020957477721</v>
      </c>
      <c r="D198" s="65">
        <v>81.004020957477721</v>
      </c>
      <c r="E198" s="65">
        <v>81.004020957477721</v>
      </c>
      <c r="F198" s="61"/>
      <c r="G198" s="61"/>
      <c r="H198" s="61"/>
      <c r="I198" s="61">
        <v>-3.9321522311267398E-2</v>
      </c>
      <c r="J198" s="61">
        <v>6.8580000000000085E-2</v>
      </c>
      <c r="K198" s="3" t="str">
        <f t="shared" si="3"/>
        <v>pass</v>
      </c>
      <c r="L198" s="19" t="str">
        <f>IFERROR(IF(AND(MATCH(A198,Projection_classes,0),YEAR(current_date)=Projections!B198),"pass","fail"),"")</f>
        <v>fail</v>
      </c>
    </row>
    <row r="199" spans="1:12" x14ac:dyDescent="0.25">
      <c r="A199" s="64" t="s">
        <v>59</v>
      </c>
      <c r="B199" s="64">
        <v>2016</v>
      </c>
      <c r="C199" s="65">
        <v>71.344207559634881</v>
      </c>
      <c r="D199" s="65">
        <v>71.344207559634881</v>
      </c>
      <c r="E199" s="65">
        <v>71.344207559634881</v>
      </c>
      <c r="F199" s="61"/>
      <c r="G199" s="61"/>
      <c r="H199" s="61"/>
      <c r="I199" s="61">
        <v>-4.9062589476931873E-2</v>
      </c>
      <c r="J199" s="61">
        <v>6.739509834935431E-2</v>
      </c>
      <c r="K199" s="3" t="str">
        <f t="shared" si="3"/>
        <v>pass</v>
      </c>
      <c r="L199" s="19" t="str">
        <f>IFERROR(IF(AND(MATCH(A199,Projection_classes,0),YEAR(current_date)=Projections!B199),"pass","fail"),"")</f>
        <v>fail</v>
      </c>
    </row>
    <row r="200" spans="1:12" x14ac:dyDescent="0.25">
      <c r="A200" s="64" t="s">
        <v>59</v>
      </c>
      <c r="B200" s="64">
        <v>2017</v>
      </c>
      <c r="C200" s="65">
        <v>67.905504227581602</v>
      </c>
      <c r="D200" s="65">
        <v>67.905504227581602</v>
      </c>
      <c r="E200" s="65">
        <v>67.905504227581602</v>
      </c>
      <c r="F200" s="61"/>
      <c r="G200" s="61"/>
      <c r="H200" s="61"/>
      <c r="I200" s="61">
        <v>-9.0371592634727049E-3</v>
      </c>
      <c r="J200" s="61">
        <v>6.1930872092349709E-2</v>
      </c>
      <c r="K200" s="3" t="str">
        <f t="shared" si="3"/>
        <v>pass</v>
      </c>
      <c r="L200" s="19" t="str">
        <f>IFERROR(IF(AND(MATCH(A200,Projection_classes,0),YEAR(current_date)=Projections!B200),"pass","fail"),"")</f>
        <v>fail</v>
      </c>
    </row>
    <row r="201" spans="1:12" x14ac:dyDescent="0.25">
      <c r="A201" s="64" t="s">
        <v>59</v>
      </c>
      <c r="B201" s="64">
        <v>2018</v>
      </c>
      <c r="C201" s="65">
        <v>73.278782749031762</v>
      </c>
      <c r="D201" s="65">
        <v>73.278782749031762</v>
      </c>
      <c r="E201" s="65">
        <v>73.278782749031762</v>
      </c>
      <c r="F201" s="61"/>
      <c r="G201" s="61"/>
      <c r="H201" s="61"/>
      <c r="I201" s="61">
        <v>-1.4026195674032521E-2</v>
      </c>
      <c r="J201" s="61">
        <v>5.6519454233459943E-2</v>
      </c>
      <c r="K201" s="3" t="str">
        <f t="shared" si="3"/>
        <v>pass</v>
      </c>
      <c r="L201" s="19" t="str">
        <f>IFERROR(IF(AND(MATCH(A201,Projection_classes,0),YEAR(current_date)=Projections!B201),"pass","fail"),"")</f>
        <v>fail</v>
      </c>
    </row>
    <row r="202" spans="1:12" x14ac:dyDescent="0.25">
      <c r="A202" s="64" t="s">
        <v>59</v>
      </c>
      <c r="B202" s="64">
        <v>2019</v>
      </c>
      <c r="C202" s="65">
        <v>88.65326457868558</v>
      </c>
      <c r="D202" s="65">
        <v>88.65326457868558</v>
      </c>
      <c r="E202" s="65">
        <v>88.65326457868558</v>
      </c>
      <c r="F202" s="61"/>
      <c r="G202" s="61"/>
      <c r="H202" s="61"/>
      <c r="I202" s="61">
        <v>2.4632278013185131E-2</v>
      </c>
      <c r="J202" s="61">
        <v>5.6747126551109688E-2</v>
      </c>
      <c r="K202" s="3" t="str">
        <f t="shared" si="3"/>
        <v>pass</v>
      </c>
      <c r="L202" s="19" t="str">
        <f>IFERROR(IF(AND(MATCH(A202,Projection_classes,0),YEAR(current_date)=Projections!B202),"pass","fail"),"")</f>
        <v>fail</v>
      </c>
    </row>
    <row r="203" spans="1:12" x14ac:dyDescent="0.25">
      <c r="A203" s="64" t="s">
        <v>59</v>
      </c>
      <c r="B203" s="64">
        <v>2020</v>
      </c>
      <c r="C203" s="65">
        <v>124.25160482626831</v>
      </c>
      <c r="D203" s="65">
        <v>124.25160482626831</v>
      </c>
      <c r="E203" s="65">
        <v>124.25160482626831</v>
      </c>
      <c r="F203" s="61"/>
      <c r="G203" s="61"/>
      <c r="H203" s="61"/>
      <c r="I203" s="61">
        <v>0.24089042187187171</v>
      </c>
      <c r="J203" s="61">
        <v>5.8590408795188509E-2</v>
      </c>
      <c r="K203" s="3" t="str">
        <f t="shared" si="3"/>
        <v>pass</v>
      </c>
      <c r="L203" s="19" t="str">
        <f>IFERROR(IF(AND(MATCH(A203,Projection_classes,0),YEAR(current_date)=Projections!B203),"pass","fail"),"")</f>
        <v>fail</v>
      </c>
    </row>
    <row r="204" spans="1:12" x14ac:dyDescent="0.25">
      <c r="A204" s="64" t="s">
        <v>59</v>
      </c>
      <c r="B204" s="64">
        <v>2021</v>
      </c>
      <c r="C204" s="65">
        <v>182.02075484097341</v>
      </c>
      <c r="D204" s="65">
        <v>182.02075484097341</v>
      </c>
      <c r="E204" s="65">
        <v>182.02075484097341</v>
      </c>
      <c r="F204" s="61"/>
      <c r="G204" s="61"/>
      <c r="H204" s="61"/>
      <c r="I204" s="61">
        <v>0.1190818577905937</v>
      </c>
      <c r="J204" s="61">
        <v>4.0152921384302598E-2</v>
      </c>
      <c r="K204" s="3" t="str">
        <f t="shared" si="3"/>
        <v>pass</v>
      </c>
      <c r="L204" s="19" t="str">
        <f>IFERROR(IF(AND(MATCH(A204,Projection_classes,0),YEAR(current_date)=Projections!B204),"pass","fail"),"")</f>
        <v>fail</v>
      </c>
    </row>
    <row r="205" spans="1:12" x14ac:dyDescent="0.25">
      <c r="A205" s="64" t="s">
        <v>59</v>
      </c>
      <c r="B205" s="64">
        <v>2022</v>
      </c>
      <c r="C205" s="65">
        <v>212.43988364559129</v>
      </c>
      <c r="D205" s="65">
        <v>212.43988364559129</v>
      </c>
      <c r="E205" s="65">
        <v>212.43988364559129</v>
      </c>
      <c r="F205" s="61"/>
      <c r="G205" s="61"/>
      <c r="H205" s="61"/>
      <c r="I205" s="61">
        <v>7.0417267524267579E-3</v>
      </c>
      <c r="J205" s="61">
        <v>2.3129092239561722E-2</v>
      </c>
      <c r="K205" s="3" t="str">
        <f t="shared" si="3"/>
        <v>pass</v>
      </c>
      <c r="L205" s="19" t="str">
        <f>IFERROR(IF(AND(MATCH(A205,Projection_classes,0),YEAR(current_date)=Projections!B205),"pass","fail"),"")</f>
        <v>fail</v>
      </c>
    </row>
    <row r="206" spans="1:12" x14ac:dyDescent="0.25">
      <c r="A206" s="64" t="s">
        <v>59</v>
      </c>
      <c r="B206" s="64">
        <v>2023</v>
      </c>
      <c r="C206" s="65">
        <v>188.78983078690851</v>
      </c>
      <c r="D206" s="65">
        <v>188.78983078690851</v>
      </c>
      <c r="E206" s="65">
        <v>188.78983078690851</v>
      </c>
      <c r="F206" s="61"/>
      <c r="G206" s="61"/>
      <c r="H206" s="61"/>
      <c r="I206" s="61">
        <v>-6.7643542605329565E-2</v>
      </c>
      <c r="J206" s="61">
        <v>5.1042204313796143E-2</v>
      </c>
      <c r="K206" s="3" t="str">
        <f t="shared" si="3"/>
        <v>pass</v>
      </c>
      <c r="L206" s="19" t="str">
        <f>IFERROR(IF(AND(MATCH(A206,Projection_classes,0),YEAR(current_date)=Projections!B206),"pass","fail"),"")</f>
        <v>fail</v>
      </c>
    </row>
    <row r="207" spans="1:12" x14ac:dyDescent="0.25">
      <c r="A207" s="64" t="s">
        <v>59</v>
      </c>
      <c r="B207" s="64">
        <v>2024</v>
      </c>
      <c r="C207" s="65">
        <v>164.59652583902709</v>
      </c>
      <c r="D207" s="65">
        <v>164.59652583902709</v>
      </c>
      <c r="E207" s="65">
        <v>164.59652583902709</v>
      </c>
      <c r="F207" s="61"/>
      <c r="G207" s="61"/>
      <c r="H207" s="61"/>
      <c r="I207" s="61">
        <v>-2.480210157851526E-2</v>
      </c>
      <c r="J207" s="61">
        <v>5.7277998354995363E-2</v>
      </c>
      <c r="K207" s="3" t="str">
        <f t="shared" si="3"/>
        <v>pass</v>
      </c>
      <c r="L207" s="19" t="str">
        <f>IFERROR(IF(AND(MATCH(A207,Projection_classes,0),YEAR(current_date)=Projections!B207),"pass","fail"),"")</f>
        <v>fail</v>
      </c>
    </row>
    <row r="208" spans="1:12" x14ac:dyDescent="0.25">
      <c r="A208" s="64" t="s">
        <v>59</v>
      </c>
      <c r="B208" s="64">
        <v>2025</v>
      </c>
      <c r="C208" s="65">
        <v>84.567406036176493</v>
      </c>
      <c r="D208" s="65">
        <v>84.567406036176493</v>
      </c>
      <c r="E208" s="65">
        <v>84.567406036176493</v>
      </c>
      <c r="F208" s="61"/>
      <c r="G208" s="61"/>
      <c r="H208" s="61"/>
      <c r="I208" s="61"/>
      <c r="J208" s="61"/>
      <c r="K208" s="3" t="str">
        <f t="shared" si="3"/>
        <v>pass</v>
      </c>
      <c r="L208" s="19" t="str">
        <f>IFERROR(IF(AND(MATCH(A208,Projection_classes,0),YEAR(current_date)=Projections!B208),"pass","fail"),"")</f>
        <v>fail</v>
      </c>
    </row>
    <row r="209" spans="1:12" x14ac:dyDescent="0.25">
      <c r="A209" s="64" t="s">
        <v>59</v>
      </c>
      <c r="B209" s="64">
        <v>2026</v>
      </c>
      <c r="C209" s="65">
        <v>128.8391299625859</v>
      </c>
      <c r="D209" s="65">
        <v>0</v>
      </c>
      <c r="E209" s="65">
        <v>0</v>
      </c>
      <c r="F209" s="61"/>
      <c r="G209" s="61"/>
      <c r="H209" s="61"/>
      <c r="I209" s="61"/>
      <c r="J209" s="61"/>
      <c r="K209" s="3" t="str">
        <f t="shared" si="3"/>
        <v>fail</v>
      </c>
      <c r="L209" s="19" t="str">
        <f>IFERROR(IF(AND(MATCH(A209,Projection_classes,0),YEAR(current_date)=Projections!B209),"pass","fail"),"")</f>
        <v>pass</v>
      </c>
    </row>
    <row r="210" spans="1:12" x14ac:dyDescent="0.25">
      <c r="A210" s="64" t="s">
        <v>61</v>
      </c>
      <c r="B210" s="64">
        <v>2001</v>
      </c>
      <c r="C210" s="65">
        <v>0</v>
      </c>
      <c r="D210" s="65">
        <v>0</v>
      </c>
      <c r="E210" s="65">
        <v>0</v>
      </c>
      <c r="F210" s="61"/>
      <c r="G210" s="61"/>
      <c r="H210" s="61"/>
      <c r="I210" s="61"/>
      <c r="J210" s="61"/>
      <c r="K210" s="3" t="str">
        <f t="shared" si="3"/>
        <v>pass</v>
      </c>
      <c r="L210" s="19" t="str">
        <f>IFERROR(IF(AND(MATCH(A210,Projection_classes,0),YEAR(current_date)=Projections!B210),"pass","fail"),"")</f>
        <v>fail</v>
      </c>
    </row>
    <row r="211" spans="1:12" x14ac:dyDescent="0.25">
      <c r="A211" s="64" t="s">
        <v>61</v>
      </c>
      <c r="B211" s="64">
        <v>2002</v>
      </c>
      <c r="C211" s="65">
        <v>0</v>
      </c>
      <c r="D211" s="65">
        <v>0</v>
      </c>
      <c r="E211" s="65">
        <v>0</v>
      </c>
      <c r="F211" s="61"/>
      <c r="G211" s="61"/>
      <c r="H211" s="61"/>
      <c r="I211" s="61"/>
      <c r="J211" s="61"/>
      <c r="K211" s="3" t="str">
        <f t="shared" si="3"/>
        <v>pass</v>
      </c>
      <c r="L211" s="19" t="str">
        <f>IFERROR(IF(AND(MATCH(A211,Projection_classes,0),YEAR(current_date)=Projections!B211),"pass","fail"),"")</f>
        <v>fail</v>
      </c>
    </row>
    <row r="212" spans="1:12" x14ac:dyDescent="0.25">
      <c r="A212" s="64" t="s">
        <v>61</v>
      </c>
      <c r="B212" s="64">
        <v>2003</v>
      </c>
      <c r="C212" s="65">
        <v>0</v>
      </c>
      <c r="D212" s="65">
        <v>0</v>
      </c>
      <c r="E212" s="65">
        <v>0</v>
      </c>
      <c r="F212" s="61"/>
      <c r="G212" s="61"/>
      <c r="H212" s="61"/>
      <c r="I212" s="61"/>
      <c r="J212" s="61"/>
      <c r="K212" s="3" t="str">
        <f t="shared" si="3"/>
        <v>pass</v>
      </c>
      <c r="L212" s="19" t="str">
        <f>IFERROR(IF(AND(MATCH(A212,Projection_classes,0),YEAR(current_date)=Projections!B212),"pass","fail"),"")</f>
        <v>fail</v>
      </c>
    </row>
    <row r="213" spans="1:12" x14ac:dyDescent="0.25">
      <c r="A213" s="64" t="s">
        <v>61</v>
      </c>
      <c r="B213" s="64">
        <v>2004</v>
      </c>
      <c r="C213" s="65">
        <v>0</v>
      </c>
      <c r="D213" s="65">
        <v>0</v>
      </c>
      <c r="E213" s="65">
        <v>0</v>
      </c>
      <c r="F213" s="61"/>
      <c r="G213" s="61"/>
      <c r="H213" s="61"/>
      <c r="I213" s="61"/>
      <c r="J213" s="61"/>
      <c r="K213" s="3" t="str">
        <f t="shared" si="3"/>
        <v>pass</v>
      </c>
      <c r="L213" s="19" t="str">
        <f>IFERROR(IF(AND(MATCH(A213,Projection_classes,0),YEAR(current_date)=Projections!B213),"pass","fail"),"")</f>
        <v>fail</v>
      </c>
    </row>
    <row r="214" spans="1:12" x14ac:dyDescent="0.25">
      <c r="A214" s="64" t="s">
        <v>61</v>
      </c>
      <c r="B214" s="64">
        <v>2005</v>
      </c>
      <c r="C214" s="65">
        <v>0</v>
      </c>
      <c r="D214" s="65">
        <v>0</v>
      </c>
      <c r="E214" s="65">
        <v>0</v>
      </c>
      <c r="F214" s="61"/>
      <c r="G214" s="61"/>
      <c r="H214" s="61"/>
      <c r="I214" s="61"/>
      <c r="J214" s="61"/>
      <c r="K214" s="3" t="str">
        <f t="shared" si="3"/>
        <v>pass</v>
      </c>
      <c r="L214" s="19" t="str">
        <f>IFERROR(IF(AND(MATCH(A214,Projection_classes,0),YEAR(current_date)=Projections!B214),"pass","fail"),"")</f>
        <v>fail</v>
      </c>
    </row>
    <row r="215" spans="1:12" x14ac:dyDescent="0.25">
      <c r="A215" s="64" t="s">
        <v>61</v>
      </c>
      <c r="B215" s="64">
        <v>2006</v>
      </c>
      <c r="C215" s="65">
        <v>0</v>
      </c>
      <c r="D215" s="65">
        <v>0</v>
      </c>
      <c r="E215" s="65">
        <v>0</v>
      </c>
      <c r="F215" s="61"/>
      <c r="G215" s="61"/>
      <c r="H215" s="61"/>
      <c r="I215" s="61"/>
      <c r="J215" s="61"/>
      <c r="K215" s="3" t="str">
        <f t="shared" si="3"/>
        <v>pass</v>
      </c>
      <c r="L215" s="19" t="str">
        <f>IFERROR(IF(AND(MATCH(A215,Projection_classes,0),YEAR(current_date)=Projections!B215),"pass","fail"),"")</f>
        <v>fail</v>
      </c>
    </row>
    <row r="216" spans="1:12" x14ac:dyDescent="0.25">
      <c r="A216" s="64" t="s">
        <v>61</v>
      </c>
      <c r="B216" s="64">
        <v>2007</v>
      </c>
      <c r="C216" s="65">
        <v>0</v>
      </c>
      <c r="D216" s="65">
        <v>0</v>
      </c>
      <c r="E216" s="65">
        <v>0</v>
      </c>
      <c r="F216" s="61"/>
      <c r="G216" s="61"/>
      <c r="H216" s="61"/>
      <c r="I216" s="61"/>
      <c r="J216" s="61"/>
      <c r="K216" s="3" t="str">
        <f t="shared" si="3"/>
        <v>pass</v>
      </c>
      <c r="L216" s="19" t="str">
        <f>IFERROR(IF(AND(MATCH(A216,Projection_classes,0),YEAR(current_date)=Projections!B216),"pass","fail"),"")</f>
        <v>fail</v>
      </c>
    </row>
    <row r="217" spans="1:12" x14ac:dyDescent="0.25">
      <c r="A217" s="64" t="s">
        <v>61</v>
      </c>
      <c r="B217" s="64">
        <v>2008</v>
      </c>
      <c r="C217" s="65">
        <v>0</v>
      </c>
      <c r="D217" s="65">
        <v>0</v>
      </c>
      <c r="E217" s="65">
        <v>0</v>
      </c>
      <c r="F217" s="61"/>
      <c r="G217" s="61"/>
      <c r="H217" s="61"/>
      <c r="I217" s="61"/>
      <c r="J217" s="61"/>
      <c r="K217" s="3" t="str">
        <f t="shared" si="3"/>
        <v>pass</v>
      </c>
      <c r="L217" s="19" t="str">
        <f>IFERROR(IF(AND(MATCH(A217,Projection_classes,0),YEAR(current_date)=Projections!B217),"pass","fail"),"")</f>
        <v>fail</v>
      </c>
    </row>
    <row r="218" spans="1:12" x14ac:dyDescent="0.25">
      <c r="A218" s="64" t="s">
        <v>61</v>
      </c>
      <c r="B218" s="64">
        <v>2009</v>
      </c>
      <c r="C218" s="65">
        <v>4.8300099999999997</v>
      </c>
      <c r="D218" s="65">
        <v>4.8300099999999997</v>
      </c>
      <c r="E218" s="65">
        <v>4.8300099999999997</v>
      </c>
      <c r="F218" s="61"/>
      <c r="G218" s="61"/>
      <c r="H218" s="61"/>
      <c r="I218" s="61"/>
      <c r="J218" s="61"/>
      <c r="K218" s="3" t="str">
        <f t="shared" si="3"/>
        <v>pass</v>
      </c>
      <c r="L218" s="19" t="str">
        <f>IFERROR(IF(AND(MATCH(A218,Projection_classes,0),YEAR(current_date)=Projections!B218),"pass","fail"),"")</f>
        <v>fail</v>
      </c>
    </row>
    <row r="219" spans="1:12" x14ac:dyDescent="0.25">
      <c r="A219" s="64" t="s">
        <v>61</v>
      </c>
      <c r="B219" s="64">
        <v>2010</v>
      </c>
      <c r="C219" s="65">
        <v>12.1174555475658</v>
      </c>
      <c r="D219" s="65">
        <v>12.1174555475658</v>
      </c>
      <c r="E219" s="65">
        <v>12.1174555475658</v>
      </c>
      <c r="F219" s="61"/>
      <c r="G219" s="61"/>
      <c r="H219" s="61"/>
      <c r="I219" s="61"/>
      <c r="J219" s="61"/>
      <c r="K219" s="3" t="str">
        <f t="shared" si="3"/>
        <v>pass</v>
      </c>
      <c r="L219" s="19" t="str">
        <f>IFERROR(IF(AND(MATCH(A219,Projection_classes,0),YEAR(current_date)=Projections!B219),"pass","fail"),"")</f>
        <v>fail</v>
      </c>
    </row>
    <row r="220" spans="1:12" x14ac:dyDescent="0.25">
      <c r="A220" s="64" t="s">
        <v>61</v>
      </c>
      <c r="B220" s="64">
        <v>2011</v>
      </c>
      <c r="C220" s="65">
        <v>20.54183407490013</v>
      </c>
      <c r="D220" s="65">
        <v>20.54183407490013</v>
      </c>
      <c r="E220" s="65">
        <v>20.54183407490013</v>
      </c>
      <c r="F220" s="61"/>
      <c r="G220" s="61"/>
      <c r="H220" s="61"/>
      <c r="I220" s="61"/>
      <c r="J220" s="61"/>
      <c r="K220" s="3" t="str">
        <f t="shared" si="3"/>
        <v>pass</v>
      </c>
      <c r="L220" s="19" t="str">
        <f>IFERROR(IF(AND(MATCH(A220,Projection_classes,0),YEAR(current_date)=Projections!B220),"pass","fail"),"")</f>
        <v>fail</v>
      </c>
    </row>
    <row r="221" spans="1:12" x14ac:dyDescent="0.25">
      <c r="A221" s="64" t="s">
        <v>61</v>
      </c>
      <c r="B221" s="64">
        <v>2012</v>
      </c>
      <c r="C221" s="65">
        <v>26.62474961861966</v>
      </c>
      <c r="D221" s="65">
        <v>26.62474961861966</v>
      </c>
      <c r="E221" s="65">
        <v>26.62474961861966</v>
      </c>
      <c r="F221" s="61"/>
      <c r="G221" s="61"/>
      <c r="H221" s="61"/>
      <c r="I221" s="61"/>
      <c r="J221" s="61"/>
      <c r="K221" s="3" t="str">
        <f t="shared" si="3"/>
        <v>pass</v>
      </c>
      <c r="L221" s="19" t="str">
        <f>IFERROR(IF(AND(MATCH(A221,Projection_classes,0),YEAR(current_date)=Projections!B221),"pass","fail"),"")</f>
        <v>fail</v>
      </c>
    </row>
    <row r="222" spans="1:12" x14ac:dyDescent="0.25">
      <c r="A222" s="64" t="s">
        <v>61</v>
      </c>
      <c r="B222" s="64">
        <v>2013</v>
      </c>
      <c r="C222" s="65">
        <v>25.304835198048469</v>
      </c>
      <c r="D222" s="65">
        <v>25.304835198048469</v>
      </c>
      <c r="E222" s="65">
        <v>25.304835198048469</v>
      </c>
      <c r="F222" s="61"/>
      <c r="G222" s="61"/>
      <c r="H222" s="61"/>
      <c r="I222" s="61"/>
      <c r="J222" s="61"/>
      <c r="K222" s="3" t="str">
        <f t="shared" si="3"/>
        <v>pass</v>
      </c>
      <c r="L222" s="19" t="str">
        <f>IFERROR(IF(AND(MATCH(A222,Projection_classes,0),YEAR(current_date)=Projections!B222),"pass","fail"),"")</f>
        <v>fail</v>
      </c>
    </row>
    <row r="223" spans="1:12" x14ac:dyDescent="0.25">
      <c r="A223" s="64" t="s">
        <v>61</v>
      </c>
      <c r="B223" s="64">
        <v>2014</v>
      </c>
      <c r="C223" s="65">
        <v>26.21803944892773</v>
      </c>
      <c r="D223" s="65">
        <v>26.21803944892773</v>
      </c>
      <c r="E223" s="65">
        <v>26.21803944892773</v>
      </c>
      <c r="F223" s="61"/>
      <c r="G223" s="61"/>
      <c r="H223" s="61"/>
      <c r="I223" s="61">
        <v>-2.3959248638255159E-2</v>
      </c>
      <c r="J223" s="61">
        <v>6.8580000000000085E-2</v>
      </c>
      <c r="K223" s="3" t="str">
        <f t="shared" si="3"/>
        <v>pass</v>
      </c>
      <c r="L223" s="19" t="str">
        <f>IFERROR(IF(AND(MATCH(A223,Projection_classes,0),YEAR(current_date)=Projections!B223),"pass","fail"),"")</f>
        <v>fail</v>
      </c>
    </row>
    <row r="224" spans="1:12" x14ac:dyDescent="0.25">
      <c r="A224" s="64" t="s">
        <v>61</v>
      </c>
      <c r="B224" s="64">
        <v>2015</v>
      </c>
      <c r="C224" s="65">
        <v>35.687137612522328</v>
      </c>
      <c r="D224" s="65">
        <v>35.687137612522328</v>
      </c>
      <c r="E224" s="65">
        <v>35.687137612522328</v>
      </c>
      <c r="F224" s="61"/>
      <c r="G224" s="61"/>
      <c r="H224" s="61"/>
      <c r="I224" s="61">
        <v>-3.9321522311267398E-2</v>
      </c>
      <c r="J224" s="61">
        <v>6.8580000000000085E-2</v>
      </c>
      <c r="K224" s="3" t="str">
        <f t="shared" si="3"/>
        <v>pass</v>
      </c>
      <c r="L224" s="19" t="str">
        <f>IFERROR(IF(AND(MATCH(A224,Projection_classes,0),YEAR(current_date)=Projections!B224),"pass","fail"),"")</f>
        <v>fail</v>
      </c>
    </row>
    <row r="225" spans="1:12" x14ac:dyDescent="0.25">
      <c r="A225" s="64" t="s">
        <v>61</v>
      </c>
      <c r="B225" s="64">
        <v>2016</v>
      </c>
      <c r="C225" s="65">
        <v>48.957477780365181</v>
      </c>
      <c r="D225" s="65">
        <v>48.957477780365181</v>
      </c>
      <c r="E225" s="65">
        <v>48.957477780365181</v>
      </c>
      <c r="F225" s="61"/>
      <c r="G225" s="61"/>
      <c r="H225" s="61"/>
      <c r="I225" s="61">
        <v>-4.9062589476931873E-2</v>
      </c>
      <c r="J225" s="61">
        <v>6.739509834935431E-2</v>
      </c>
      <c r="K225" s="3" t="str">
        <f t="shared" si="3"/>
        <v>pass</v>
      </c>
      <c r="L225" s="19" t="str">
        <f>IFERROR(IF(AND(MATCH(A225,Projection_classes,0),YEAR(current_date)=Projections!B225),"pass","fail"),"")</f>
        <v>fail</v>
      </c>
    </row>
    <row r="226" spans="1:12" x14ac:dyDescent="0.25">
      <c r="A226" s="64" t="s">
        <v>61</v>
      </c>
      <c r="B226" s="64">
        <v>2017</v>
      </c>
      <c r="C226" s="65">
        <v>40.232654552418339</v>
      </c>
      <c r="D226" s="65">
        <v>40.232654552418339</v>
      </c>
      <c r="E226" s="65">
        <v>40.232654552418339</v>
      </c>
      <c r="F226" s="61"/>
      <c r="G226" s="61"/>
      <c r="H226" s="61"/>
      <c r="I226" s="61">
        <v>-9.0371592634727049E-3</v>
      </c>
      <c r="J226" s="61">
        <v>6.1930872092349709E-2</v>
      </c>
      <c r="K226" s="3" t="str">
        <f t="shared" si="3"/>
        <v>pass</v>
      </c>
      <c r="L226" s="19" t="str">
        <f>IFERROR(IF(AND(MATCH(A226,Projection_classes,0),YEAR(current_date)=Projections!B226),"pass","fail"),"")</f>
        <v>fail</v>
      </c>
    </row>
    <row r="227" spans="1:12" x14ac:dyDescent="0.25">
      <c r="A227" s="64" t="s">
        <v>61</v>
      </c>
      <c r="B227" s="64">
        <v>2018</v>
      </c>
      <c r="C227" s="65">
        <v>38.123754230968167</v>
      </c>
      <c r="D227" s="65">
        <v>38.123754230968167</v>
      </c>
      <c r="E227" s="65">
        <v>38.123754230968167</v>
      </c>
      <c r="F227" s="61"/>
      <c r="G227" s="61"/>
      <c r="H227" s="61"/>
      <c r="I227" s="61">
        <v>-1.4026195674032521E-2</v>
      </c>
      <c r="J227" s="61">
        <v>5.6519454233459943E-2</v>
      </c>
      <c r="K227" s="3" t="str">
        <f t="shared" si="3"/>
        <v>pass</v>
      </c>
      <c r="L227" s="19" t="str">
        <f>IFERROR(IF(AND(MATCH(A227,Projection_classes,0),YEAR(current_date)=Projections!B227),"pass","fail"),"")</f>
        <v>fail</v>
      </c>
    </row>
    <row r="228" spans="1:12" x14ac:dyDescent="0.25">
      <c r="A228" s="64" t="s">
        <v>61</v>
      </c>
      <c r="B228" s="64">
        <v>2019</v>
      </c>
      <c r="C228" s="65">
        <v>46.56383330131446</v>
      </c>
      <c r="D228" s="65">
        <v>46.56383330131446</v>
      </c>
      <c r="E228" s="65">
        <v>46.56383330131446</v>
      </c>
      <c r="F228" s="61"/>
      <c r="G228" s="61"/>
      <c r="H228" s="61"/>
      <c r="I228" s="61">
        <v>2.4632278013185131E-2</v>
      </c>
      <c r="J228" s="61">
        <v>5.6747126551109688E-2</v>
      </c>
      <c r="K228" s="3" t="str">
        <f t="shared" si="3"/>
        <v>pass</v>
      </c>
      <c r="L228" s="19" t="str">
        <f>IFERROR(IF(AND(MATCH(A228,Projection_classes,0),YEAR(current_date)=Projections!B228),"pass","fail"),"")</f>
        <v>fail</v>
      </c>
    </row>
    <row r="229" spans="1:12" x14ac:dyDescent="0.25">
      <c r="A229" s="64" t="s">
        <v>61</v>
      </c>
      <c r="B229" s="64">
        <v>2020</v>
      </c>
      <c r="C229" s="65">
        <v>55.763396413731783</v>
      </c>
      <c r="D229" s="65">
        <v>55.763396413731783</v>
      </c>
      <c r="E229" s="65">
        <v>55.763396413731783</v>
      </c>
      <c r="F229" s="61"/>
      <c r="G229" s="61"/>
      <c r="H229" s="61"/>
      <c r="I229" s="61">
        <v>0.24089042187187171</v>
      </c>
      <c r="J229" s="61">
        <v>5.8590408795188509E-2</v>
      </c>
      <c r="K229" s="3" t="str">
        <f t="shared" si="3"/>
        <v>pass</v>
      </c>
      <c r="L229" s="19" t="str">
        <f>IFERROR(IF(AND(MATCH(A229,Projection_classes,0),YEAR(current_date)=Projections!B229),"pass","fail"),"")</f>
        <v>fail</v>
      </c>
    </row>
    <row r="230" spans="1:12" x14ac:dyDescent="0.25">
      <c r="A230" s="64" t="s">
        <v>61</v>
      </c>
      <c r="B230" s="64">
        <v>2021</v>
      </c>
      <c r="C230" s="65">
        <v>52.777815539026612</v>
      </c>
      <c r="D230" s="65">
        <v>52.777815539026612</v>
      </c>
      <c r="E230" s="65">
        <v>52.777815539026612</v>
      </c>
      <c r="F230" s="61"/>
      <c r="G230" s="61"/>
      <c r="H230" s="61"/>
      <c r="I230" s="61">
        <v>0.1190818577905937</v>
      </c>
      <c r="J230" s="61">
        <v>4.0152921384302598E-2</v>
      </c>
      <c r="K230" s="3" t="str">
        <f t="shared" si="3"/>
        <v>pass</v>
      </c>
      <c r="L230" s="19" t="str">
        <f>IFERROR(IF(AND(MATCH(A230,Projection_classes,0),YEAR(current_date)=Projections!B230),"pass","fail"),"")</f>
        <v>fail</v>
      </c>
    </row>
    <row r="231" spans="1:12" x14ac:dyDescent="0.25">
      <c r="A231" s="64" t="s">
        <v>61</v>
      </c>
      <c r="B231" s="64">
        <v>2022</v>
      </c>
      <c r="C231" s="65">
        <v>73.623808584408707</v>
      </c>
      <c r="D231" s="65">
        <v>73.623808584408707</v>
      </c>
      <c r="E231" s="65">
        <v>73.623808584408707</v>
      </c>
      <c r="F231" s="61"/>
      <c r="G231" s="61"/>
      <c r="H231" s="61"/>
      <c r="I231" s="61">
        <v>7.0417267524267579E-3</v>
      </c>
      <c r="J231" s="61">
        <v>2.3129092239561722E-2</v>
      </c>
      <c r="K231" s="3" t="str">
        <f t="shared" si="3"/>
        <v>pass</v>
      </c>
      <c r="L231" s="19" t="str">
        <f>IFERROR(IF(AND(MATCH(A231,Projection_classes,0),YEAR(current_date)=Projections!B231),"pass","fail"),"")</f>
        <v>fail</v>
      </c>
    </row>
    <row r="232" spans="1:12" x14ac:dyDescent="0.25">
      <c r="A232" s="64" t="s">
        <v>61</v>
      </c>
      <c r="B232" s="64">
        <v>2023</v>
      </c>
      <c r="C232" s="65">
        <v>71.580507563091587</v>
      </c>
      <c r="D232" s="65">
        <v>71.580507563091587</v>
      </c>
      <c r="E232" s="65">
        <v>71.580507563091587</v>
      </c>
      <c r="F232" s="61"/>
      <c r="G232" s="61"/>
      <c r="H232" s="61"/>
      <c r="I232" s="61">
        <v>-6.7643542605329565E-2</v>
      </c>
      <c r="J232" s="61">
        <v>5.1042204313796143E-2</v>
      </c>
      <c r="K232" s="3" t="str">
        <f t="shared" si="3"/>
        <v>pass</v>
      </c>
      <c r="L232" s="19" t="str">
        <f>IFERROR(IF(AND(MATCH(A232,Projection_classes,0),YEAR(current_date)=Projections!B232),"pass","fail"),"")</f>
        <v>fail</v>
      </c>
    </row>
    <row r="233" spans="1:12" x14ac:dyDescent="0.25">
      <c r="A233" s="64" t="s">
        <v>61</v>
      </c>
      <c r="B233" s="64">
        <v>2024</v>
      </c>
      <c r="C233" s="65">
        <v>91.14396700097295</v>
      </c>
      <c r="D233" s="65">
        <v>91.14396700097295</v>
      </c>
      <c r="E233" s="65">
        <v>91.14396700097295</v>
      </c>
      <c r="F233" s="61"/>
      <c r="G233" s="61"/>
      <c r="H233" s="61"/>
      <c r="I233" s="61">
        <v>-2.480210157851526E-2</v>
      </c>
      <c r="J233" s="61">
        <v>5.7277998354995363E-2</v>
      </c>
      <c r="K233" s="3" t="str">
        <f t="shared" si="3"/>
        <v>pass</v>
      </c>
      <c r="L233" s="19" t="str">
        <f>IFERROR(IF(AND(MATCH(A233,Projection_classes,0),YEAR(current_date)=Projections!B233),"pass","fail"),"")</f>
        <v>fail</v>
      </c>
    </row>
    <row r="234" spans="1:12" x14ac:dyDescent="0.25">
      <c r="A234" s="64" t="s">
        <v>61</v>
      </c>
      <c r="B234" s="64">
        <v>2025</v>
      </c>
      <c r="C234" s="65">
        <v>45.735049963823499</v>
      </c>
      <c r="D234" s="65">
        <v>45.735049963823499</v>
      </c>
      <c r="E234" s="65">
        <v>45.735049963823499</v>
      </c>
      <c r="F234" s="61"/>
      <c r="G234" s="61"/>
      <c r="H234" s="61"/>
      <c r="I234" s="61"/>
      <c r="J234" s="61"/>
      <c r="K234" s="3" t="str">
        <f t="shared" si="3"/>
        <v>pass</v>
      </c>
      <c r="L234" s="19" t="str">
        <f>IFERROR(IF(AND(MATCH(A234,Projection_classes,0),YEAR(current_date)=Projections!B234),"pass","fail"),"")</f>
        <v>fail</v>
      </c>
    </row>
    <row r="235" spans="1:12" x14ac:dyDescent="0.25">
      <c r="A235" s="64" t="s">
        <v>61</v>
      </c>
      <c r="B235" s="64">
        <v>2026</v>
      </c>
      <c r="C235" s="65">
        <v>70.377848706122336</v>
      </c>
      <c r="D235" s="65">
        <v>0</v>
      </c>
      <c r="E235" s="65">
        <v>0</v>
      </c>
      <c r="F235" s="61"/>
      <c r="G235" s="61"/>
      <c r="H235" s="61"/>
      <c r="I235" s="61"/>
      <c r="J235" s="61"/>
      <c r="K235" s="3" t="str">
        <f t="shared" si="3"/>
        <v>fail</v>
      </c>
      <c r="L235" s="19" t="str">
        <f>IFERROR(IF(AND(MATCH(A235,Projection_classes,0),YEAR(current_date)=Projections!B235),"pass","fail"),"")</f>
        <v>pass</v>
      </c>
    </row>
    <row r="236" spans="1:12" x14ac:dyDescent="0.25">
      <c r="A236" s="64" t="s">
        <v>55</v>
      </c>
      <c r="B236" s="64">
        <v>2001</v>
      </c>
      <c r="C236" s="65">
        <v>0</v>
      </c>
      <c r="D236" s="65">
        <v>0</v>
      </c>
      <c r="E236" s="65">
        <v>0</v>
      </c>
      <c r="F236" s="61"/>
      <c r="G236" s="61"/>
      <c r="H236" s="61"/>
      <c r="I236" s="61"/>
      <c r="J236" s="61"/>
      <c r="K236" s="3" t="str">
        <f t="shared" si="3"/>
        <v>pass</v>
      </c>
      <c r="L236" s="19" t="str">
        <f>IFERROR(IF(AND(MATCH(A236,Projection_classes,0),YEAR(current_date)=Projections!B236),"pass","fail"),"")</f>
        <v>fail</v>
      </c>
    </row>
    <row r="237" spans="1:12" x14ac:dyDescent="0.25">
      <c r="A237" s="64" t="s">
        <v>55</v>
      </c>
      <c r="B237" s="64">
        <v>2002</v>
      </c>
      <c r="C237" s="65">
        <v>0</v>
      </c>
      <c r="D237" s="65">
        <v>0</v>
      </c>
      <c r="E237" s="65">
        <v>0</v>
      </c>
      <c r="F237" s="61"/>
      <c r="G237" s="61"/>
      <c r="H237" s="61"/>
      <c r="I237" s="61"/>
      <c r="J237" s="61"/>
      <c r="K237" s="3" t="str">
        <f t="shared" si="3"/>
        <v>pass</v>
      </c>
      <c r="L237" s="19" t="str">
        <f>IFERROR(IF(AND(MATCH(A237,Projection_classes,0),YEAR(current_date)=Projections!B237),"pass","fail"),"")</f>
        <v>fail</v>
      </c>
    </row>
    <row r="238" spans="1:12" x14ac:dyDescent="0.25">
      <c r="A238" s="64" t="s">
        <v>55</v>
      </c>
      <c r="B238" s="64">
        <v>2003</v>
      </c>
      <c r="C238" s="65">
        <v>0</v>
      </c>
      <c r="D238" s="65">
        <v>0</v>
      </c>
      <c r="E238" s="65">
        <v>0</v>
      </c>
      <c r="F238" s="61"/>
      <c r="G238" s="61"/>
      <c r="H238" s="61"/>
      <c r="I238" s="61"/>
      <c r="J238" s="61"/>
      <c r="K238" s="3" t="str">
        <f t="shared" si="3"/>
        <v>pass</v>
      </c>
      <c r="L238" s="19" t="str">
        <f>IFERROR(IF(AND(MATCH(A238,Projection_classes,0),YEAR(current_date)=Projections!B238),"pass","fail"),"")</f>
        <v>fail</v>
      </c>
    </row>
    <row r="239" spans="1:12" x14ac:dyDescent="0.25">
      <c r="A239" s="64" t="s">
        <v>55</v>
      </c>
      <c r="B239" s="64">
        <v>2004</v>
      </c>
      <c r="C239" s="65">
        <v>0</v>
      </c>
      <c r="D239" s="65">
        <v>0</v>
      </c>
      <c r="E239" s="65">
        <v>0</v>
      </c>
      <c r="F239" s="61"/>
      <c r="G239" s="61"/>
      <c r="H239" s="61"/>
      <c r="I239" s="61"/>
      <c r="J239" s="61"/>
      <c r="K239" s="3" t="str">
        <f t="shared" si="3"/>
        <v>pass</v>
      </c>
      <c r="L239" s="19" t="str">
        <f>IFERROR(IF(AND(MATCH(A239,Projection_classes,0),YEAR(current_date)=Projections!B239),"pass","fail"),"")</f>
        <v>fail</v>
      </c>
    </row>
    <row r="240" spans="1:12" x14ac:dyDescent="0.25">
      <c r="A240" s="64" t="s">
        <v>55</v>
      </c>
      <c r="B240" s="64">
        <v>2005</v>
      </c>
      <c r="C240" s="65">
        <v>0</v>
      </c>
      <c r="D240" s="65">
        <v>0</v>
      </c>
      <c r="E240" s="65">
        <v>0</v>
      </c>
      <c r="F240" s="61"/>
      <c r="G240" s="61"/>
      <c r="H240" s="61"/>
      <c r="I240" s="61"/>
      <c r="J240" s="61"/>
      <c r="K240" s="3" t="str">
        <f t="shared" si="3"/>
        <v>pass</v>
      </c>
      <c r="L240" s="19" t="str">
        <f>IFERROR(IF(AND(MATCH(A240,Projection_classes,0),YEAR(current_date)=Projections!B240),"pass","fail"),"")</f>
        <v>fail</v>
      </c>
    </row>
    <row r="241" spans="1:12" x14ac:dyDescent="0.25">
      <c r="A241" s="64" t="s">
        <v>55</v>
      </c>
      <c r="B241" s="64">
        <v>2006</v>
      </c>
      <c r="C241" s="65">
        <v>0</v>
      </c>
      <c r="D241" s="65">
        <v>0</v>
      </c>
      <c r="E241" s="65">
        <v>0</v>
      </c>
      <c r="F241" s="61"/>
      <c r="G241" s="61"/>
      <c r="H241" s="61"/>
      <c r="I241" s="61"/>
      <c r="J241" s="61"/>
      <c r="K241" s="3" t="str">
        <f t="shared" si="3"/>
        <v>pass</v>
      </c>
      <c r="L241" s="19" t="str">
        <f>IFERROR(IF(AND(MATCH(A241,Projection_classes,0),YEAR(current_date)=Projections!B241),"pass","fail"),"")</f>
        <v>fail</v>
      </c>
    </row>
    <row r="242" spans="1:12" x14ac:dyDescent="0.25">
      <c r="A242" s="64" t="s">
        <v>55</v>
      </c>
      <c r="B242" s="64">
        <v>2007</v>
      </c>
      <c r="C242" s="65">
        <v>0</v>
      </c>
      <c r="D242" s="65">
        <v>0</v>
      </c>
      <c r="E242" s="65">
        <v>0</v>
      </c>
      <c r="F242" s="61"/>
      <c r="G242" s="61"/>
      <c r="H242" s="61"/>
      <c r="I242" s="61"/>
      <c r="J242" s="61"/>
      <c r="K242" s="3" t="str">
        <f t="shared" si="3"/>
        <v>pass</v>
      </c>
      <c r="L242" s="19" t="str">
        <f>IFERROR(IF(AND(MATCH(A242,Projection_classes,0),YEAR(current_date)=Projections!B242),"pass","fail"),"")</f>
        <v>fail</v>
      </c>
    </row>
    <row r="243" spans="1:12" x14ac:dyDescent="0.25">
      <c r="A243" s="64" t="s">
        <v>55</v>
      </c>
      <c r="B243" s="64">
        <v>2008</v>
      </c>
      <c r="C243" s="65">
        <v>0</v>
      </c>
      <c r="D243" s="65">
        <v>0</v>
      </c>
      <c r="E243" s="65">
        <v>0</v>
      </c>
      <c r="F243" s="61"/>
      <c r="G243" s="61"/>
      <c r="H243" s="61"/>
      <c r="I243" s="61"/>
      <c r="J243" s="61"/>
      <c r="K243" s="3" t="str">
        <f t="shared" si="3"/>
        <v>pass</v>
      </c>
      <c r="L243" s="19" t="str">
        <f>IFERROR(IF(AND(MATCH(A243,Projection_classes,0),YEAR(current_date)=Projections!B243),"pass","fail"),"")</f>
        <v>fail</v>
      </c>
    </row>
    <row r="244" spans="1:12" x14ac:dyDescent="0.25">
      <c r="A244" s="64" t="s">
        <v>55</v>
      </c>
      <c r="B244" s="64">
        <v>2009</v>
      </c>
      <c r="C244" s="65">
        <v>0</v>
      </c>
      <c r="D244" s="65">
        <v>0</v>
      </c>
      <c r="E244" s="65">
        <v>0</v>
      </c>
      <c r="F244" s="61"/>
      <c r="G244" s="61"/>
      <c r="H244" s="61"/>
      <c r="I244" s="61"/>
      <c r="J244" s="61"/>
      <c r="K244" s="3" t="str">
        <f t="shared" si="3"/>
        <v>pass</v>
      </c>
      <c r="L244" s="19" t="str">
        <f>IFERROR(IF(AND(MATCH(A244,Projection_classes,0),YEAR(current_date)=Projections!B244),"pass","fail"),"")</f>
        <v>fail</v>
      </c>
    </row>
    <row r="245" spans="1:12" x14ac:dyDescent="0.25">
      <c r="A245" s="64" t="s">
        <v>55</v>
      </c>
      <c r="B245" s="64">
        <v>2010</v>
      </c>
      <c r="C245" s="65">
        <v>0</v>
      </c>
      <c r="D245" s="65">
        <v>0</v>
      </c>
      <c r="E245" s="65">
        <v>0</v>
      </c>
      <c r="F245" s="61"/>
      <c r="G245" s="61"/>
      <c r="H245" s="61"/>
      <c r="I245" s="61"/>
      <c r="J245" s="61"/>
      <c r="K245" s="3" t="str">
        <f t="shared" si="3"/>
        <v>pass</v>
      </c>
      <c r="L245" s="19" t="str">
        <f>IFERROR(IF(AND(MATCH(A245,Projection_classes,0),YEAR(current_date)=Projections!B245),"pass","fail"),"")</f>
        <v>fail</v>
      </c>
    </row>
    <row r="246" spans="1:12" x14ac:dyDescent="0.25">
      <c r="A246" s="64" t="s">
        <v>55</v>
      </c>
      <c r="B246" s="64">
        <v>2011</v>
      </c>
      <c r="C246" s="65">
        <v>0</v>
      </c>
      <c r="D246" s="65">
        <v>0</v>
      </c>
      <c r="E246" s="65">
        <v>0</v>
      </c>
      <c r="F246" s="61"/>
      <c r="G246" s="61"/>
      <c r="H246" s="61"/>
      <c r="I246" s="61"/>
      <c r="J246" s="61"/>
      <c r="K246" s="3" t="str">
        <f t="shared" si="3"/>
        <v>pass</v>
      </c>
      <c r="L246" s="19" t="str">
        <f>IFERROR(IF(AND(MATCH(A246,Projection_classes,0),YEAR(current_date)=Projections!B246),"pass","fail"),"")</f>
        <v>fail</v>
      </c>
    </row>
    <row r="247" spans="1:12" x14ac:dyDescent="0.25">
      <c r="A247" s="64" t="s">
        <v>55</v>
      </c>
      <c r="B247" s="64">
        <v>2012</v>
      </c>
      <c r="C247" s="65">
        <v>0</v>
      </c>
      <c r="D247" s="65">
        <v>0</v>
      </c>
      <c r="E247" s="65">
        <v>0</v>
      </c>
      <c r="F247" s="61"/>
      <c r="G247" s="61"/>
      <c r="H247" s="61"/>
      <c r="I247" s="61"/>
      <c r="J247" s="61"/>
      <c r="K247" s="3" t="str">
        <f t="shared" si="3"/>
        <v>pass</v>
      </c>
      <c r="L247" s="19" t="str">
        <f>IFERROR(IF(AND(MATCH(A247,Projection_classes,0),YEAR(current_date)=Projections!B247),"pass","fail"),"")</f>
        <v>fail</v>
      </c>
    </row>
    <row r="248" spans="1:12" x14ac:dyDescent="0.25">
      <c r="A248" s="64" t="s">
        <v>55</v>
      </c>
      <c r="B248" s="64">
        <v>2013</v>
      </c>
      <c r="C248" s="65">
        <v>0</v>
      </c>
      <c r="D248" s="65">
        <v>0</v>
      </c>
      <c r="E248" s="65">
        <v>0</v>
      </c>
      <c r="F248" s="61"/>
      <c r="G248" s="61"/>
      <c r="H248" s="61"/>
      <c r="I248" s="61"/>
      <c r="J248" s="61"/>
      <c r="K248" s="3" t="str">
        <f t="shared" si="3"/>
        <v>pass</v>
      </c>
      <c r="L248" s="19" t="str">
        <f>IFERROR(IF(AND(MATCH(A248,Projection_classes,0),YEAR(current_date)=Projections!B248),"pass","fail"),"")</f>
        <v>fail</v>
      </c>
    </row>
    <row r="249" spans="1:12" x14ac:dyDescent="0.25">
      <c r="A249" s="64" t="s">
        <v>55</v>
      </c>
      <c r="B249" s="64">
        <v>2014</v>
      </c>
      <c r="C249" s="65">
        <v>0</v>
      </c>
      <c r="D249" s="65">
        <v>0</v>
      </c>
      <c r="E249" s="65">
        <v>0</v>
      </c>
      <c r="F249" s="61"/>
      <c r="G249" s="61"/>
      <c r="H249" s="61"/>
      <c r="I249" s="61"/>
      <c r="J249" s="61"/>
      <c r="K249" s="3" t="str">
        <f t="shared" si="3"/>
        <v>pass</v>
      </c>
      <c r="L249" s="19" t="str">
        <f>IFERROR(IF(AND(MATCH(A249,Projection_classes,0),YEAR(current_date)=Projections!B249),"pass","fail"),"")</f>
        <v>fail</v>
      </c>
    </row>
    <row r="250" spans="1:12" x14ac:dyDescent="0.25">
      <c r="A250" s="64" t="s">
        <v>55</v>
      </c>
      <c r="B250" s="64">
        <v>2015</v>
      </c>
      <c r="C250" s="65">
        <v>0</v>
      </c>
      <c r="D250" s="65">
        <v>0</v>
      </c>
      <c r="E250" s="65">
        <v>0</v>
      </c>
      <c r="F250" s="61"/>
      <c r="G250" s="61"/>
      <c r="H250" s="61"/>
      <c r="I250" s="61"/>
      <c r="J250" s="61"/>
      <c r="K250" s="3" t="str">
        <f t="shared" si="3"/>
        <v>pass</v>
      </c>
      <c r="L250" s="19" t="str">
        <f>IFERROR(IF(AND(MATCH(A250,Projection_classes,0),YEAR(current_date)=Projections!B250),"pass","fail"),"")</f>
        <v>fail</v>
      </c>
    </row>
    <row r="251" spans="1:12" x14ac:dyDescent="0.25">
      <c r="A251" s="64" t="s">
        <v>55</v>
      </c>
      <c r="B251" s="64">
        <v>2016</v>
      </c>
      <c r="C251" s="65">
        <v>0</v>
      </c>
      <c r="D251" s="65">
        <v>0</v>
      </c>
      <c r="E251" s="65">
        <v>0</v>
      </c>
      <c r="F251" s="61"/>
      <c r="G251" s="61"/>
      <c r="H251" s="61"/>
      <c r="I251" s="61"/>
      <c r="J251" s="61"/>
      <c r="K251" s="3" t="str">
        <f t="shared" si="3"/>
        <v>pass</v>
      </c>
      <c r="L251" s="19" t="str">
        <f>IFERROR(IF(AND(MATCH(A251,Projection_classes,0),YEAR(current_date)=Projections!B251),"pass","fail"),"")</f>
        <v>fail</v>
      </c>
    </row>
    <row r="252" spans="1:12" x14ac:dyDescent="0.25">
      <c r="A252" s="64" t="s">
        <v>55</v>
      </c>
      <c r="B252" s="64">
        <v>2017</v>
      </c>
      <c r="C252" s="65">
        <v>0</v>
      </c>
      <c r="D252" s="65">
        <v>0</v>
      </c>
      <c r="E252" s="65">
        <v>0</v>
      </c>
      <c r="F252" s="61"/>
      <c r="G252" s="61"/>
      <c r="H252" s="61"/>
      <c r="I252" s="61"/>
      <c r="J252" s="61"/>
      <c r="K252" s="3" t="str">
        <f t="shared" si="3"/>
        <v>pass</v>
      </c>
      <c r="L252" s="19" t="str">
        <f>IFERROR(IF(AND(MATCH(A252,Projection_classes,0),YEAR(current_date)=Projections!B252),"pass","fail"),"")</f>
        <v>fail</v>
      </c>
    </row>
    <row r="253" spans="1:12" x14ac:dyDescent="0.25">
      <c r="A253" s="64" t="s">
        <v>55</v>
      </c>
      <c r="B253" s="64">
        <v>2018</v>
      </c>
      <c r="C253" s="65">
        <v>0</v>
      </c>
      <c r="D253" s="65">
        <v>0</v>
      </c>
      <c r="E253" s="65">
        <v>0</v>
      </c>
      <c r="F253" s="61"/>
      <c r="G253" s="61"/>
      <c r="H253" s="61"/>
      <c r="I253" s="61"/>
      <c r="J253" s="61"/>
      <c r="K253" s="3" t="str">
        <f t="shared" si="3"/>
        <v>pass</v>
      </c>
      <c r="L253" s="19" t="str">
        <f>IFERROR(IF(AND(MATCH(A253,Projection_classes,0),YEAR(current_date)=Projections!B253),"pass","fail"),"")</f>
        <v>fail</v>
      </c>
    </row>
    <row r="254" spans="1:12" x14ac:dyDescent="0.25">
      <c r="A254" s="64" t="s">
        <v>55</v>
      </c>
      <c r="B254" s="64">
        <v>2019</v>
      </c>
      <c r="C254" s="65">
        <v>0</v>
      </c>
      <c r="D254" s="65">
        <v>0</v>
      </c>
      <c r="E254" s="65">
        <v>0</v>
      </c>
      <c r="F254" s="61"/>
      <c r="G254" s="61"/>
      <c r="H254" s="61"/>
      <c r="I254" s="61"/>
      <c r="J254" s="61"/>
      <c r="K254" s="3" t="str">
        <f t="shared" si="3"/>
        <v>pass</v>
      </c>
      <c r="L254" s="19" t="str">
        <f>IFERROR(IF(AND(MATCH(A254,Projection_classes,0),YEAR(current_date)=Projections!B254),"pass","fail"),"")</f>
        <v>fail</v>
      </c>
    </row>
    <row r="255" spans="1:12" x14ac:dyDescent="0.25">
      <c r="A255" s="64" t="s">
        <v>55</v>
      </c>
      <c r="B255" s="64">
        <v>2020</v>
      </c>
      <c r="C255" s="65">
        <v>0</v>
      </c>
      <c r="D255" s="65">
        <v>0</v>
      </c>
      <c r="E255" s="65">
        <v>0</v>
      </c>
      <c r="F255" s="61"/>
      <c r="G255" s="61"/>
      <c r="H255" s="61"/>
      <c r="I255" s="61"/>
      <c r="J255" s="61"/>
      <c r="K255" s="3" t="str">
        <f t="shared" si="3"/>
        <v>pass</v>
      </c>
      <c r="L255" s="19" t="str">
        <f>IFERROR(IF(AND(MATCH(A255,Projection_classes,0),YEAR(current_date)=Projections!B255),"pass","fail"),"")</f>
        <v>fail</v>
      </c>
    </row>
    <row r="256" spans="1:12" x14ac:dyDescent="0.25">
      <c r="A256" s="64" t="s">
        <v>55</v>
      </c>
      <c r="B256" s="64">
        <v>2021</v>
      </c>
      <c r="C256" s="65">
        <v>0</v>
      </c>
      <c r="D256" s="65">
        <v>0</v>
      </c>
      <c r="E256" s="65">
        <v>0</v>
      </c>
      <c r="F256" s="61"/>
      <c r="G256" s="61"/>
      <c r="H256" s="61"/>
      <c r="I256" s="61"/>
      <c r="J256" s="61"/>
      <c r="K256" s="3" t="str">
        <f t="shared" si="3"/>
        <v>pass</v>
      </c>
      <c r="L256" s="19" t="str">
        <f>IFERROR(IF(AND(MATCH(A256,Projection_classes,0),YEAR(current_date)=Projections!B256),"pass","fail"),"")</f>
        <v>fail</v>
      </c>
    </row>
    <row r="257" spans="1:12" x14ac:dyDescent="0.25">
      <c r="A257" s="64" t="s">
        <v>55</v>
      </c>
      <c r="B257" s="64">
        <v>2022</v>
      </c>
      <c r="C257" s="65">
        <v>0</v>
      </c>
      <c r="D257" s="65">
        <v>0</v>
      </c>
      <c r="E257" s="65">
        <v>0</v>
      </c>
      <c r="F257" s="61"/>
      <c r="G257" s="61"/>
      <c r="H257" s="61"/>
      <c r="I257" s="61"/>
      <c r="J257" s="61"/>
      <c r="K257" s="3" t="str">
        <f t="shared" si="3"/>
        <v>pass</v>
      </c>
      <c r="L257" s="19" t="str">
        <f>IFERROR(IF(AND(MATCH(A257,Projection_classes,0),YEAR(current_date)=Projections!B257),"pass","fail"),"")</f>
        <v>fail</v>
      </c>
    </row>
    <row r="258" spans="1:12" x14ac:dyDescent="0.25">
      <c r="A258" s="64" t="s">
        <v>55</v>
      </c>
      <c r="B258" s="64">
        <v>2023</v>
      </c>
      <c r="C258" s="65">
        <v>0</v>
      </c>
      <c r="D258" s="65">
        <v>0</v>
      </c>
      <c r="E258" s="65">
        <v>0</v>
      </c>
      <c r="F258" s="61"/>
      <c r="G258" s="61"/>
      <c r="H258" s="61"/>
      <c r="I258" s="61"/>
      <c r="J258" s="61"/>
      <c r="K258" s="3" t="str">
        <f t="shared" ref="K258:K321" si="4">IF(OR(B258&lt;$N$1,B258&gt;$P$1),"fail","pass")</f>
        <v>pass</v>
      </c>
      <c r="L258" s="19" t="str">
        <f>IFERROR(IF(AND(MATCH(A258,Projection_classes,0),YEAR(current_date)=Projections!B258),"pass","fail"),"")</f>
        <v>fail</v>
      </c>
    </row>
    <row r="259" spans="1:12" x14ac:dyDescent="0.25">
      <c r="A259" s="64" t="s">
        <v>55</v>
      </c>
      <c r="B259" s="64">
        <v>2024</v>
      </c>
      <c r="C259" s="65">
        <v>0</v>
      </c>
      <c r="D259" s="65">
        <v>0</v>
      </c>
      <c r="E259" s="65">
        <v>0</v>
      </c>
      <c r="F259" s="61"/>
      <c r="G259" s="61"/>
      <c r="H259" s="61"/>
      <c r="I259" s="61"/>
      <c r="J259" s="61"/>
      <c r="K259" s="3" t="str">
        <f t="shared" si="4"/>
        <v>pass</v>
      </c>
      <c r="L259" s="19" t="str">
        <f>IFERROR(IF(AND(MATCH(A259,Projection_classes,0),YEAR(current_date)=Projections!B259),"pass","fail"),"")</f>
        <v>fail</v>
      </c>
    </row>
    <row r="260" spans="1:12" x14ac:dyDescent="0.25">
      <c r="A260" s="64" t="s">
        <v>55</v>
      </c>
      <c r="B260" s="64">
        <v>2025</v>
      </c>
      <c r="C260" s="65">
        <v>0</v>
      </c>
      <c r="D260" s="65">
        <v>0</v>
      </c>
      <c r="E260" s="65">
        <v>0</v>
      </c>
      <c r="F260" s="61"/>
      <c r="G260" s="61"/>
      <c r="H260" s="61"/>
      <c r="I260" s="61"/>
      <c r="J260" s="61"/>
      <c r="K260" s="3" t="str">
        <f t="shared" si="4"/>
        <v>pass</v>
      </c>
      <c r="L260" s="19" t="str">
        <f>IFERROR(IF(AND(MATCH(A260,Projection_classes,0),YEAR(current_date)=Projections!B260),"pass","fail"),"")</f>
        <v>fail</v>
      </c>
    </row>
    <row r="261" spans="1:12" x14ac:dyDescent="0.25">
      <c r="A261" s="64" t="s">
        <v>55</v>
      </c>
      <c r="B261" s="64">
        <v>2026</v>
      </c>
      <c r="C261" s="65">
        <v>0</v>
      </c>
      <c r="D261" s="65">
        <v>0</v>
      </c>
      <c r="E261" s="65">
        <v>0</v>
      </c>
      <c r="F261" s="61"/>
      <c r="G261" s="61"/>
      <c r="H261" s="61"/>
      <c r="I261" s="61"/>
      <c r="J261" s="61"/>
      <c r="K261" s="3" t="str">
        <f t="shared" si="4"/>
        <v>fail</v>
      </c>
      <c r="L261" s="19" t="str">
        <f>IFERROR(IF(AND(MATCH(A261,Projection_classes,0),YEAR(current_date)=Projections!B261),"pass","fail"),"")</f>
        <v>pass</v>
      </c>
    </row>
    <row r="262" spans="1:12" x14ac:dyDescent="0.25">
      <c r="A262" s="64" t="s">
        <v>49</v>
      </c>
      <c r="B262" s="64">
        <v>2001</v>
      </c>
      <c r="C262" s="65">
        <v>6.423779080000001</v>
      </c>
      <c r="D262" s="65">
        <v>6.423779080000001</v>
      </c>
      <c r="E262" s="65">
        <v>6.423779080000001</v>
      </c>
      <c r="F262" s="61"/>
      <c r="G262" s="61"/>
      <c r="H262" s="61"/>
      <c r="I262" s="61"/>
      <c r="J262" s="61"/>
      <c r="K262" s="3" t="str">
        <f t="shared" si="4"/>
        <v>pass</v>
      </c>
      <c r="L262" s="19" t="str">
        <f>IFERROR(IF(AND(MATCH(A262,Projection_classes,0),YEAR(current_date)=Projections!B262),"pass","fail"),"")</f>
        <v>fail</v>
      </c>
    </row>
    <row r="263" spans="1:12" x14ac:dyDescent="0.25">
      <c r="A263" s="64" t="s">
        <v>49</v>
      </c>
      <c r="B263" s="64">
        <v>2002</v>
      </c>
      <c r="C263" s="65">
        <v>2.2939895099999998</v>
      </c>
      <c r="D263" s="65">
        <v>2.2939895099999998</v>
      </c>
      <c r="E263" s="65">
        <v>2.2939895099999998</v>
      </c>
      <c r="F263" s="61"/>
      <c r="G263" s="61"/>
      <c r="H263" s="61"/>
      <c r="I263" s="61"/>
      <c r="J263" s="61"/>
      <c r="K263" s="3" t="str">
        <f t="shared" si="4"/>
        <v>pass</v>
      </c>
      <c r="L263" s="19" t="str">
        <f>IFERROR(IF(AND(MATCH(A263,Projection_classes,0),YEAR(current_date)=Projections!B263),"pass","fail"),"")</f>
        <v>fail</v>
      </c>
    </row>
    <row r="264" spans="1:12" x14ac:dyDescent="0.25">
      <c r="A264" s="64" t="s">
        <v>49</v>
      </c>
      <c r="B264" s="64">
        <v>2003</v>
      </c>
      <c r="C264" s="65">
        <v>4.3823955699999999</v>
      </c>
      <c r="D264" s="65">
        <v>4.3823955699999999</v>
      </c>
      <c r="E264" s="65">
        <v>4.3823955699999999</v>
      </c>
      <c r="F264" s="61"/>
      <c r="G264" s="61"/>
      <c r="H264" s="61"/>
      <c r="I264" s="61"/>
      <c r="J264" s="61"/>
      <c r="K264" s="3" t="str">
        <f t="shared" si="4"/>
        <v>pass</v>
      </c>
      <c r="L264" s="19" t="str">
        <f>IFERROR(IF(AND(MATCH(A264,Projection_classes,0),YEAR(current_date)=Projections!B264),"pass","fail"),"")</f>
        <v>fail</v>
      </c>
    </row>
    <row r="265" spans="1:12" x14ac:dyDescent="0.25">
      <c r="A265" s="64" t="s">
        <v>49</v>
      </c>
      <c r="B265" s="64">
        <v>2004</v>
      </c>
      <c r="C265" s="65">
        <v>12.020857250000001</v>
      </c>
      <c r="D265" s="65">
        <v>12.020857250000001</v>
      </c>
      <c r="E265" s="65">
        <v>12.020857250000001</v>
      </c>
      <c r="F265" s="61"/>
      <c r="G265" s="61"/>
      <c r="H265" s="61"/>
      <c r="I265" s="61"/>
      <c r="J265" s="61"/>
      <c r="K265" s="3" t="str">
        <f t="shared" si="4"/>
        <v>pass</v>
      </c>
      <c r="L265" s="19" t="str">
        <f>IFERROR(IF(AND(MATCH(A265,Projection_classes,0),YEAR(current_date)=Projections!B265),"pass","fail"),"")</f>
        <v>fail</v>
      </c>
    </row>
    <row r="266" spans="1:12" x14ac:dyDescent="0.25">
      <c r="A266" s="64" t="s">
        <v>49</v>
      </c>
      <c r="B266" s="64">
        <v>2005</v>
      </c>
      <c r="C266" s="65">
        <v>13.1224142</v>
      </c>
      <c r="D266" s="65">
        <v>13.1224142</v>
      </c>
      <c r="E266" s="65">
        <v>13.1224142</v>
      </c>
      <c r="F266" s="61"/>
      <c r="G266" s="61"/>
      <c r="H266" s="61"/>
      <c r="I266" s="61"/>
      <c r="J266" s="61"/>
      <c r="K266" s="3" t="str">
        <f t="shared" si="4"/>
        <v>pass</v>
      </c>
      <c r="L266" s="19" t="str">
        <f>IFERROR(IF(AND(MATCH(A266,Projection_classes,0),YEAR(current_date)=Projections!B266),"pass","fail"),"")</f>
        <v>fail</v>
      </c>
    </row>
    <row r="267" spans="1:12" x14ac:dyDescent="0.25">
      <c r="A267" s="64" t="s">
        <v>49</v>
      </c>
      <c r="B267" s="64">
        <v>2006</v>
      </c>
      <c r="C267" s="65">
        <v>14.51001143</v>
      </c>
      <c r="D267" s="65">
        <v>14.51001143</v>
      </c>
      <c r="E267" s="65">
        <v>14.51001143</v>
      </c>
      <c r="F267" s="61"/>
      <c r="G267" s="61"/>
      <c r="H267" s="61"/>
      <c r="I267" s="61"/>
      <c r="J267" s="61"/>
      <c r="K267" s="3" t="str">
        <f t="shared" si="4"/>
        <v>pass</v>
      </c>
      <c r="L267" s="19" t="str">
        <f>IFERROR(IF(AND(MATCH(A267,Projection_classes,0),YEAR(current_date)=Projections!B267),"pass","fail"),"")</f>
        <v>fail</v>
      </c>
    </row>
    <row r="268" spans="1:12" x14ac:dyDescent="0.25">
      <c r="A268" s="64" t="s">
        <v>49</v>
      </c>
      <c r="B268" s="64">
        <v>2007</v>
      </c>
      <c r="C268" s="65">
        <v>14.9387153</v>
      </c>
      <c r="D268" s="65">
        <v>14.9387153</v>
      </c>
      <c r="E268" s="65">
        <v>14.9387153</v>
      </c>
      <c r="F268" s="61"/>
      <c r="G268" s="61"/>
      <c r="H268" s="61"/>
      <c r="I268" s="61"/>
      <c r="J268" s="61"/>
      <c r="K268" s="3" t="str">
        <f t="shared" si="4"/>
        <v>pass</v>
      </c>
      <c r="L268" s="19" t="str">
        <f>IFERROR(IF(AND(MATCH(A268,Projection_classes,0),YEAR(current_date)=Projections!B268),"pass","fail"),"")</f>
        <v>fail</v>
      </c>
    </row>
    <row r="269" spans="1:12" x14ac:dyDescent="0.25">
      <c r="A269" s="64" t="s">
        <v>49</v>
      </c>
      <c r="B269" s="64">
        <v>2008</v>
      </c>
      <c r="C269" s="65">
        <v>15.977949470000009</v>
      </c>
      <c r="D269" s="65">
        <v>15.977949470000009</v>
      </c>
      <c r="E269" s="65">
        <v>15.977949470000009</v>
      </c>
      <c r="F269" s="61"/>
      <c r="G269" s="61"/>
      <c r="H269" s="61"/>
      <c r="I269" s="61"/>
      <c r="J269" s="61"/>
      <c r="K269" s="3" t="str">
        <f t="shared" si="4"/>
        <v>pass</v>
      </c>
      <c r="L269" s="19" t="str">
        <f>IFERROR(IF(AND(MATCH(A269,Projection_classes,0),YEAR(current_date)=Projections!B269),"pass","fail"),"")</f>
        <v>fail</v>
      </c>
    </row>
    <row r="270" spans="1:12" x14ac:dyDescent="0.25">
      <c r="A270" s="64" t="s">
        <v>49</v>
      </c>
      <c r="B270" s="64">
        <v>2009</v>
      </c>
      <c r="C270" s="65">
        <v>13.641854495526999</v>
      </c>
      <c r="D270" s="65">
        <v>13.641854495526999</v>
      </c>
      <c r="E270" s="65">
        <v>13.641854495526999</v>
      </c>
      <c r="F270" s="61"/>
      <c r="G270" s="61"/>
      <c r="H270" s="61"/>
      <c r="I270" s="61"/>
      <c r="J270" s="61"/>
      <c r="K270" s="3" t="str">
        <f t="shared" si="4"/>
        <v>pass</v>
      </c>
      <c r="L270" s="19" t="str">
        <f>IFERROR(IF(AND(MATCH(A270,Projection_classes,0),YEAR(current_date)=Projections!B270),"pass","fail"),"")</f>
        <v>fail</v>
      </c>
    </row>
    <row r="271" spans="1:12" x14ac:dyDescent="0.25">
      <c r="A271" s="64" t="s">
        <v>49</v>
      </c>
      <c r="B271" s="64">
        <v>2010</v>
      </c>
      <c r="C271" s="65">
        <v>14.844335769400001</v>
      </c>
      <c r="D271" s="65">
        <v>14.844335769400001</v>
      </c>
      <c r="E271" s="65">
        <v>14.844335769400001</v>
      </c>
      <c r="F271" s="61"/>
      <c r="G271" s="61"/>
      <c r="H271" s="61"/>
      <c r="I271" s="61"/>
      <c r="J271" s="61"/>
      <c r="K271" s="3" t="str">
        <f t="shared" si="4"/>
        <v>pass</v>
      </c>
      <c r="L271" s="19" t="str">
        <f>IFERROR(IF(AND(MATCH(A271,Projection_classes,0),YEAR(current_date)=Projections!B271),"pass","fail"),"")</f>
        <v>fail</v>
      </c>
    </row>
    <row r="272" spans="1:12" x14ac:dyDescent="0.25">
      <c r="A272" s="64" t="s">
        <v>49</v>
      </c>
      <c r="B272" s="64">
        <v>2011</v>
      </c>
      <c r="C272" s="65">
        <v>13.03387818</v>
      </c>
      <c r="D272" s="65">
        <v>13.03387818</v>
      </c>
      <c r="E272" s="65">
        <v>13.03387818</v>
      </c>
      <c r="F272" s="61"/>
      <c r="G272" s="61"/>
      <c r="H272" s="61"/>
      <c r="I272" s="61"/>
      <c r="J272" s="61"/>
      <c r="K272" s="3" t="str">
        <f t="shared" si="4"/>
        <v>pass</v>
      </c>
      <c r="L272" s="19" t="str">
        <f>IFERROR(IF(AND(MATCH(A272,Projection_classes,0),YEAR(current_date)=Projections!B272),"pass","fail"),"")</f>
        <v>fail</v>
      </c>
    </row>
    <row r="273" spans="1:12" x14ac:dyDescent="0.25">
      <c r="A273" s="64" t="s">
        <v>49</v>
      </c>
      <c r="B273" s="64">
        <v>2012</v>
      </c>
      <c r="C273" s="65">
        <v>14.350696620000001</v>
      </c>
      <c r="D273" s="65">
        <v>14.350696620000001</v>
      </c>
      <c r="E273" s="65">
        <v>14.350696620000001</v>
      </c>
      <c r="F273" s="61"/>
      <c r="G273" s="61"/>
      <c r="H273" s="61"/>
      <c r="I273" s="61"/>
      <c r="J273" s="61"/>
      <c r="K273" s="3" t="str">
        <f t="shared" si="4"/>
        <v>pass</v>
      </c>
      <c r="L273" s="19" t="str">
        <f>IFERROR(IF(AND(MATCH(A273,Projection_classes,0),YEAR(current_date)=Projections!B273),"pass","fail"),"")</f>
        <v>fail</v>
      </c>
    </row>
    <row r="274" spans="1:12" x14ac:dyDescent="0.25">
      <c r="A274" s="64" t="s">
        <v>49</v>
      </c>
      <c r="B274" s="64">
        <v>2013</v>
      </c>
      <c r="C274" s="65">
        <v>14.692846400000009</v>
      </c>
      <c r="D274" s="65">
        <v>14.692846400000009</v>
      </c>
      <c r="E274" s="65">
        <v>14.692846400000009</v>
      </c>
      <c r="F274" s="61"/>
      <c r="G274" s="61"/>
      <c r="H274" s="61"/>
      <c r="I274" s="61"/>
      <c r="J274" s="61"/>
      <c r="K274" s="3" t="str">
        <f t="shared" si="4"/>
        <v>pass</v>
      </c>
      <c r="L274" s="19" t="str">
        <f>IFERROR(IF(AND(MATCH(A274,Projection_classes,0),YEAR(current_date)=Projections!B274),"pass","fail"),"")</f>
        <v>fail</v>
      </c>
    </row>
    <row r="275" spans="1:12" x14ac:dyDescent="0.25">
      <c r="A275" s="64" t="s">
        <v>49</v>
      </c>
      <c r="B275" s="64">
        <v>2014</v>
      </c>
      <c r="C275" s="65">
        <v>21.571416630000002</v>
      </c>
      <c r="D275" s="65">
        <v>21.571416630000002</v>
      </c>
      <c r="E275" s="65">
        <v>21.571416630000002</v>
      </c>
      <c r="F275" s="61"/>
      <c r="G275" s="61"/>
      <c r="H275" s="61"/>
      <c r="I275" s="61">
        <v>5.0403431521169439E-2</v>
      </c>
      <c r="J275" s="61">
        <v>0.1004997454899699</v>
      </c>
      <c r="K275" s="3" t="str">
        <f t="shared" si="4"/>
        <v>pass</v>
      </c>
      <c r="L275" s="19" t="str">
        <f>IFERROR(IF(AND(MATCH(A275,Projection_classes,0),YEAR(current_date)=Projections!B275),"pass","fail"),"")</f>
        <v>fail</v>
      </c>
    </row>
    <row r="276" spans="1:12" x14ac:dyDescent="0.25">
      <c r="A276" s="64" t="s">
        <v>49</v>
      </c>
      <c r="B276" s="64">
        <v>2015</v>
      </c>
      <c r="C276" s="65">
        <v>31.636739639999998</v>
      </c>
      <c r="D276" s="65">
        <v>31.636739639999998</v>
      </c>
      <c r="E276" s="65">
        <v>31.636739639999998</v>
      </c>
      <c r="F276" s="61"/>
      <c r="G276" s="61"/>
      <c r="H276" s="61"/>
      <c r="I276" s="61">
        <v>1.6602256895262849E-2</v>
      </c>
      <c r="J276" s="61">
        <v>0.102483095446271</v>
      </c>
      <c r="K276" s="3" t="str">
        <f t="shared" si="4"/>
        <v>pass</v>
      </c>
      <c r="L276" s="19" t="str">
        <f>IFERROR(IF(AND(MATCH(A276,Projection_classes,0),YEAR(current_date)=Projections!B276),"pass","fail"),"")</f>
        <v>fail</v>
      </c>
    </row>
    <row r="277" spans="1:12" x14ac:dyDescent="0.25">
      <c r="A277" s="64" t="s">
        <v>49</v>
      </c>
      <c r="B277" s="64">
        <v>2016</v>
      </c>
      <c r="C277" s="65">
        <v>45.21676850270773</v>
      </c>
      <c r="D277" s="65">
        <v>45.21676850270773</v>
      </c>
      <c r="E277" s="65">
        <v>45.21676850270773</v>
      </c>
      <c r="F277" s="61"/>
      <c r="G277" s="61"/>
      <c r="H277" s="61"/>
      <c r="I277" s="61">
        <v>0.1179117453927048</v>
      </c>
      <c r="J277" s="61">
        <v>0.10745625039424379</v>
      </c>
      <c r="K277" s="3" t="str">
        <f t="shared" si="4"/>
        <v>pass</v>
      </c>
      <c r="L277" s="19" t="str">
        <f>IFERROR(IF(AND(MATCH(A277,Projection_classes,0),YEAR(current_date)=Projections!B277),"pass","fail"),"")</f>
        <v>fail</v>
      </c>
    </row>
    <row r="278" spans="1:12" x14ac:dyDescent="0.25">
      <c r="A278" s="64" t="s">
        <v>49</v>
      </c>
      <c r="B278" s="64">
        <v>2017</v>
      </c>
      <c r="C278" s="65">
        <v>84.475419236133405</v>
      </c>
      <c r="D278" s="65">
        <v>84.475419236133405</v>
      </c>
      <c r="E278" s="65">
        <v>84.475419236133405</v>
      </c>
      <c r="F278" s="61"/>
      <c r="G278" s="61"/>
      <c r="H278" s="61"/>
      <c r="I278" s="61">
        <v>6.1886898286684033E-2</v>
      </c>
      <c r="J278" s="61">
        <v>0.1008466488435236</v>
      </c>
      <c r="K278" s="3" t="str">
        <f t="shared" si="4"/>
        <v>pass</v>
      </c>
      <c r="L278" s="19" t="str">
        <f>IFERROR(IF(AND(MATCH(A278,Projection_classes,0),YEAR(current_date)=Projections!B278),"pass","fail"),"")</f>
        <v>fail</v>
      </c>
    </row>
    <row r="279" spans="1:12" x14ac:dyDescent="0.25">
      <c r="A279" s="64" t="s">
        <v>49</v>
      </c>
      <c r="B279" s="64">
        <v>2018</v>
      </c>
      <c r="C279" s="65">
        <v>129.1880483537594</v>
      </c>
      <c r="D279" s="65">
        <v>129.1880483537594</v>
      </c>
      <c r="E279" s="65">
        <v>129.1880483537594</v>
      </c>
      <c r="F279" s="61"/>
      <c r="G279" s="61"/>
      <c r="H279" s="61"/>
      <c r="I279" s="61">
        <v>4.0493913140964073E-2</v>
      </c>
      <c r="J279" s="61">
        <v>0.101629911047979</v>
      </c>
      <c r="K279" s="3" t="str">
        <f t="shared" si="4"/>
        <v>pass</v>
      </c>
      <c r="L279" s="19" t="str">
        <f>IFERROR(IF(AND(MATCH(A279,Projection_classes,0),YEAR(current_date)=Projections!B279),"pass","fail"),"")</f>
        <v>fail</v>
      </c>
    </row>
    <row r="280" spans="1:12" x14ac:dyDescent="0.25">
      <c r="A280" s="64" t="s">
        <v>49</v>
      </c>
      <c r="B280" s="64">
        <v>2019</v>
      </c>
      <c r="C280" s="65">
        <v>189.96553953971789</v>
      </c>
      <c r="D280" s="65">
        <v>189.96553953971789</v>
      </c>
      <c r="E280" s="65">
        <v>189.96553953971789</v>
      </c>
      <c r="F280" s="61"/>
      <c r="G280" s="61"/>
      <c r="H280" s="61"/>
      <c r="I280" s="61">
        <v>9.7039741780871491E-2</v>
      </c>
      <c r="J280" s="61">
        <v>0.1080701553812085</v>
      </c>
      <c r="K280" s="3" t="str">
        <f t="shared" si="4"/>
        <v>pass</v>
      </c>
      <c r="L280" s="19" t="str">
        <f>IFERROR(IF(AND(MATCH(A280,Projection_classes,0),YEAR(current_date)=Projections!B280),"pass","fail"),"")</f>
        <v>fail</v>
      </c>
    </row>
    <row r="281" spans="1:12" x14ac:dyDescent="0.25">
      <c r="A281" s="64" t="s">
        <v>49</v>
      </c>
      <c r="B281" s="64">
        <v>2020</v>
      </c>
      <c r="C281" s="65">
        <v>283.54491375657108</v>
      </c>
      <c r="D281" s="65">
        <v>283.54491375657108</v>
      </c>
      <c r="E281" s="65">
        <v>283.54491375657108</v>
      </c>
      <c r="F281" s="61"/>
      <c r="G281" s="61"/>
      <c r="H281" s="61"/>
      <c r="I281" s="61">
        <v>0.50340819644485624</v>
      </c>
      <c r="J281" s="61">
        <v>0.10404291905093239</v>
      </c>
      <c r="K281" s="3" t="str">
        <f t="shared" si="4"/>
        <v>pass</v>
      </c>
      <c r="L281" s="19" t="str">
        <f>IFERROR(IF(AND(MATCH(A281,Projection_classes,0),YEAR(current_date)=Projections!B281),"pass","fail"),"")</f>
        <v>fail</v>
      </c>
    </row>
    <row r="282" spans="1:12" x14ac:dyDescent="0.25">
      <c r="A282" s="64" t="s">
        <v>49</v>
      </c>
      <c r="B282" s="64">
        <v>2021</v>
      </c>
      <c r="C282" s="65">
        <v>403.86134979038371</v>
      </c>
      <c r="D282" s="65">
        <v>403.86134979038371</v>
      </c>
      <c r="E282" s="65">
        <v>403.86134979038371</v>
      </c>
      <c r="F282" s="61"/>
      <c r="G282" s="61"/>
      <c r="H282" s="61"/>
      <c r="I282" s="61">
        <v>0.24278475885099729</v>
      </c>
      <c r="J282" s="61">
        <v>0.1053469019803122</v>
      </c>
      <c r="K282" s="3" t="str">
        <f t="shared" si="4"/>
        <v>pass</v>
      </c>
      <c r="L282" s="19" t="str">
        <f>IFERROR(IF(AND(MATCH(A282,Projection_classes,0),YEAR(current_date)=Projections!B282),"pass","fail"),"")</f>
        <v>fail</v>
      </c>
    </row>
    <row r="283" spans="1:12" x14ac:dyDescent="0.25">
      <c r="A283" s="64" t="s">
        <v>49</v>
      </c>
      <c r="B283" s="64">
        <v>2022</v>
      </c>
      <c r="C283" s="65">
        <v>509.69035440323393</v>
      </c>
      <c r="D283" s="65">
        <v>509.69035440323393</v>
      </c>
      <c r="E283" s="65">
        <v>509.69035440323393</v>
      </c>
      <c r="F283" s="61"/>
      <c r="G283" s="61"/>
      <c r="H283" s="61"/>
      <c r="I283" s="61">
        <v>8.6863995111863934E-2</v>
      </c>
      <c r="J283" s="61">
        <v>0.1375026021317409</v>
      </c>
      <c r="K283" s="3" t="str">
        <f t="shared" si="4"/>
        <v>pass</v>
      </c>
      <c r="L283" s="19" t="str">
        <f>IFERROR(IF(AND(MATCH(A283,Projection_classes,0),YEAR(current_date)=Projections!B283),"pass","fail"),"")</f>
        <v>fail</v>
      </c>
    </row>
    <row r="284" spans="1:12" x14ac:dyDescent="0.25">
      <c r="A284" s="64" t="s">
        <v>49</v>
      </c>
      <c r="B284" s="64">
        <v>2023</v>
      </c>
      <c r="C284" s="65">
        <v>574.4565473528105</v>
      </c>
      <c r="D284" s="65">
        <v>574.4565473528105</v>
      </c>
      <c r="E284" s="65">
        <v>574.4565473528105</v>
      </c>
      <c r="F284" s="61"/>
      <c r="G284" s="61"/>
      <c r="H284" s="61"/>
      <c r="I284" s="61">
        <v>8.3975775655951823E-2</v>
      </c>
      <c r="J284" s="61">
        <v>0.1365212663202329</v>
      </c>
      <c r="K284" s="3" t="str">
        <f t="shared" si="4"/>
        <v>pass</v>
      </c>
      <c r="L284" s="19" t="str">
        <f>IFERROR(IF(AND(MATCH(A284,Projection_classes,0),YEAR(current_date)=Projections!B284),"pass","fail"),"")</f>
        <v>fail</v>
      </c>
    </row>
    <row r="285" spans="1:12" x14ac:dyDescent="0.25">
      <c r="A285" s="64" t="s">
        <v>49</v>
      </c>
      <c r="B285" s="64">
        <v>2024</v>
      </c>
      <c r="C285" s="65">
        <v>607.5254992771255</v>
      </c>
      <c r="D285" s="65">
        <v>607.5254992771255</v>
      </c>
      <c r="E285" s="65">
        <v>607.5254992771255</v>
      </c>
      <c r="F285" s="61"/>
      <c r="G285" s="61"/>
      <c r="H285" s="61"/>
      <c r="I285" s="61">
        <v>0.1234311079267443</v>
      </c>
      <c r="J285" s="61">
        <v>0.1370410838575451</v>
      </c>
      <c r="K285" s="3" t="str">
        <f t="shared" si="4"/>
        <v>pass</v>
      </c>
      <c r="L285" s="19" t="str">
        <f>IFERROR(IF(AND(MATCH(A285,Projection_classes,0),YEAR(current_date)=Projections!B285),"pass","fail"),"")</f>
        <v>fail</v>
      </c>
    </row>
    <row r="286" spans="1:12" x14ac:dyDescent="0.25">
      <c r="A286" s="64" t="s">
        <v>49</v>
      </c>
      <c r="B286" s="64">
        <v>2025</v>
      </c>
      <c r="C286" s="65">
        <v>262.66858729202812</v>
      </c>
      <c r="D286" s="65">
        <v>262.66858729202812</v>
      </c>
      <c r="E286" s="65">
        <v>262.66858729202812</v>
      </c>
      <c r="F286" s="61"/>
      <c r="G286" s="61"/>
      <c r="H286" s="61"/>
      <c r="I286" s="61"/>
      <c r="J286" s="61"/>
      <c r="K286" s="3" t="str">
        <f t="shared" si="4"/>
        <v>pass</v>
      </c>
      <c r="L286" s="19" t="str">
        <f>IFERROR(IF(AND(MATCH(A286,Projection_classes,0),YEAR(current_date)=Projections!B286),"pass","fail"),"")</f>
        <v>fail</v>
      </c>
    </row>
    <row r="287" spans="1:12" x14ac:dyDescent="0.25">
      <c r="A287" s="64" t="s">
        <v>49</v>
      </c>
      <c r="B287" s="64">
        <v>2026</v>
      </c>
      <c r="C287" s="65">
        <v>626.05374972504546</v>
      </c>
      <c r="D287" s="65">
        <v>0</v>
      </c>
      <c r="E287" s="65">
        <v>0</v>
      </c>
      <c r="F287" s="61"/>
      <c r="G287" s="61"/>
      <c r="H287" s="61"/>
      <c r="I287" s="61"/>
      <c r="J287" s="61"/>
      <c r="K287" s="3" t="str">
        <f t="shared" si="4"/>
        <v>fail</v>
      </c>
      <c r="L287" s="19" t="str">
        <f>IFERROR(IF(AND(MATCH(A287,Projection_classes,0),YEAR(current_date)=Projections!B287),"pass","fail"),"")</f>
        <v>pass</v>
      </c>
    </row>
    <row r="288" spans="1:12" x14ac:dyDescent="0.25">
      <c r="A288" s="64"/>
      <c r="B288" s="64"/>
      <c r="C288" s="65"/>
      <c r="D288" s="65"/>
      <c r="E288" s="65"/>
      <c r="F288" s="61"/>
      <c r="G288" s="61"/>
      <c r="H288" s="61"/>
      <c r="I288" s="61"/>
      <c r="J288" s="61"/>
      <c r="K288" s="3" t="str">
        <f t="shared" si="4"/>
        <v>fail</v>
      </c>
      <c r="L288" s="19" t="str">
        <f>IFERROR(IF(AND(MATCH(A288,Projection_classes,0),YEAR(current_date)=Projections!B288),"pass","fail"),"")</f>
        <v/>
      </c>
    </row>
    <row r="289" spans="1:12" x14ac:dyDescent="0.25">
      <c r="A289" s="64"/>
      <c r="B289" s="64"/>
      <c r="C289" s="65"/>
      <c r="D289" s="65"/>
      <c r="E289" s="65"/>
      <c r="F289" s="61"/>
      <c r="G289" s="61"/>
      <c r="H289" s="61"/>
      <c r="I289" s="61"/>
      <c r="J289" s="61"/>
      <c r="K289" s="3" t="str">
        <f t="shared" si="4"/>
        <v>fail</v>
      </c>
      <c r="L289" s="19" t="str">
        <f>IFERROR(IF(AND(MATCH(A289,Projection_classes,0),YEAR(current_date)=Projections!B289),"pass","fail"),"")</f>
        <v/>
      </c>
    </row>
    <row r="290" spans="1:12" x14ac:dyDescent="0.25">
      <c r="A290" s="64"/>
      <c r="B290" s="64"/>
      <c r="C290" s="65"/>
      <c r="D290" s="65"/>
      <c r="E290" s="65"/>
      <c r="F290" s="61"/>
      <c r="G290" s="61"/>
      <c r="H290" s="61"/>
      <c r="I290" s="61"/>
      <c r="J290" s="61"/>
      <c r="K290" s="3" t="str">
        <f t="shared" si="4"/>
        <v>fail</v>
      </c>
      <c r="L290" s="19" t="str">
        <f>IFERROR(IF(AND(MATCH(A290,Projection_classes,0),YEAR(current_date)=Projections!B290),"pass","fail"),"")</f>
        <v/>
      </c>
    </row>
    <row r="291" spans="1:12" x14ac:dyDescent="0.25">
      <c r="A291" s="64"/>
      <c r="B291" s="64"/>
      <c r="C291" s="65"/>
      <c r="D291" s="65"/>
      <c r="E291" s="65"/>
      <c r="F291" s="61"/>
      <c r="G291" s="61"/>
      <c r="H291" s="61"/>
      <c r="I291" s="61"/>
      <c r="J291" s="61"/>
      <c r="K291" s="3" t="str">
        <f t="shared" si="4"/>
        <v>fail</v>
      </c>
      <c r="L291" s="19" t="str">
        <f>IFERROR(IF(AND(MATCH(A291,Projection_classes,0),YEAR(current_date)=Projections!B291),"pass","fail"),"")</f>
        <v/>
      </c>
    </row>
    <row r="292" spans="1:12" x14ac:dyDescent="0.25">
      <c r="A292" s="64"/>
      <c r="B292" s="64"/>
      <c r="C292" s="65"/>
      <c r="D292" s="65"/>
      <c r="E292" s="65"/>
      <c r="F292" s="61"/>
      <c r="G292" s="61"/>
      <c r="H292" s="61"/>
      <c r="I292" s="61"/>
      <c r="J292" s="61"/>
      <c r="K292" s="3" t="str">
        <f t="shared" si="4"/>
        <v>fail</v>
      </c>
      <c r="L292" s="19" t="str">
        <f>IFERROR(IF(AND(MATCH(A292,Projection_classes,0),YEAR(current_date)=Projections!B292),"pass","fail"),"")</f>
        <v/>
      </c>
    </row>
    <row r="293" spans="1:12" x14ac:dyDescent="0.25">
      <c r="A293" s="64"/>
      <c r="B293" s="64"/>
      <c r="C293" s="65"/>
      <c r="D293" s="65"/>
      <c r="E293" s="65"/>
      <c r="F293" s="61"/>
      <c r="G293" s="61"/>
      <c r="H293" s="61"/>
      <c r="I293" s="61"/>
      <c r="J293" s="61"/>
      <c r="K293" s="3" t="str">
        <f t="shared" si="4"/>
        <v>fail</v>
      </c>
      <c r="L293" s="19" t="str">
        <f>IFERROR(IF(AND(MATCH(A293,Projection_classes,0),YEAR(current_date)=Projections!B293),"pass","fail"),"")</f>
        <v/>
      </c>
    </row>
    <row r="294" spans="1:12" x14ac:dyDescent="0.25">
      <c r="A294" s="64"/>
      <c r="B294" s="64"/>
      <c r="C294" s="65"/>
      <c r="D294" s="65"/>
      <c r="E294" s="65"/>
      <c r="F294" s="61"/>
      <c r="G294" s="61"/>
      <c r="H294" s="61"/>
      <c r="I294" s="61"/>
      <c r="J294" s="61"/>
      <c r="K294" s="3" t="str">
        <f t="shared" si="4"/>
        <v>fail</v>
      </c>
      <c r="L294" s="19" t="str">
        <f>IFERROR(IF(AND(MATCH(A294,Projection_classes,0),YEAR(current_date)=Projections!B294),"pass","fail"),"")</f>
        <v/>
      </c>
    </row>
    <row r="295" spans="1:12" x14ac:dyDescent="0.25">
      <c r="A295" s="64"/>
      <c r="B295" s="64"/>
      <c r="C295" s="65"/>
      <c r="D295" s="65"/>
      <c r="E295" s="65"/>
      <c r="F295" s="61"/>
      <c r="G295" s="61"/>
      <c r="H295" s="61"/>
      <c r="I295" s="61"/>
      <c r="J295" s="61"/>
      <c r="K295" s="3" t="str">
        <f t="shared" si="4"/>
        <v>fail</v>
      </c>
      <c r="L295" s="19" t="str">
        <f>IFERROR(IF(AND(MATCH(A295,Projection_classes,0),YEAR(current_date)=Projections!B295),"pass","fail"),"")</f>
        <v/>
      </c>
    </row>
    <row r="296" spans="1:12" x14ac:dyDescent="0.25">
      <c r="A296" s="64"/>
      <c r="B296" s="64"/>
      <c r="C296" s="65"/>
      <c r="D296" s="65"/>
      <c r="E296" s="65"/>
      <c r="F296" s="61"/>
      <c r="G296" s="61"/>
      <c r="H296" s="61"/>
      <c r="I296" s="61"/>
      <c r="J296" s="61"/>
      <c r="K296" s="3" t="str">
        <f t="shared" si="4"/>
        <v>fail</v>
      </c>
      <c r="L296" s="19" t="str">
        <f>IFERROR(IF(AND(MATCH(A296,Projection_classes,0),YEAR(current_date)=Projections!B296),"pass","fail"),"")</f>
        <v/>
      </c>
    </row>
    <row r="297" spans="1:12" x14ac:dyDescent="0.25">
      <c r="A297" s="64"/>
      <c r="B297" s="64"/>
      <c r="C297" s="65"/>
      <c r="D297" s="65"/>
      <c r="E297" s="65"/>
      <c r="F297" s="61"/>
      <c r="G297" s="61"/>
      <c r="H297" s="61"/>
      <c r="I297" s="61"/>
      <c r="J297" s="61"/>
      <c r="K297" s="3" t="str">
        <f t="shared" si="4"/>
        <v>fail</v>
      </c>
      <c r="L297" s="19" t="str">
        <f>IFERROR(IF(AND(MATCH(A297,Projection_classes,0),YEAR(current_date)=Projections!B297),"pass","fail"),"")</f>
        <v/>
      </c>
    </row>
    <row r="298" spans="1:12" x14ac:dyDescent="0.25">
      <c r="A298" s="64"/>
      <c r="B298" s="64"/>
      <c r="C298" s="65"/>
      <c r="D298" s="65"/>
      <c r="E298" s="65"/>
      <c r="F298" s="61"/>
      <c r="G298" s="61"/>
      <c r="H298" s="61"/>
      <c r="I298" s="61"/>
      <c r="J298" s="61"/>
      <c r="K298" s="3" t="str">
        <f t="shared" si="4"/>
        <v>fail</v>
      </c>
      <c r="L298" s="19" t="str">
        <f>IFERROR(IF(AND(MATCH(A298,Projection_classes,0),YEAR(current_date)=Projections!B298),"pass","fail"),"")</f>
        <v/>
      </c>
    </row>
    <row r="299" spans="1:12" x14ac:dyDescent="0.25">
      <c r="A299" s="64"/>
      <c r="B299" s="64"/>
      <c r="C299" s="65"/>
      <c r="D299" s="65"/>
      <c r="E299" s="65"/>
      <c r="F299" s="61"/>
      <c r="G299" s="61"/>
      <c r="H299" s="61"/>
      <c r="I299" s="61"/>
      <c r="J299" s="61"/>
      <c r="K299" s="3" t="str">
        <f t="shared" si="4"/>
        <v>fail</v>
      </c>
      <c r="L299" s="19" t="str">
        <f>IFERROR(IF(AND(MATCH(A299,Projection_classes,0),YEAR(current_date)=Projections!B299),"pass","fail"),"")</f>
        <v/>
      </c>
    </row>
    <row r="300" spans="1:12" x14ac:dyDescent="0.25">
      <c r="A300" s="64"/>
      <c r="B300" s="64"/>
      <c r="C300" s="65"/>
      <c r="D300" s="65"/>
      <c r="E300" s="65"/>
      <c r="F300" s="61"/>
      <c r="G300" s="61"/>
      <c r="H300" s="61"/>
      <c r="I300" s="61"/>
      <c r="J300" s="61"/>
      <c r="K300" s="3" t="str">
        <f t="shared" si="4"/>
        <v>fail</v>
      </c>
      <c r="L300" s="19" t="str">
        <f>IFERROR(IF(AND(MATCH(A300,Projection_classes,0),YEAR(current_date)=Projections!B300),"pass","fail"),"")</f>
        <v/>
      </c>
    </row>
    <row r="301" spans="1:12" x14ac:dyDescent="0.25">
      <c r="A301" s="64"/>
      <c r="B301" s="64"/>
      <c r="C301" s="65"/>
      <c r="D301" s="65"/>
      <c r="E301" s="65"/>
      <c r="F301" s="61"/>
      <c r="G301" s="61"/>
      <c r="H301" s="61"/>
      <c r="I301" s="61"/>
      <c r="J301" s="61"/>
      <c r="K301" s="3" t="str">
        <f t="shared" si="4"/>
        <v>fail</v>
      </c>
      <c r="L301" s="19" t="str">
        <f>IFERROR(IF(AND(MATCH(A301,Projection_classes,0),YEAR(current_date)=Projections!B301),"pass","fail"),"")</f>
        <v/>
      </c>
    </row>
    <row r="302" spans="1:12" x14ac:dyDescent="0.25">
      <c r="A302" s="64"/>
      <c r="B302" s="64"/>
      <c r="C302" s="65"/>
      <c r="D302" s="65"/>
      <c r="E302" s="65"/>
      <c r="F302" s="61"/>
      <c r="G302" s="61"/>
      <c r="H302" s="61"/>
      <c r="I302" s="61"/>
      <c r="J302" s="61"/>
      <c r="K302" s="3" t="str">
        <f t="shared" si="4"/>
        <v>fail</v>
      </c>
      <c r="L302" s="19" t="str">
        <f>IFERROR(IF(AND(MATCH(A302,Projection_classes,0),YEAR(current_date)=Projections!B302),"pass","fail"),"")</f>
        <v/>
      </c>
    </row>
    <row r="303" spans="1:12" x14ac:dyDescent="0.25">
      <c r="A303" s="64"/>
      <c r="B303" s="64"/>
      <c r="C303" s="65"/>
      <c r="D303" s="65"/>
      <c r="E303" s="65"/>
      <c r="F303" s="61"/>
      <c r="G303" s="61"/>
      <c r="H303" s="61"/>
      <c r="I303" s="61"/>
      <c r="J303" s="61"/>
      <c r="K303" s="3" t="str">
        <f t="shared" si="4"/>
        <v>fail</v>
      </c>
      <c r="L303" s="19" t="str">
        <f>IFERROR(IF(AND(MATCH(A303,Projection_classes,0),YEAR(current_date)=Projections!B303),"pass","fail"),"")</f>
        <v/>
      </c>
    </row>
    <row r="304" spans="1:12" x14ac:dyDescent="0.25">
      <c r="A304" s="64"/>
      <c r="B304" s="64"/>
      <c r="C304" s="65"/>
      <c r="D304" s="65"/>
      <c r="E304" s="65"/>
      <c r="F304" s="61"/>
      <c r="G304" s="61"/>
      <c r="H304" s="61"/>
      <c r="I304" s="61"/>
      <c r="J304" s="61"/>
      <c r="K304" s="3" t="str">
        <f t="shared" si="4"/>
        <v>fail</v>
      </c>
      <c r="L304" s="19" t="str">
        <f>IFERROR(IF(AND(MATCH(A304,Projection_classes,0),YEAR(current_date)=Projections!B304),"pass","fail"),"")</f>
        <v/>
      </c>
    </row>
    <row r="305" spans="1:12" x14ac:dyDescent="0.25">
      <c r="A305" s="64"/>
      <c r="B305" s="64"/>
      <c r="C305" s="65"/>
      <c r="D305" s="65"/>
      <c r="E305" s="65"/>
      <c r="F305" s="61"/>
      <c r="G305" s="61"/>
      <c r="H305" s="61"/>
      <c r="I305" s="61"/>
      <c r="J305" s="61"/>
      <c r="K305" s="3" t="str">
        <f t="shared" si="4"/>
        <v>fail</v>
      </c>
      <c r="L305" s="19" t="str">
        <f>IFERROR(IF(AND(MATCH(A305,Projection_classes,0),YEAR(current_date)=Projections!B305),"pass","fail"),"")</f>
        <v/>
      </c>
    </row>
    <row r="306" spans="1:12" x14ac:dyDescent="0.25">
      <c r="A306" s="64"/>
      <c r="B306" s="64"/>
      <c r="C306" s="65"/>
      <c r="D306" s="65"/>
      <c r="E306" s="65"/>
      <c r="F306" s="61"/>
      <c r="G306" s="61"/>
      <c r="H306" s="61"/>
      <c r="I306" s="61"/>
      <c r="J306" s="61"/>
      <c r="K306" s="3" t="str">
        <f t="shared" si="4"/>
        <v>fail</v>
      </c>
      <c r="L306" s="19" t="str">
        <f>IFERROR(IF(AND(MATCH(A306,Projection_classes,0),YEAR(current_date)=Projections!B306),"pass","fail"),"")</f>
        <v/>
      </c>
    </row>
    <row r="307" spans="1:12" x14ac:dyDescent="0.25">
      <c r="A307" s="64"/>
      <c r="B307" s="64"/>
      <c r="C307" s="65"/>
      <c r="D307" s="65"/>
      <c r="E307" s="65"/>
      <c r="F307" s="61"/>
      <c r="G307" s="61"/>
      <c r="H307" s="61"/>
      <c r="I307" s="61"/>
      <c r="J307" s="61"/>
      <c r="K307" s="3" t="str">
        <f t="shared" si="4"/>
        <v>fail</v>
      </c>
      <c r="L307" s="19" t="str">
        <f>IFERROR(IF(AND(MATCH(A307,Projection_classes,0),YEAR(current_date)=Projections!B307),"pass","fail"),"")</f>
        <v/>
      </c>
    </row>
    <row r="308" spans="1:12" x14ac:dyDescent="0.25">
      <c r="A308" s="64"/>
      <c r="B308" s="64"/>
      <c r="C308" s="65"/>
      <c r="D308" s="65"/>
      <c r="E308" s="65"/>
      <c r="F308" s="61"/>
      <c r="G308" s="61"/>
      <c r="H308" s="61"/>
      <c r="I308" s="61"/>
      <c r="J308" s="61"/>
      <c r="K308" s="3" t="str">
        <f t="shared" si="4"/>
        <v>fail</v>
      </c>
      <c r="L308" s="19" t="str">
        <f>IFERROR(IF(AND(MATCH(A308,Projection_classes,0),YEAR(current_date)=Projections!B308),"pass","fail"),"")</f>
        <v/>
      </c>
    </row>
    <row r="309" spans="1:12" x14ac:dyDescent="0.25">
      <c r="A309" s="64"/>
      <c r="B309" s="64"/>
      <c r="C309" s="65"/>
      <c r="D309" s="65"/>
      <c r="E309" s="65"/>
      <c r="F309" s="61"/>
      <c r="G309" s="61"/>
      <c r="H309" s="61"/>
      <c r="I309" s="61"/>
      <c r="J309" s="61"/>
      <c r="K309" s="3" t="str">
        <f t="shared" si="4"/>
        <v>fail</v>
      </c>
      <c r="L309" s="19" t="str">
        <f>IFERROR(IF(AND(MATCH(A309,Projection_classes,0),YEAR(current_date)=Projections!B309),"pass","fail"),"")</f>
        <v/>
      </c>
    </row>
    <row r="310" spans="1:12" x14ac:dyDescent="0.25">
      <c r="A310" s="64"/>
      <c r="B310" s="64"/>
      <c r="C310" s="65"/>
      <c r="D310" s="65"/>
      <c r="E310" s="65"/>
      <c r="F310" s="61"/>
      <c r="G310" s="61"/>
      <c r="H310" s="61"/>
      <c r="I310" s="61"/>
      <c r="J310" s="61"/>
      <c r="K310" s="3" t="str">
        <f t="shared" si="4"/>
        <v>fail</v>
      </c>
      <c r="L310" s="19" t="str">
        <f>IFERROR(IF(AND(MATCH(A310,Projection_classes,0),YEAR(current_date)=Projections!B310),"pass","fail"),"")</f>
        <v/>
      </c>
    </row>
    <row r="311" spans="1:12" x14ac:dyDescent="0.25">
      <c r="A311" s="64"/>
      <c r="B311" s="64"/>
      <c r="C311" s="65"/>
      <c r="D311" s="65"/>
      <c r="E311" s="65"/>
      <c r="F311" s="61"/>
      <c r="G311" s="61"/>
      <c r="H311" s="61"/>
      <c r="I311" s="61"/>
      <c r="J311" s="61"/>
      <c r="K311" s="3" t="str">
        <f t="shared" si="4"/>
        <v>fail</v>
      </c>
      <c r="L311" s="19" t="str">
        <f>IFERROR(IF(AND(MATCH(A311,Projection_classes,0),YEAR(current_date)=Projections!B311),"pass","fail"),"")</f>
        <v/>
      </c>
    </row>
    <row r="312" spans="1:12" x14ac:dyDescent="0.25">
      <c r="A312" s="64"/>
      <c r="B312" s="64"/>
      <c r="C312" s="65"/>
      <c r="D312" s="65"/>
      <c r="E312" s="65"/>
      <c r="F312" s="61"/>
      <c r="G312" s="61"/>
      <c r="H312" s="61"/>
      <c r="I312" s="61"/>
      <c r="J312" s="61"/>
      <c r="K312" s="3" t="str">
        <f t="shared" si="4"/>
        <v>fail</v>
      </c>
      <c r="L312" s="19" t="str">
        <f>IFERROR(IF(AND(MATCH(A312,Projection_classes,0),YEAR(current_date)=Projections!B312),"pass","fail"),"")</f>
        <v/>
      </c>
    </row>
    <row r="313" spans="1:12" x14ac:dyDescent="0.25">
      <c r="A313" s="64"/>
      <c r="B313" s="64"/>
      <c r="C313" s="65"/>
      <c r="D313" s="65"/>
      <c r="E313" s="65"/>
      <c r="F313" s="61"/>
      <c r="G313" s="61"/>
      <c r="H313" s="61"/>
      <c r="I313" s="61"/>
      <c r="J313" s="61"/>
      <c r="K313" s="3" t="str">
        <f t="shared" si="4"/>
        <v>fail</v>
      </c>
      <c r="L313" s="19" t="str">
        <f>IFERROR(IF(AND(MATCH(A313,Projection_classes,0),YEAR(current_date)=Projections!B313),"pass","fail"),"")</f>
        <v/>
      </c>
    </row>
    <row r="314" spans="1:12" x14ac:dyDescent="0.25">
      <c r="A314" s="64"/>
      <c r="B314" s="64"/>
      <c r="C314" s="65"/>
      <c r="D314" s="65"/>
      <c r="E314" s="65"/>
      <c r="F314" s="61"/>
      <c r="G314" s="61"/>
      <c r="H314" s="61"/>
      <c r="I314" s="61"/>
      <c r="J314" s="61"/>
      <c r="K314" s="3" t="str">
        <f t="shared" si="4"/>
        <v>fail</v>
      </c>
      <c r="L314" s="19" t="str">
        <f>IFERROR(IF(AND(MATCH(A314,Projection_classes,0),YEAR(current_date)=Projections!B314),"pass","fail"),"")</f>
        <v/>
      </c>
    </row>
    <row r="315" spans="1:12" x14ac:dyDescent="0.25">
      <c r="A315" s="64"/>
      <c r="B315" s="64"/>
      <c r="C315" s="65"/>
      <c r="D315" s="65"/>
      <c r="E315" s="65"/>
      <c r="F315" s="61"/>
      <c r="G315" s="61"/>
      <c r="H315" s="61"/>
      <c r="I315" s="61"/>
      <c r="J315" s="61"/>
      <c r="K315" s="3" t="str">
        <f t="shared" si="4"/>
        <v>fail</v>
      </c>
      <c r="L315" s="19" t="str">
        <f>IFERROR(IF(AND(MATCH(A315,Projection_classes,0),YEAR(current_date)=Projections!B315),"pass","fail"),"")</f>
        <v/>
      </c>
    </row>
    <row r="316" spans="1:12" x14ac:dyDescent="0.25">
      <c r="A316" s="64"/>
      <c r="B316" s="64"/>
      <c r="C316" s="65"/>
      <c r="D316" s="65"/>
      <c r="E316" s="65"/>
      <c r="F316" s="61"/>
      <c r="G316" s="61"/>
      <c r="H316" s="61"/>
      <c r="I316" s="61"/>
      <c r="J316" s="61"/>
      <c r="K316" s="3" t="str">
        <f t="shared" si="4"/>
        <v>fail</v>
      </c>
      <c r="L316" s="19" t="str">
        <f>IFERROR(IF(AND(MATCH(A316,Projection_classes,0),YEAR(current_date)=Projections!B316),"pass","fail"),"")</f>
        <v/>
      </c>
    </row>
    <row r="317" spans="1:12" x14ac:dyDescent="0.25">
      <c r="A317" s="64"/>
      <c r="B317" s="64"/>
      <c r="C317" s="65"/>
      <c r="D317" s="65"/>
      <c r="E317" s="65"/>
      <c r="F317" s="61"/>
      <c r="G317" s="61"/>
      <c r="H317" s="61"/>
      <c r="I317" s="61"/>
      <c r="J317" s="61"/>
      <c r="K317" s="3" t="str">
        <f t="shared" si="4"/>
        <v>fail</v>
      </c>
      <c r="L317" s="19" t="str">
        <f>IFERROR(IF(AND(MATCH(A317,Projection_classes,0),YEAR(current_date)=Projections!B317),"pass","fail"),"")</f>
        <v/>
      </c>
    </row>
    <row r="318" spans="1:12" x14ac:dyDescent="0.25">
      <c r="A318" s="64"/>
      <c r="B318" s="64"/>
      <c r="C318" s="65"/>
      <c r="D318" s="65"/>
      <c r="E318" s="65"/>
      <c r="F318" s="61"/>
      <c r="G318" s="61"/>
      <c r="H318" s="61"/>
      <c r="I318" s="61"/>
      <c r="J318" s="61"/>
      <c r="K318" s="3" t="str">
        <f t="shared" si="4"/>
        <v>fail</v>
      </c>
      <c r="L318" s="19" t="str">
        <f>IFERROR(IF(AND(MATCH(A318,Projection_classes,0),YEAR(current_date)=Projections!B318),"pass","fail"),"")</f>
        <v/>
      </c>
    </row>
    <row r="319" spans="1:12" x14ac:dyDescent="0.25">
      <c r="A319" s="64"/>
      <c r="B319" s="64"/>
      <c r="C319" s="65"/>
      <c r="D319" s="65"/>
      <c r="E319" s="65"/>
      <c r="F319" s="61"/>
      <c r="G319" s="61"/>
      <c r="H319" s="61"/>
      <c r="I319" s="61"/>
      <c r="J319" s="61"/>
      <c r="K319" s="3" t="str">
        <f t="shared" si="4"/>
        <v>fail</v>
      </c>
      <c r="L319" s="19" t="str">
        <f>IFERROR(IF(AND(MATCH(A319,Projection_classes,0),YEAR(current_date)=Projections!B319),"pass","fail"),"")</f>
        <v/>
      </c>
    </row>
    <row r="320" spans="1:12" x14ac:dyDescent="0.25">
      <c r="A320" s="64"/>
      <c r="B320" s="64"/>
      <c r="C320" s="65"/>
      <c r="D320" s="65"/>
      <c r="E320" s="65"/>
      <c r="F320" s="61"/>
      <c r="G320" s="61"/>
      <c r="H320" s="61"/>
      <c r="I320" s="61"/>
      <c r="J320" s="61"/>
      <c r="K320" s="3" t="str">
        <f t="shared" si="4"/>
        <v>fail</v>
      </c>
      <c r="L320" s="19" t="str">
        <f>IFERROR(IF(AND(MATCH(A320,Projection_classes,0),YEAR(current_date)=Projections!B320),"pass","fail"),"")</f>
        <v/>
      </c>
    </row>
    <row r="321" spans="1:12" x14ac:dyDescent="0.25">
      <c r="A321" s="64"/>
      <c r="B321" s="64"/>
      <c r="C321" s="65"/>
      <c r="D321" s="65"/>
      <c r="E321" s="65"/>
      <c r="F321" s="61"/>
      <c r="G321" s="61"/>
      <c r="H321" s="61"/>
      <c r="I321" s="61"/>
      <c r="J321" s="61"/>
      <c r="K321" s="3" t="str">
        <f t="shared" si="4"/>
        <v>fail</v>
      </c>
      <c r="L321" s="19" t="str">
        <f>IFERROR(IF(AND(MATCH(A321,Projection_classes,0),YEAR(current_date)=Projections!B321),"pass","fail"),"")</f>
        <v/>
      </c>
    </row>
    <row r="322" spans="1:12" x14ac:dyDescent="0.25">
      <c r="A322" s="64"/>
      <c r="B322" s="64"/>
      <c r="C322" s="65"/>
      <c r="D322" s="65"/>
      <c r="E322" s="65"/>
      <c r="F322" s="61"/>
      <c r="G322" s="61"/>
      <c r="H322" s="61"/>
      <c r="I322" s="61"/>
      <c r="J322" s="61"/>
      <c r="K322" s="3" t="str">
        <f t="shared" ref="K322:K385" si="5">IF(OR(B322&lt;$N$1,B322&gt;$P$1),"fail","pass")</f>
        <v>fail</v>
      </c>
      <c r="L322" s="19" t="str">
        <f>IFERROR(IF(AND(MATCH(A322,Projection_classes,0),YEAR(current_date)=Projections!B322),"pass","fail"),"")</f>
        <v/>
      </c>
    </row>
    <row r="323" spans="1:12" x14ac:dyDescent="0.25">
      <c r="A323" s="64"/>
      <c r="B323" s="64"/>
      <c r="C323" s="65"/>
      <c r="D323" s="65"/>
      <c r="E323" s="65"/>
      <c r="F323" s="61"/>
      <c r="G323" s="61"/>
      <c r="H323" s="61"/>
      <c r="I323" s="61"/>
      <c r="J323" s="61"/>
      <c r="K323" s="3" t="str">
        <f t="shared" si="5"/>
        <v>fail</v>
      </c>
      <c r="L323" s="19" t="str">
        <f>IFERROR(IF(AND(MATCH(A323,Projection_classes,0),YEAR(current_date)=Projections!B323),"pass","fail"),"")</f>
        <v/>
      </c>
    </row>
    <row r="324" spans="1:12" x14ac:dyDescent="0.25">
      <c r="A324" s="64"/>
      <c r="B324" s="64"/>
      <c r="C324" s="65"/>
      <c r="D324" s="65"/>
      <c r="E324" s="65"/>
      <c r="F324" s="61"/>
      <c r="G324" s="61"/>
      <c r="H324" s="61"/>
      <c r="I324" s="61"/>
      <c r="J324" s="61"/>
      <c r="K324" s="3" t="str">
        <f t="shared" si="5"/>
        <v>fail</v>
      </c>
      <c r="L324" s="19" t="str">
        <f>IFERROR(IF(AND(MATCH(A324,Projection_classes,0),YEAR(current_date)=Projections!B324),"pass","fail"),"")</f>
        <v/>
      </c>
    </row>
    <row r="325" spans="1:12" x14ac:dyDescent="0.25">
      <c r="A325" s="64"/>
      <c r="B325" s="64"/>
      <c r="C325" s="65"/>
      <c r="D325" s="65"/>
      <c r="E325" s="65"/>
      <c r="F325" s="61"/>
      <c r="G325" s="61"/>
      <c r="H325" s="61"/>
      <c r="I325" s="61"/>
      <c r="J325" s="61"/>
      <c r="K325" s="3" t="str">
        <f t="shared" si="5"/>
        <v>fail</v>
      </c>
      <c r="L325" s="19" t="str">
        <f>IFERROR(IF(AND(MATCH(A325,Projection_classes,0),YEAR(current_date)=Projections!B325),"pass","fail"),"")</f>
        <v/>
      </c>
    </row>
    <row r="326" spans="1:12" x14ac:dyDescent="0.25">
      <c r="A326" s="64"/>
      <c r="B326" s="64"/>
      <c r="C326" s="65"/>
      <c r="D326" s="65"/>
      <c r="E326" s="65"/>
      <c r="F326" s="61"/>
      <c r="G326" s="61"/>
      <c r="H326" s="61"/>
      <c r="I326" s="61"/>
      <c r="J326" s="61"/>
      <c r="K326" s="3" t="str">
        <f t="shared" si="5"/>
        <v>fail</v>
      </c>
      <c r="L326" s="19" t="str">
        <f>IFERROR(IF(AND(MATCH(A326,Projection_classes,0),YEAR(current_date)=Projections!B326),"pass","fail"),"")</f>
        <v/>
      </c>
    </row>
    <row r="327" spans="1:12" x14ac:dyDescent="0.25">
      <c r="A327" s="64"/>
      <c r="B327" s="64"/>
      <c r="C327" s="65"/>
      <c r="D327" s="65"/>
      <c r="E327" s="65"/>
      <c r="F327" s="61"/>
      <c r="G327" s="61"/>
      <c r="H327" s="61"/>
      <c r="I327" s="61"/>
      <c r="J327" s="61"/>
      <c r="K327" s="3" t="str">
        <f t="shared" si="5"/>
        <v>fail</v>
      </c>
      <c r="L327" s="19" t="str">
        <f>IFERROR(IF(AND(MATCH(A327,Projection_classes,0),YEAR(current_date)=Projections!B327),"pass","fail"),"")</f>
        <v/>
      </c>
    </row>
    <row r="328" spans="1:12" x14ac:dyDescent="0.25">
      <c r="A328" s="64"/>
      <c r="B328" s="64"/>
      <c r="C328" s="65"/>
      <c r="D328" s="65"/>
      <c r="E328" s="65"/>
      <c r="F328" s="61"/>
      <c r="G328" s="61"/>
      <c r="H328" s="61"/>
      <c r="I328" s="61"/>
      <c r="J328" s="61"/>
      <c r="K328" s="3" t="str">
        <f t="shared" si="5"/>
        <v>fail</v>
      </c>
      <c r="L328" s="19" t="str">
        <f>IFERROR(IF(AND(MATCH(A328,Projection_classes,0),YEAR(current_date)=Projections!B328),"pass","fail"),"")</f>
        <v/>
      </c>
    </row>
    <row r="329" spans="1:12" x14ac:dyDescent="0.25">
      <c r="A329" s="64"/>
      <c r="B329" s="64"/>
      <c r="C329" s="65"/>
      <c r="D329" s="65"/>
      <c r="E329" s="65"/>
      <c r="F329" s="61"/>
      <c r="G329" s="61"/>
      <c r="H329" s="61"/>
      <c r="I329" s="61"/>
      <c r="J329" s="61"/>
      <c r="K329" s="3" t="str">
        <f t="shared" si="5"/>
        <v>fail</v>
      </c>
      <c r="L329" s="19" t="str">
        <f>IFERROR(IF(AND(MATCH(A329,Projection_classes,0),YEAR(current_date)=Projections!B329),"pass","fail"),"")</f>
        <v/>
      </c>
    </row>
    <row r="330" spans="1:12" x14ac:dyDescent="0.25">
      <c r="A330" s="64"/>
      <c r="B330" s="64"/>
      <c r="C330" s="65"/>
      <c r="D330" s="65"/>
      <c r="E330" s="65"/>
      <c r="F330" s="61"/>
      <c r="G330" s="61"/>
      <c r="H330" s="61"/>
      <c r="I330" s="61"/>
      <c r="J330" s="61"/>
      <c r="K330" s="3" t="str">
        <f t="shared" si="5"/>
        <v>fail</v>
      </c>
      <c r="L330" s="19" t="str">
        <f>IFERROR(IF(AND(MATCH(A330,Projection_classes,0),YEAR(current_date)=Projections!B330),"pass","fail"),"")</f>
        <v/>
      </c>
    </row>
    <row r="331" spans="1:12" x14ac:dyDescent="0.25">
      <c r="A331" s="64"/>
      <c r="B331" s="64"/>
      <c r="C331" s="65"/>
      <c r="D331" s="65"/>
      <c r="E331" s="65"/>
      <c r="F331" s="61"/>
      <c r="G331" s="61"/>
      <c r="H331" s="61"/>
      <c r="I331" s="61"/>
      <c r="J331" s="61"/>
      <c r="K331" s="3" t="str">
        <f t="shared" si="5"/>
        <v>fail</v>
      </c>
      <c r="L331" s="19" t="str">
        <f>IFERROR(IF(AND(MATCH(A331,Projection_classes,0),YEAR(current_date)=Projections!B331),"pass","fail"),"")</f>
        <v/>
      </c>
    </row>
    <row r="332" spans="1:12" x14ac:dyDescent="0.25">
      <c r="A332" s="64"/>
      <c r="B332" s="64"/>
      <c r="C332" s="65"/>
      <c r="D332" s="65"/>
      <c r="E332" s="65"/>
      <c r="F332" s="61"/>
      <c r="G332" s="61"/>
      <c r="H332" s="61"/>
      <c r="I332" s="61"/>
      <c r="J332" s="61"/>
      <c r="K332" s="3" t="str">
        <f t="shared" si="5"/>
        <v>fail</v>
      </c>
      <c r="L332" s="19" t="str">
        <f>IFERROR(IF(AND(MATCH(A332,Projection_classes,0),YEAR(current_date)=Projections!B332),"pass","fail"),"")</f>
        <v/>
      </c>
    </row>
    <row r="333" spans="1:12" x14ac:dyDescent="0.25">
      <c r="A333" s="64"/>
      <c r="B333" s="64"/>
      <c r="C333" s="65"/>
      <c r="D333" s="65"/>
      <c r="E333" s="65"/>
      <c r="F333" s="61"/>
      <c r="G333" s="61"/>
      <c r="H333" s="61"/>
      <c r="I333" s="61"/>
      <c r="J333" s="61"/>
      <c r="K333" s="3" t="str">
        <f t="shared" si="5"/>
        <v>fail</v>
      </c>
      <c r="L333" s="19" t="str">
        <f>IFERROR(IF(AND(MATCH(A333,Projection_classes,0),YEAR(current_date)=Projections!B333),"pass","fail"),"")</f>
        <v/>
      </c>
    </row>
    <row r="334" spans="1:12" x14ac:dyDescent="0.25">
      <c r="A334" s="64"/>
      <c r="B334" s="64"/>
      <c r="C334" s="65"/>
      <c r="D334" s="65"/>
      <c r="E334" s="65"/>
      <c r="F334" s="61"/>
      <c r="G334" s="61"/>
      <c r="H334" s="61"/>
      <c r="I334" s="61"/>
      <c r="J334" s="61"/>
      <c r="K334" s="3" t="str">
        <f t="shared" si="5"/>
        <v>fail</v>
      </c>
      <c r="L334" s="19" t="str">
        <f>IFERROR(IF(AND(MATCH(A334,Projection_classes,0),YEAR(current_date)=Projections!B334),"pass","fail"),"")</f>
        <v/>
      </c>
    </row>
    <row r="335" spans="1:12" x14ac:dyDescent="0.25">
      <c r="A335" s="64"/>
      <c r="B335" s="64"/>
      <c r="C335" s="65"/>
      <c r="D335" s="65"/>
      <c r="E335" s="65"/>
      <c r="F335" s="61"/>
      <c r="G335" s="61"/>
      <c r="H335" s="61"/>
      <c r="I335" s="61"/>
      <c r="J335" s="61"/>
      <c r="K335" s="3" t="str">
        <f t="shared" si="5"/>
        <v>fail</v>
      </c>
      <c r="L335" s="19" t="str">
        <f>IFERROR(IF(AND(MATCH(A335,Projection_classes,0),YEAR(current_date)=Projections!B335),"pass","fail"),"")</f>
        <v/>
      </c>
    </row>
    <row r="336" spans="1:12" x14ac:dyDescent="0.25">
      <c r="A336" s="64"/>
      <c r="B336" s="64"/>
      <c r="C336" s="65"/>
      <c r="D336" s="65"/>
      <c r="E336" s="65"/>
      <c r="F336" s="61"/>
      <c r="G336" s="61"/>
      <c r="H336" s="61"/>
      <c r="I336" s="61"/>
      <c r="J336" s="61"/>
      <c r="K336" s="3" t="str">
        <f t="shared" si="5"/>
        <v>fail</v>
      </c>
      <c r="L336" s="19" t="str">
        <f>IFERROR(IF(AND(MATCH(A336,Projection_classes,0),YEAR(current_date)=Projections!B336),"pass","fail"),"")</f>
        <v/>
      </c>
    </row>
    <row r="337" spans="1:12" x14ac:dyDescent="0.25">
      <c r="A337" s="64"/>
      <c r="B337" s="64"/>
      <c r="C337" s="65"/>
      <c r="D337" s="65"/>
      <c r="E337" s="65"/>
      <c r="F337" s="61"/>
      <c r="G337" s="61"/>
      <c r="H337" s="61"/>
      <c r="I337" s="61"/>
      <c r="J337" s="61"/>
      <c r="K337" s="3" t="str">
        <f t="shared" si="5"/>
        <v>fail</v>
      </c>
      <c r="L337" s="19" t="str">
        <f>IFERROR(IF(AND(MATCH(A337,Projection_classes,0),YEAR(current_date)=Projections!B337),"pass","fail"),"")</f>
        <v/>
      </c>
    </row>
    <row r="338" spans="1:12" x14ac:dyDescent="0.25">
      <c r="A338" s="64"/>
      <c r="B338" s="64"/>
      <c r="C338" s="65"/>
      <c r="D338" s="65"/>
      <c r="E338" s="65"/>
      <c r="F338" s="61"/>
      <c r="G338" s="61"/>
      <c r="H338" s="61"/>
      <c r="I338" s="61"/>
      <c r="J338" s="61"/>
      <c r="K338" s="3" t="str">
        <f t="shared" si="5"/>
        <v>fail</v>
      </c>
      <c r="L338" s="19" t="str">
        <f>IFERROR(IF(AND(MATCH(A338,Projection_classes,0),YEAR(current_date)=Projections!B338),"pass","fail"),"")</f>
        <v/>
      </c>
    </row>
    <row r="339" spans="1:12" x14ac:dyDescent="0.25">
      <c r="A339" s="64"/>
      <c r="B339" s="64"/>
      <c r="C339" s="65"/>
      <c r="D339" s="65"/>
      <c r="E339" s="65"/>
      <c r="F339" s="61"/>
      <c r="G339" s="61"/>
      <c r="H339" s="61"/>
      <c r="I339" s="61"/>
      <c r="J339" s="61"/>
      <c r="K339" s="3" t="str">
        <f t="shared" si="5"/>
        <v>fail</v>
      </c>
      <c r="L339" s="19" t="str">
        <f>IFERROR(IF(AND(MATCH(A339,Projection_classes,0),YEAR(current_date)=Projections!B339),"pass","fail"),"")</f>
        <v/>
      </c>
    </row>
    <row r="340" spans="1:12" x14ac:dyDescent="0.25">
      <c r="A340" s="64"/>
      <c r="B340" s="64"/>
      <c r="C340" s="65"/>
      <c r="D340" s="65"/>
      <c r="E340" s="65"/>
      <c r="F340" s="61"/>
      <c r="G340" s="61"/>
      <c r="H340" s="61"/>
      <c r="I340" s="61"/>
      <c r="J340" s="61"/>
      <c r="K340" s="3" t="str">
        <f t="shared" si="5"/>
        <v>fail</v>
      </c>
      <c r="L340" s="19" t="str">
        <f>IFERROR(IF(AND(MATCH(A340,Projection_classes,0),YEAR(current_date)=Projections!B340),"pass","fail"),"")</f>
        <v/>
      </c>
    </row>
    <row r="341" spans="1:12" x14ac:dyDescent="0.25">
      <c r="A341" s="64"/>
      <c r="B341" s="64"/>
      <c r="C341" s="65"/>
      <c r="D341" s="65"/>
      <c r="E341" s="65"/>
      <c r="F341" s="61"/>
      <c r="G341" s="61"/>
      <c r="H341" s="61"/>
      <c r="I341" s="61"/>
      <c r="J341" s="61"/>
      <c r="K341" s="3" t="str">
        <f t="shared" si="5"/>
        <v>fail</v>
      </c>
      <c r="L341" s="19" t="str">
        <f>IFERROR(IF(AND(MATCH(A341,Projection_classes,0),YEAR(current_date)=Projections!B341),"pass","fail"),"")</f>
        <v/>
      </c>
    </row>
    <row r="342" spans="1:12" x14ac:dyDescent="0.25">
      <c r="A342" s="64"/>
      <c r="B342" s="64"/>
      <c r="C342" s="65"/>
      <c r="D342" s="65"/>
      <c r="E342" s="65"/>
      <c r="F342" s="61"/>
      <c r="G342" s="61"/>
      <c r="H342" s="61"/>
      <c r="I342" s="61"/>
      <c r="J342" s="61"/>
      <c r="K342" s="3" t="str">
        <f t="shared" si="5"/>
        <v>fail</v>
      </c>
      <c r="L342" s="19" t="str">
        <f>IFERROR(IF(AND(MATCH(A342,Projection_classes,0),YEAR(current_date)=Projections!B342),"pass","fail"),"")</f>
        <v/>
      </c>
    </row>
    <row r="343" spans="1:12" x14ac:dyDescent="0.25">
      <c r="A343" s="64"/>
      <c r="B343" s="64"/>
      <c r="C343" s="65"/>
      <c r="D343" s="65"/>
      <c r="E343" s="65"/>
      <c r="F343" s="61"/>
      <c r="G343" s="61"/>
      <c r="H343" s="61"/>
      <c r="I343" s="61"/>
      <c r="J343" s="61"/>
      <c r="K343" s="3" t="str">
        <f t="shared" si="5"/>
        <v>fail</v>
      </c>
      <c r="L343" s="19" t="str">
        <f>IFERROR(IF(AND(MATCH(A343,Projection_classes,0),YEAR(current_date)=Projections!B343),"pass","fail"),"")</f>
        <v/>
      </c>
    </row>
    <row r="344" spans="1:12" x14ac:dyDescent="0.25">
      <c r="A344" s="64"/>
      <c r="B344" s="64"/>
      <c r="C344" s="65"/>
      <c r="D344" s="65"/>
      <c r="E344" s="65"/>
      <c r="F344" s="61"/>
      <c r="G344" s="61"/>
      <c r="H344" s="61"/>
      <c r="I344" s="61"/>
      <c r="J344" s="61"/>
      <c r="K344" s="3" t="str">
        <f t="shared" si="5"/>
        <v>fail</v>
      </c>
      <c r="L344" s="19" t="str">
        <f>IFERROR(IF(AND(MATCH(A344,Projection_classes,0),YEAR(current_date)=Projections!B344),"pass","fail"),"")</f>
        <v/>
      </c>
    </row>
    <row r="345" spans="1:12" x14ac:dyDescent="0.25">
      <c r="A345" s="64"/>
      <c r="B345" s="64"/>
      <c r="C345" s="65"/>
      <c r="D345" s="65"/>
      <c r="E345" s="65"/>
      <c r="F345" s="61"/>
      <c r="G345" s="61"/>
      <c r="H345" s="61"/>
      <c r="I345" s="61"/>
      <c r="J345" s="61"/>
      <c r="K345" s="3" t="str">
        <f t="shared" si="5"/>
        <v>fail</v>
      </c>
      <c r="L345" s="19" t="str">
        <f>IFERROR(IF(AND(MATCH(A345,Projection_classes,0),YEAR(current_date)=Projections!B345),"pass","fail"),"")</f>
        <v/>
      </c>
    </row>
    <row r="346" spans="1:12" x14ac:dyDescent="0.25">
      <c r="A346" s="64"/>
      <c r="B346" s="64"/>
      <c r="C346" s="65"/>
      <c r="D346" s="65"/>
      <c r="E346" s="65"/>
      <c r="F346" s="61"/>
      <c r="G346" s="61"/>
      <c r="H346" s="61"/>
      <c r="I346" s="61"/>
      <c r="J346" s="61"/>
      <c r="K346" s="3" t="str">
        <f t="shared" si="5"/>
        <v>fail</v>
      </c>
      <c r="L346" s="19" t="str">
        <f>IFERROR(IF(AND(MATCH(A346,Projection_classes,0),YEAR(current_date)=Projections!B346),"pass","fail"),"")</f>
        <v/>
      </c>
    </row>
    <row r="347" spans="1:12" x14ac:dyDescent="0.25">
      <c r="A347" s="64"/>
      <c r="B347" s="64"/>
      <c r="C347" s="65"/>
      <c r="D347" s="65"/>
      <c r="E347" s="65"/>
      <c r="F347" s="61"/>
      <c r="G347" s="61"/>
      <c r="H347" s="61"/>
      <c r="I347" s="61"/>
      <c r="J347" s="61"/>
      <c r="K347" s="3" t="str">
        <f t="shared" si="5"/>
        <v>fail</v>
      </c>
      <c r="L347" s="19" t="str">
        <f>IFERROR(IF(AND(MATCH(A347,Projection_classes,0),YEAR(current_date)=Projections!B347),"pass","fail"),"")</f>
        <v/>
      </c>
    </row>
    <row r="348" spans="1:12" x14ac:dyDescent="0.25">
      <c r="A348" s="64"/>
      <c r="B348" s="64"/>
      <c r="C348" s="65"/>
      <c r="D348" s="65"/>
      <c r="E348" s="65"/>
      <c r="F348" s="61"/>
      <c r="G348" s="61"/>
      <c r="H348" s="61"/>
      <c r="I348" s="61"/>
      <c r="J348" s="61"/>
      <c r="K348" s="3" t="str">
        <f t="shared" si="5"/>
        <v>fail</v>
      </c>
      <c r="L348" s="19" t="str">
        <f>IFERROR(IF(AND(MATCH(A348,Projection_classes,0),YEAR(current_date)=Projections!B348),"pass","fail"),"")</f>
        <v/>
      </c>
    </row>
    <row r="349" spans="1:12" x14ac:dyDescent="0.25">
      <c r="A349" s="64"/>
      <c r="B349" s="64"/>
      <c r="C349" s="65"/>
      <c r="D349" s="65"/>
      <c r="E349" s="65"/>
      <c r="F349" s="61"/>
      <c r="G349" s="61"/>
      <c r="H349" s="61"/>
      <c r="I349" s="61"/>
      <c r="J349" s="61"/>
      <c r="K349" s="3" t="str">
        <f t="shared" si="5"/>
        <v>fail</v>
      </c>
      <c r="L349" s="19" t="str">
        <f>IFERROR(IF(AND(MATCH(A349,Projection_classes,0),YEAR(current_date)=Projections!B349),"pass","fail"),"")</f>
        <v/>
      </c>
    </row>
    <row r="350" spans="1:12" x14ac:dyDescent="0.25">
      <c r="A350" s="64"/>
      <c r="B350" s="64"/>
      <c r="C350" s="65"/>
      <c r="D350" s="65"/>
      <c r="E350" s="65"/>
      <c r="F350" s="61"/>
      <c r="G350" s="61"/>
      <c r="H350" s="61"/>
      <c r="I350" s="61"/>
      <c r="J350" s="61"/>
      <c r="K350" s="3" t="str">
        <f t="shared" si="5"/>
        <v>fail</v>
      </c>
      <c r="L350" s="19" t="str">
        <f>IFERROR(IF(AND(MATCH(A350,Projection_classes,0),YEAR(current_date)=Projections!B350),"pass","fail"),"")</f>
        <v/>
      </c>
    </row>
    <row r="351" spans="1:12" x14ac:dyDescent="0.25">
      <c r="A351" s="64"/>
      <c r="B351" s="64"/>
      <c r="C351" s="65"/>
      <c r="D351" s="65"/>
      <c r="E351" s="65"/>
      <c r="F351" s="61"/>
      <c r="G351" s="61"/>
      <c r="H351" s="61"/>
      <c r="I351" s="61"/>
      <c r="J351" s="61"/>
      <c r="K351" s="3" t="str">
        <f t="shared" si="5"/>
        <v>fail</v>
      </c>
      <c r="L351" s="19" t="str">
        <f>IFERROR(IF(AND(MATCH(A351,Projection_classes,0),YEAR(current_date)=Projections!B351),"pass","fail"),"")</f>
        <v/>
      </c>
    </row>
    <row r="352" spans="1:12" x14ac:dyDescent="0.25">
      <c r="A352" s="64"/>
      <c r="B352" s="64"/>
      <c r="C352" s="65"/>
      <c r="D352" s="65"/>
      <c r="E352" s="65"/>
      <c r="F352" s="61"/>
      <c r="G352" s="61"/>
      <c r="H352" s="61"/>
      <c r="I352" s="61"/>
      <c r="J352" s="61"/>
      <c r="K352" s="3" t="str">
        <f t="shared" si="5"/>
        <v>fail</v>
      </c>
      <c r="L352" s="19" t="str">
        <f>IFERROR(IF(AND(MATCH(A352,Projection_classes,0),YEAR(current_date)=Projections!B352),"pass","fail"),"")</f>
        <v/>
      </c>
    </row>
    <row r="353" spans="1:12" x14ac:dyDescent="0.25">
      <c r="A353" s="64"/>
      <c r="B353" s="64"/>
      <c r="C353" s="65"/>
      <c r="D353" s="65"/>
      <c r="E353" s="65"/>
      <c r="F353" s="61"/>
      <c r="G353" s="61"/>
      <c r="H353" s="61"/>
      <c r="I353" s="61"/>
      <c r="J353" s="61"/>
      <c r="K353" s="3" t="str">
        <f t="shared" si="5"/>
        <v>fail</v>
      </c>
      <c r="L353" s="19" t="str">
        <f>IFERROR(IF(AND(MATCH(A353,Projection_classes,0),YEAR(current_date)=Projections!B353),"pass","fail"),"")</f>
        <v/>
      </c>
    </row>
    <row r="354" spans="1:12" x14ac:dyDescent="0.25">
      <c r="A354" s="64"/>
      <c r="B354" s="64"/>
      <c r="C354" s="65"/>
      <c r="D354" s="65"/>
      <c r="E354" s="65"/>
      <c r="F354" s="61"/>
      <c r="G354" s="61"/>
      <c r="H354" s="61"/>
      <c r="I354" s="61"/>
      <c r="J354" s="61"/>
      <c r="K354" s="3" t="str">
        <f t="shared" si="5"/>
        <v>fail</v>
      </c>
      <c r="L354" s="19" t="str">
        <f>IFERROR(IF(AND(MATCH(A354,Projection_classes,0),YEAR(current_date)=Projections!B354),"pass","fail"),"")</f>
        <v/>
      </c>
    </row>
    <row r="355" spans="1:12" x14ac:dyDescent="0.25">
      <c r="A355" s="64"/>
      <c r="B355" s="64"/>
      <c r="C355" s="65"/>
      <c r="D355" s="65"/>
      <c r="E355" s="65"/>
      <c r="F355" s="61"/>
      <c r="G355" s="61"/>
      <c r="H355" s="61"/>
      <c r="I355" s="61"/>
      <c r="J355" s="61"/>
      <c r="K355" s="3" t="str">
        <f t="shared" si="5"/>
        <v>fail</v>
      </c>
      <c r="L355" s="19" t="str">
        <f>IFERROR(IF(AND(MATCH(A355,Projection_classes,0),YEAR(current_date)=Projections!B355),"pass","fail"),"")</f>
        <v/>
      </c>
    </row>
    <row r="356" spans="1:12" x14ac:dyDescent="0.25">
      <c r="A356" s="64"/>
      <c r="B356" s="64"/>
      <c r="C356" s="65"/>
      <c r="D356" s="65"/>
      <c r="E356" s="65"/>
      <c r="F356" s="61"/>
      <c r="G356" s="61"/>
      <c r="H356" s="61"/>
      <c r="I356" s="61"/>
      <c r="J356" s="61"/>
      <c r="K356" s="3" t="str">
        <f t="shared" si="5"/>
        <v>fail</v>
      </c>
      <c r="L356" s="19" t="str">
        <f>IFERROR(IF(AND(MATCH(A356,Projection_classes,0),YEAR(current_date)=Projections!B356),"pass","fail"),"")</f>
        <v/>
      </c>
    </row>
    <row r="357" spans="1:12" x14ac:dyDescent="0.25">
      <c r="A357" s="64"/>
      <c r="B357" s="64"/>
      <c r="C357" s="65"/>
      <c r="D357" s="65"/>
      <c r="E357" s="65"/>
      <c r="F357" s="61"/>
      <c r="G357" s="61"/>
      <c r="H357" s="61"/>
      <c r="I357" s="61"/>
      <c r="J357" s="61"/>
      <c r="K357" s="3" t="str">
        <f t="shared" si="5"/>
        <v>fail</v>
      </c>
      <c r="L357" s="19" t="str">
        <f>IFERROR(IF(AND(MATCH(A357,Projection_classes,0),YEAR(current_date)=Projections!B357),"pass","fail"),"")</f>
        <v/>
      </c>
    </row>
    <row r="358" spans="1:12" x14ac:dyDescent="0.25">
      <c r="A358" s="64"/>
      <c r="B358" s="64"/>
      <c r="C358" s="65"/>
      <c r="D358" s="65"/>
      <c r="E358" s="65"/>
      <c r="F358" s="61"/>
      <c r="G358" s="61"/>
      <c r="H358" s="61"/>
      <c r="I358" s="61"/>
      <c r="J358" s="61"/>
      <c r="K358" s="3" t="str">
        <f t="shared" si="5"/>
        <v>fail</v>
      </c>
      <c r="L358" s="19" t="str">
        <f>IFERROR(IF(AND(MATCH(A358,Projection_classes,0),YEAR(current_date)=Projections!B358),"pass","fail"),"")</f>
        <v/>
      </c>
    </row>
    <row r="359" spans="1:12" x14ac:dyDescent="0.25">
      <c r="A359" s="64"/>
      <c r="B359" s="64"/>
      <c r="C359" s="65"/>
      <c r="D359" s="65"/>
      <c r="E359" s="65"/>
      <c r="F359" s="61"/>
      <c r="G359" s="61"/>
      <c r="H359" s="61"/>
      <c r="I359" s="61"/>
      <c r="J359" s="61"/>
      <c r="K359" s="3" t="str">
        <f t="shared" si="5"/>
        <v>fail</v>
      </c>
      <c r="L359" s="19" t="str">
        <f>IFERROR(IF(AND(MATCH(A359,Projection_classes,0),YEAR(current_date)=Projections!B359),"pass","fail"),"")</f>
        <v/>
      </c>
    </row>
    <row r="360" spans="1:12" x14ac:dyDescent="0.25">
      <c r="A360" s="64"/>
      <c r="B360" s="64"/>
      <c r="C360" s="65"/>
      <c r="D360" s="65"/>
      <c r="E360" s="65"/>
      <c r="F360" s="61"/>
      <c r="G360" s="61"/>
      <c r="H360" s="61"/>
      <c r="I360" s="61"/>
      <c r="J360" s="61"/>
      <c r="K360" s="3" t="str">
        <f t="shared" si="5"/>
        <v>fail</v>
      </c>
      <c r="L360" s="19" t="str">
        <f>IFERROR(IF(AND(MATCH(A360,Projection_classes,0),YEAR(current_date)=Projections!B360),"pass","fail"),"")</f>
        <v/>
      </c>
    </row>
    <row r="361" spans="1:12" x14ac:dyDescent="0.25">
      <c r="A361" s="64"/>
      <c r="B361" s="64"/>
      <c r="C361" s="65"/>
      <c r="D361" s="65"/>
      <c r="E361" s="65"/>
      <c r="F361" s="61"/>
      <c r="G361" s="61"/>
      <c r="H361" s="61"/>
      <c r="I361" s="61"/>
      <c r="J361" s="61"/>
      <c r="K361" s="3" t="str">
        <f t="shared" si="5"/>
        <v>fail</v>
      </c>
      <c r="L361" s="19" t="str">
        <f>IFERROR(IF(AND(MATCH(A361,Projection_classes,0),YEAR(current_date)=Projections!B361),"pass","fail"),"")</f>
        <v/>
      </c>
    </row>
    <row r="362" spans="1:12" x14ac:dyDescent="0.25">
      <c r="A362" s="64"/>
      <c r="B362" s="64"/>
      <c r="C362" s="65"/>
      <c r="D362" s="65"/>
      <c r="E362" s="65"/>
      <c r="F362" s="61"/>
      <c r="G362" s="61"/>
      <c r="H362" s="61"/>
      <c r="I362" s="61"/>
      <c r="J362" s="61"/>
      <c r="K362" s="3" t="str">
        <f t="shared" si="5"/>
        <v>fail</v>
      </c>
      <c r="L362" s="19" t="str">
        <f>IFERROR(IF(AND(MATCH(A362,Projection_classes,0),YEAR(current_date)=Projections!B362),"pass","fail"),"")</f>
        <v/>
      </c>
    </row>
    <row r="363" spans="1:12" x14ac:dyDescent="0.25">
      <c r="A363" s="64"/>
      <c r="B363" s="64"/>
      <c r="C363" s="65"/>
      <c r="D363" s="65"/>
      <c r="E363" s="65"/>
      <c r="F363" s="61"/>
      <c r="G363" s="61"/>
      <c r="H363" s="61"/>
      <c r="I363" s="61"/>
      <c r="J363" s="61"/>
      <c r="K363" s="3" t="str">
        <f t="shared" si="5"/>
        <v>fail</v>
      </c>
      <c r="L363" s="19" t="str">
        <f>IFERROR(IF(AND(MATCH(A363,Projection_classes,0),YEAR(current_date)=Projections!B363),"pass","fail"),"")</f>
        <v/>
      </c>
    </row>
    <row r="364" spans="1:12" x14ac:dyDescent="0.25">
      <c r="A364" s="64"/>
      <c r="B364" s="64"/>
      <c r="C364" s="65"/>
      <c r="D364" s="65"/>
      <c r="E364" s="65"/>
      <c r="F364" s="61"/>
      <c r="G364" s="61"/>
      <c r="H364" s="61"/>
      <c r="I364" s="61"/>
      <c r="J364" s="61"/>
      <c r="K364" s="3" t="str">
        <f t="shared" si="5"/>
        <v>fail</v>
      </c>
      <c r="L364" s="19" t="str">
        <f>IFERROR(IF(AND(MATCH(A364,Projection_classes,0),YEAR(current_date)=Projections!B364),"pass","fail"),"")</f>
        <v/>
      </c>
    </row>
    <row r="365" spans="1:12" x14ac:dyDescent="0.25">
      <c r="A365" s="64"/>
      <c r="B365" s="64"/>
      <c r="C365" s="65"/>
      <c r="D365" s="65"/>
      <c r="E365" s="65"/>
      <c r="F365" s="61"/>
      <c r="G365" s="61"/>
      <c r="H365" s="61"/>
      <c r="I365" s="61"/>
      <c r="J365" s="61"/>
      <c r="K365" s="3" t="str">
        <f t="shared" si="5"/>
        <v>fail</v>
      </c>
      <c r="L365" s="19" t="str">
        <f>IFERROR(IF(AND(MATCH(A365,Projection_classes,0),YEAR(current_date)=Projections!B365),"pass","fail"),"")</f>
        <v/>
      </c>
    </row>
    <row r="366" spans="1:12" x14ac:dyDescent="0.25">
      <c r="A366" s="64"/>
      <c r="B366" s="64"/>
      <c r="C366" s="65"/>
      <c r="D366" s="65"/>
      <c r="E366" s="65"/>
      <c r="F366" s="61"/>
      <c r="G366" s="61"/>
      <c r="H366" s="61"/>
      <c r="I366" s="61"/>
      <c r="J366" s="61"/>
      <c r="K366" s="3" t="str">
        <f t="shared" si="5"/>
        <v>fail</v>
      </c>
      <c r="L366" s="19" t="str">
        <f>IFERROR(IF(AND(MATCH(A366,Projection_classes,0),YEAR(current_date)=Projections!B366),"pass","fail"),"")</f>
        <v/>
      </c>
    </row>
    <row r="367" spans="1:12" x14ac:dyDescent="0.25">
      <c r="A367" s="64"/>
      <c r="B367" s="64"/>
      <c r="C367" s="65"/>
      <c r="D367" s="65"/>
      <c r="E367" s="65"/>
      <c r="F367" s="61"/>
      <c r="G367" s="61"/>
      <c r="H367" s="61"/>
      <c r="I367" s="61"/>
      <c r="J367" s="61"/>
      <c r="K367" s="3" t="str">
        <f t="shared" si="5"/>
        <v>fail</v>
      </c>
      <c r="L367" s="19" t="str">
        <f>IFERROR(IF(AND(MATCH(A367,Projection_classes,0),YEAR(current_date)=Projections!B367),"pass","fail"),"")</f>
        <v/>
      </c>
    </row>
    <row r="368" spans="1:12" x14ac:dyDescent="0.25">
      <c r="A368" s="64"/>
      <c r="B368" s="64"/>
      <c r="C368" s="65"/>
      <c r="D368" s="65"/>
      <c r="E368" s="65"/>
      <c r="F368" s="61"/>
      <c r="G368" s="61"/>
      <c r="H368" s="61"/>
      <c r="I368" s="61"/>
      <c r="J368" s="61"/>
      <c r="K368" s="3" t="str">
        <f t="shared" si="5"/>
        <v>fail</v>
      </c>
      <c r="L368" s="19" t="str">
        <f>IFERROR(IF(AND(MATCH(A368,Projection_classes,0),YEAR(current_date)=Projections!B368),"pass","fail"),"")</f>
        <v/>
      </c>
    </row>
    <row r="369" spans="1:12" x14ac:dyDescent="0.25">
      <c r="A369" s="64"/>
      <c r="B369" s="64"/>
      <c r="C369" s="65"/>
      <c r="D369" s="65"/>
      <c r="E369" s="65"/>
      <c r="F369" s="61"/>
      <c r="G369" s="61"/>
      <c r="H369" s="61"/>
      <c r="I369" s="61"/>
      <c r="J369" s="61"/>
      <c r="K369" s="3" t="str">
        <f t="shared" si="5"/>
        <v>fail</v>
      </c>
      <c r="L369" s="19" t="str">
        <f>IFERROR(IF(AND(MATCH(A369,Projection_classes,0),YEAR(current_date)=Projections!B369),"pass","fail"),"")</f>
        <v/>
      </c>
    </row>
    <row r="370" spans="1:12" x14ac:dyDescent="0.25">
      <c r="A370" s="64"/>
      <c r="B370" s="64"/>
      <c r="C370" s="65"/>
      <c r="D370" s="65"/>
      <c r="E370" s="65"/>
      <c r="F370" s="61"/>
      <c r="G370" s="61"/>
      <c r="H370" s="61"/>
      <c r="I370" s="61"/>
      <c r="J370" s="61"/>
      <c r="K370" s="3" t="str">
        <f t="shared" si="5"/>
        <v>fail</v>
      </c>
      <c r="L370" s="19" t="str">
        <f>IFERROR(IF(AND(MATCH(A370,Projection_classes,0),YEAR(current_date)=Projections!B370),"pass","fail"),"")</f>
        <v/>
      </c>
    </row>
    <row r="371" spans="1:12" x14ac:dyDescent="0.25">
      <c r="A371" s="64"/>
      <c r="B371" s="64"/>
      <c r="C371" s="65"/>
      <c r="D371" s="65"/>
      <c r="E371" s="65"/>
      <c r="F371" s="61"/>
      <c r="G371" s="61"/>
      <c r="H371" s="61"/>
      <c r="I371" s="61"/>
      <c r="J371" s="61"/>
      <c r="K371" s="3" t="str">
        <f t="shared" si="5"/>
        <v>fail</v>
      </c>
      <c r="L371" s="19" t="str">
        <f>IFERROR(IF(AND(MATCH(A371,Projection_classes,0),YEAR(current_date)=Projections!B371),"pass","fail"),"")</f>
        <v/>
      </c>
    </row>
    <row r="372" spans="1:12" x14ac:dyDescent="0.25">
      <c r="A372" s="64"/>
      <c r="B372" s="64"/>
      <c r="C372" s="65"/>
      <c r="D372" s="65"/>
      <c r="E372" s="65"/>
      <c r="F372" s="61"/>
      <c r="G372" s="61"/>
      <c r="H372" s="61"/>
      <c r="I372" s="61"/>
      <c r="J372" s="61"/>
      <c r="K372" s="3" t="str">
        <f t="shared" si="5"/>
        <v>fail</v>
      </c>
      <c r="L372" s="19" t="str">
        <f>IFERROR(IF(AND(MATCH(A372,Projection_classes,0),YEAR(current_date)=Projections!B372),"pass","fail"),"")</f>
        <v/>
      </c>
    </row>
    <row r="373" spans="1:12" x14ac:dyDescent="0.25">
      <c r="A373" s="64"/>
      <c r="B373" s="64"/>
      <c r="C373" s="65"/>
      <c r="D373" s="65"/>
      <c r="E373" s="65"/>
      <c r="F373" s="61"/>
      <c r="G373" s="61"/>
      <c r="H373" s="61"/>
      <c r="I373" s="61"/>
      <c r="J373" s="61"/>
      <c r="K373" s="3" t="str">
        <f t="shared" si="5"/>
        <v>fail</v>
      </c>
      <c r="L373" s="19" t="str">
        <f>IFERROR(IF(AND(MATCH(A373,Projection_classes,0),YEAR(current_date)=Projections!B373),"pass","fail"),"")</f>
        <v/>
      </c>
    </row>
    <row r="374" spans="1:12" x14ac:dyDescent="0.25">
      <c r="A374" s="64"/>
      <c r="B374" s="64"/>
      <c r="C374" s="65"/>
      <c r="D374" s="65"/>
      <c r="E374" s="65"/>
      <c r="F374" s="61"/>
      <c r="G374" s="61"/>
      <c r="H374" s="61"/>
      <c r="I374" s="61"/>
      <c r="J374" s="61"/>
      <c r="K374" s="3" t="str">
        <f t="shared" si="5"/>
        <v>fail</v>
      </c>
      <c r="L374" s="19" t="str">
        <f>IFERROR(IF(AND(MATCH(A374,Projection_classes,0),YEAR(current_date)=Projections!B374),"pass","fail"),"")</f>
        <v/>
      </c>
    </row>
    <row r="375" spans="1:12" x14ac:dyDescent="0.25">
      <c r="A375" s="64"/>
      <c r="B375" s="64"/>
      <c r="C375" s="65"/>
      <c r="D375" s="65"/>
      <c r="E375" s="65"/>
      <c r="F375" s="61"/>
      <c r="G375" s="61"/>
      <c r="H375" s="61"/>
      <c r="I375" s="61"/>
      <c r="J375" s="61"/>
      <c r="K375" s="3" t="str">
        <f t="shared" si="5"/>
        <v>fail</v>
      </c>
      <c r="L375" s="19" t="str">
        <f>IFERROR(IF(AND(MATCH(A375,Projection_classes,0),YEAR(current_date)=Projections!B375),"pass","fail"),"")</f>
        <v/>
      </c>
    </row>
    <row r="376" spans="1:12" x14ac:dyDescent="0.25">
      <c r="A376" s="64"/>
      <c r="B376" s="64"/>
      <c r="C376" s="65"/>
      <c r="D376" s="65"/>
      <c r="E376" s="65"/>
      <c r="F376" s="61"/>
      <c r="G376" s="61"/>
      <c r="H376" s="61"/>
      <c r="I376" s="61"/>
      <c r="J376" s="61"/>
      <c r="K376" s="3" t="str">
        <f t="shared" si="5"/>
        <v>fail</v>
      </c>
      <c r="L376" s="19" t="str">
        <f>IFERROR(IF(AND(MATCH(A376,Projection_classes,0),YEAR(current_date)=Projections!B376),"pass","fail"),"")</f>
        <v/>
      </c>
    </row>
    <row r="377" spans="1:12" x14ac:dyDescent="0.25">
      <c r="A377" s="64"/>
      <c r="B377" s="64"/>
      <c r="C377" s="65"/>
      <c r="D377" s="65"/>
      <c r="E377" s="65"/>
      <c r="F377" s="61"/>
      <c r="G377" s="61"/>
      <c r="H377" s="61"/>
      <c r="I377" s="61"/>
      <c r="J377" s="61"/>
      <c r="K377" s="3" t="str">
        <f t="shared" si="5"/>
        <v>fail</v>
      </c>
      <c r="L377" s="19" t="str">
        <f>IFERROR(IF(AND(MATCH(A377,Projection_classes,0),YEAR(current_date)=Projections!B377),"pass","fail"),"")</f>
        <v/>
      </c>
    </row>
    <row r="378" spans="1:12" x14ac:dyDescent="0.25">
      <c r="A378" s="64"/>
      <c r="B378" s="64"/>
      <c r="C378" s="65"/>
      <c r="D378" s="65"/>
      <c r="E378" s="65"/>
      <c r="F378" s="61"/>
      <c r="G378" s="61"/>
      <c r="H378" s="61"/>
      <c r="I378" s="61"/>
      <c r="J378" s="61"/>
      <c r="K378" s="3" t="str">
        <f t="shared" si="5"/>
        <v>fail</v>
      </c>
      <c r="L378" s="19" t="str">
        <f>IFERROR(IF(AND(MATCH(A378,Projection_classes,0),YEAR(current_date)=Projections!B378),"pass","fail"),"")</f>
        <v/>
      </c>
    </row>
    <row r="379" spans="1:12" x14ac:dyDescent="0.25">
      <c r="A379" s="64"/>
      <c r="B379" s="64"/>
      <c r="C379" s="65"/>
      <c r="D379" s="65"/>
      <c r="E379" s="65"/>
      <c r="F379" s="61"/>
      <c r="G379" s="61"/>
      <c r="H379" s="61"/>
      <c r="I379" s="61"/>
      <c r="J379" s="61"/>
      <c r="K379" s="3" t="str">
        <f t="shared" si="5"/>
        <v>fail</v>
      </c>
      <c r="L379" s="19" t="str">
        <f>IFERROR(IF(AND(MATCH(A379,Projection_classes,0),YEAR(current_date)=Projections!B379),"pass","fail"),"")</f>
        <v/>
      </c>
    </row>
    <row r="380" spans="1:12" x14ac:dyDescent="0.25">
      <c r="A380" s="64"/>
      <c r="B380" s="64"/>
      <c r="C380" s="65"/>
      <c r="D380" s="65"/>
      <c r="E380" s="65"/>
      <c r="F380" s="61"/>
      <c r="G380" s="61"/>
      <c r="H380" s="61"/>
      <c r="I380" s="61"/>
      <c r="J380" s="61"/>
      <c r="K380" s="3" t="str">
        <f t="shared" si="5"/>
        <v>fail</v>
      </c>
      <c r="L380" s="19" t="str">
        <f>IFERROR(IF(AND(MATCH(A380,Projection_classes,0),YEAR(current_date)=Projections!B380),"pass","fail"),"")</f>
        <v/>
      </c>
    </row>
    <row r="381" spans="1:12" x14ac:dyDescent="0.25">
      <c r="A381" s="64"/>
      <c r="B381" s="64"/>
      <c r="C381" s="65"/>
      <c r="D381" s="65"/>
      <c r="E381" s="65"/>
      <c r="F381" s="61"/>
      <c r="G381" s="61"/>
      <c r="H381" s="61"/>
      <c r="I381" s="61"/>
      <c r="J381" s="61"/>
      <c r="K381" s="3" t="str">
        <f t="shared" si="5"/>
        <v>fail</v>
      </c>
      <c r="L381" s="19" t="str">
        <f>IFERROR(IF(AND(MATCH(A381,Projection_classes,0),YEAR(current_date)=Projections!B381),"pass","fail"),"")</f>
        <v/>
      </c>
    </row>
    <row r="382" spans="1:12" x14ac:dyDescent="0.25">
      <c r="A382" s="64"/>
      <c r="B382" s="64"/>
      <c r="C382" s="65"/>
      <c r="D382" s="65"/>
      <c r="E382" s="65"/>
      <c r="F382" s="61"/>
      <c r="G382" s="61"/>
      <c r="H382" s="61"/>
      <c r="I382" s="61"/>
      <c r="J382" s="61"/>
      <c r="K382" s="3" t="str">
        <f t="shared" si="5"/>
        <v>fail</v>
      </c>
      <c r="L382" s="19" t="str">
        <f>IFERROR(IF(AND(MATCH(A382,Projection_classes,0),YEAR(current_date)=Projections!B382),"pass","fail"),"")</f>
        <v/>
      </c>
    </row>
    <row r="383" spans="1:12" x14ac:dyDescent="0.25">
      <c r="A383" s="64"/>
      <c r="B383" s="64"/>
      <c r="C383" s="65"/>
      <c r="D383" s="65"/>
      <c r="E383" s="65"/>
      <c r="F383" s="61"/>
      <c r="G383" s="61"/>
      <c r="H383" s="61"/>
      <c r="I383" s="61"/>
      <c r="J383" s="61"/>
      <c r="K383" s="3" t="str">
        <f t="shared" si="5"/>
        <v>fail</v>
      </c>
      <c r="L383" s="19" t="str">
        <f>IFERROR(IF(AND(MATCH(A383,Projection_classes,0),YEAR(current_date)=Projections!B383),"pass","fail"),"")</f>
        <v/>
      </c>
    </row>
    <row r="384" spans="1:12" x14ac:dyDescent="0.25">
      <c r="A384" s="64"/>
      <c r="B384" s="64"/>
      <c r="C384" s="65"/>
      <c r="D384" s="65"/>
      <c r="E384" s="65"/>
      <c r="F384" s="61"/>
      <c r="G384" s="61"/>
      <c r="H384" s="61"/>
      <c r="I384" s="61"/>
      <c r="J384" s="61"/>
      <c r="K384" s="3" t="str">
        <f t="shared" si="5"/>
        <v>fail</v>
      </c>
      <c r="L384" s="19" t="str">
        <f>IFERROR(IF(AND(MATCH(A384,Projection_classes,0),YEAR(current_date)=Projections!B384),"pass","fail"),"")</f>
        <v/>
      </c>
    </row>
    <row r="385" spans="1:12" x14ac:dyDescent="0.25">
      <c r="A385" s="64"/>
      <c r="B385" s="64"/>
      <c r="C385" s="65"/>
      <c r="D385" s="65"/>
      <c r="E385" s="65"/>
      <c r="F385" s="61"/>
      <c r="G385" s="61"/>
      <c r="H385" s="61"/>
      <c r="I385" s="61"/>
      <c r="J385" s="61"/>
      <c r="K385" s="3" t="str">
        <f t="shared" si="5"/>
        <v>fail</v>
      </c>
      <c r="L385" s="19" t="str">
        <f>IFERROR(IF(AND(MATCH(A385,Projection_classes,0),YEAR(current_date)=Projections!B385),"pass","fail"),"")</f>
        <v/>
      </c>
    </row>
    <row r="386" spans="1:12" x14ac:dyDescent="0.25">
      <c r="A386" s="64"/>
      <c r="B386" s="64"/>
      <c r="C386" s="65"/>
      <c r="D386" s="65"/>
      <c r="E386" s="65"/>
      <c r="F386" s="61"/>
      <c r="G386" s="61"/>
      <c r="H386" s="61"/>
      <c r="I386" s="61"/>
      <c r="J386" s="61"/>
      <c r="K386" s="3" t="str">
        <f t="shared" ref="K386:K449" si="6">IF(OR(B386&lt;$N$1,B386&gt;$P$1),"fail","pass")</f>
        <v>fail</v>
      </c>
      <c r="L386" s="19" t="str">
        <f>IFERROR(IF(AND(MATCH(A386,Projection_classes,0),YEAR(current_date)=Projections!B386),"pass","fail"),"")</f>
        <v/>
      </c>
    </row>
    <row r="387" spans="1:12" x14ac:dyDescent="0.25">
      <c r="A387" s="64"/>
      <c r="B387" s="64"/>
      <c r="C387" s="65"/>
      <c r="D387" s="65"/>
      <c r="E387" s="65"/>
      <c r="F387" s="61"/>
      <c r="G387" s="61"/>
      <c r="H387" s="61"/>
      <c r="I387" s="61"/>
      <c r="J387" s="61"/>
      <c r="K387" s="3" t="str">
        <f t="shared" si="6"/>
        <v>fail</v>
      </c>
      <c r="L387" s="19" t="str">
        <f>IFERROR(IF(AND(MATCH(A387,Projection_classes,0),YEAR(current_date)=Projections!B387),"pass","fail"),"")</f>
        <v/>
      </c>
    </row>
    <row r="388" spans="1:12" x14ac:dyDescent="0.25">
      <c r="A388" s="64"/>
      <c r="B388" s="64"/>
      <c r="C388" s="65"/>
      <c r="D388" s="65"/>
      <c r="E388" s="65"/>
      <c r="F388" s="61"/>
      <c r="G388" s="61"/>
      <c r="H388" s="61"/>
      <c r="I388" s="61"/>
      <c r="J388" s="61"/>
      <c r="K388" s="3" t="str">
        <f t="shared" si="6"/>
        <v>fail</v>
      </c>
      <c r="L388" s="19" t="str">
        <f>IFERROR(IF(AND(MATCH(A388,Projection_classes,0),YEAR(current_date)=Projections!B388),"pass","fail"),"")</f>
        <v/>
      </c>
    </row>
    <row r="389" spans="1:12" x14ac:dyDescent="0.25">
      <c r="A389" s="64"/>
      <c r="B389" s="64"/>
      <c r="C389" s="65"/>
      <c r="D389" s="65"/>
      <c r="E389" s="65"/>
      <c r="F389" s="61"/>
      <c r="G389" s="61"/>
      <c r="H389" s="61"/>
      <c r="I389" s="61"/>
      <c r="J389" s="61"/>
      <c r="K389" s="3" t="str">
        <f t="shared" si="6"/>
        <v>fail</v>
      </c>
      <c r="L389" s="19" t="str">
        <f>IFERROR(IF(AND(MATCH(A389,Projection_classes,0),YEAR(current_date)=Projections!B389),"pass","fail"),"")</f>
        <v/>
      </c>
    </row>
    <row r="390" spans="1:12" x14ac:dyDescent="0.25">
      <c r="A390" s="64"/>
      <c r="B390" s="64"/>
      <c r="C390" s="65"/>
      <c r="D390" s="65"/>
      <c r="E390" s="65"/>
      <c r="F390" s="61"/>
      <c r="G390" s="61"/>
      <c r="H390" s="61"/>
      <c r="I390" s="61"/>
      <c r="J390" s="61"/>
      <c r="K390" s="3" t="str">
        <f t="shared" si="6"/>
        <v>fail</v>
      </c>
      <c r="L390" s="19" t="str">
        <f>IFERROR(IF(AND(MATCH(A390,Projection_classes,0),YEAR(current_date)=Projections!B390),"pass","fail"),"")</f>
        <v/>
      </c>
    </row>
    <row r="391" spans="1:12" x14ac:dyDescent="0.25">
      <c r="A391" s="64"/>
      <c r="B391" s="64"/>
      <c r="C391" s="65"/>
      <c r="D391" s="65"/>
      <c r="E391" s="65"/>
      <c r="F391" s="61"/>
      <c r="G391" s="61"/>
      <c r="H391" s="61"/>
      <c r="I391" s="61"/>
      <c r="J391" s="61"/>
      <c r="K391" s="3" t="str">
        <f t="shared" si="6"/>
        <v>fail</v>
      </c>
      <c r="L391" s="19" t="str">
        <f>IFERROR(IF(AND(MATCH(A391,Projection_classes,0),YEAR(current_date)=Projections!B391),"pass","fail"),"")</f>
        <v/>
      </c>
    </row>
    <row r="392" spans="1:12" x14ac:dyDescent="0.25">
      <c r="A392" s="64"/>
      <c r="B392" s="64"/>
      <c r="C392" s="65"/>
      <c r="D392" s="65"/>
      <c r="E392" s="65"/>
      <c r="F392" s="61"/>
      <c r="G392" s="61"/>
      <c r="H392" s="61"/>
      <c r="I392" s="61"/>
      <c r="J392" s="61"/>
      <c r="K392" s="3" t="str">
        <f t="shared" si="6"/>
        <v>fail</v>
      </c>
      <c r="L392" s="19" t="str">
        <f>IFERROR(IF(AND(MATCH(A392,Projection_classes,0),YEAR(current_date)=Projections!B392),"pass","fail"),"")</f>
        <v/>
      </c>
    </row>
    <row r="393" spans="1:12" x14ac:dyDescent="0.25">
      <c r="A393" s="64"/>
      <c r="B393" s="64"/>
      <c r="C393" s="65"/>
      <c r="D393" s="65"/>
      <c r="E393" s="65"/>
      <c r="F393" s="61"/>
      <c r="G393" s="61"/>
      <c r="H393" s="61"/>
      <c r="I393" s="61"/>
      <c r="J393" s="61"/>
      <c r="K393" s="3" t="str">
        <f t="shared" si="6"/>
        <v>fail</v>
      </c>
      <c r="L393" s="19" t="str">
        <f>IFERROR(IF(AND(MATCH(A393,Projection_classes,0),YEAR(current_date)=Projections!B393),"pass","fail"),"")</f>
        <v/>
      </c>
    </row>
    <row r="394" spans="1:12" x14ac:dyDescent="0.25">
      <c r="A394" s="64"/>
      <c r="B394" s="64"/>
      <c r="C394" s="65"/>
      <c r="D394" s="65"/>
      <c r="E394" s="65"/>
      <c r="F394" s="61"/>
      <c r="G394" s="61"/>
      <c r="H394" s="61"/>
      <c r="I394" s="61"/>
      <c r="J394" s="61"/>
      <c r="K394" s="3" t="str">
        <f t="shared" si="6"/>
        <v>fail</v>
      </c>
      <c r="L394" s="19" t="str">
        <f>IFERROR(IF(AND(MATCH(A394,Projection_classes,0),YEAR(current_date)=Projections!B394),"pass","fail"),"")</f>
        <v/>
      </c>
    </row>
    <row r="395" spans="1:12" x14ac:dyDescent="0.25">
      <c r="A395" s="64"/>
      <c r="B395" s="64"/>
      <c r="C395" s="65"/>
      <c r="D395" s="65"/>
      <c r="E395" s="65"/>
      <c r="F395" s="61"/>
      <c r="G395" s="61"/>
      <c r="H395" s="61"/>
      <c r="I395" s="61"/>
      <c r="J395" s="61"/>
      <c r="K395" s="3" t="str">
        <f t="shared" si="6"/>
        <v>fail</v>
      </c>
      <c r="L395" s="19" t="str">
        <f>IFERROR(IF(AND(MATCH(A395,Projection_classes,0),YEAR(current_date)=Projections!B395),"pass","fail"),"")</f>
        <v/>
      </c>
    </row>
    <row r="396" spans="1:12" x14ac:dyDescent="0.25">
      <c r="A396" s="64"/>
      <c r="B396" s="64"/>
      <c r="C396" s="65"/>
      <c r="D396" s="65"/>
      <c r="E396" s="65"/>
      <c r="F396" s="61"/>
      <c r="G396" s="61"/>
      <c r="H396" s="61"/>
      <c r="I396" s="61"/>
      <c r="J396" s="61"/>
      <c r="K396" s="3" t="str">
        <f t="shared" si="6"/>
        <v>fail</v>
      </c>
      <c r="L396" s="19" t="str">
        <f>IFERROR(IF(AND(MATCH(A396,Projection_classes,0),YEAR(current_date)=Projections!B396),"pass","fail"),"")</f>
        <v/>
      </c>
    </row>
    <row r="397" spans="1:12" x14ac:dyDescent="0.25">
      <c r="A397" s="64"/>
      <c r="B397" s="64"/>
      <c r="C397" s="65"/>
      <c r="D397" s="65"/>
      <c r="E397" s="65"/>
      <c r="F397" s="61"/>
      <c r="G397" s="61"/>
      <c r="H397" s="61"/>
      <c r="I397" s="61"/>
      <c r="J397" s="61"/>
      <c r="K397" s="3" t="str">
        <f t="shared" si="6"/>
        <v>fail</v>
      </c>
      <c r="L397" s="19" t="str">
        <f>IFERROR(IF(AND(MATCH(A397,Projection_classes,0),YEAR(current_date)=Projections!B397),"pass","fail"),"")</f>
        <v/>
      </c>
    </row>
    <row r="398" spans="1:12" x14ac:dyDescent="0.25">
      <c r="A398" s="64"/>
      <c r="B398" s="64"/>
      <c r="C398" s="65"/>
      <c r="D398" s="65"/>
      <c r="E398" s="65"/>
      <c r="F398" s="61"/>
      <c r="G398" s="61"/>
      <c r="H398" s="61"/>
      <c r="I398" s="61"/>
      <c r="J398" s="61"/>
      <c r="K398" s="3" t="str">
        <f t="shared" si="6"/>
        <v>fail</v>
      </c>
      <c r="L398" s="19" t="str">
        <f>IFERROR(IF(AND(MATCH(A398,Projection_classes,0),YEAR(current_date)=Projections!B398),"pass","fail"),"")</f>
        <v/>
      </c>
    </row>
    <row r="399" spans="1:12" x14ac:dyDescent="0.25">
      <c r="A399" s="64"/>
      <c r="B399" s="64"/>
      <c r="C399" s="65"/>
      <c r="D399" s="65"/>
      <c r="E399" s="65"/>
      <c r="F399" s="61"/>
      <c r="G399" s="61"/>
      <c r="H399" s="61"/>
      <c r="I399" s="61"/>
      <c r="J399" s="61"/>
      <c r="K399" s="3" t="str">
        <f t="shared" si="6"/>
        <v>fail</v>
      </c>
      <c r="L399" s="19" t="str">
        <f>IFERROR(IF(AND(MATCH(A399,Projection_classes,0),YEAR(current_date)=Projections!B399),"pass","fail"),"")</f>
        <v/>
      </c>
    </row>
    <row r="400" spans="1:12" x14ac:dyDescent="0.25">
      <c r="A400" s="64"/>
      <c r="B400" s="64"/>
      <c r="C400" s="65"/>
      <c r="D400" s="65"/>
      <c r="E400" s="65"/>
      <c r="F400" s="61"/>
      <c r="G400" s="61"/>
      <c r="H400" s="61"/>
      <c r="I400" s="61"/>
      <c r="J400" s="61"/>
      <c r="K400" s="3" t="str">
        <f t="shared" si="6"/>
        <v>fail</v>
      </c>
      <c r="L400" s="19" t="str">
        <f>IFERROR(IF(AND(MATCH(A400,Projection_classes,0),YEAR(current_date)=Projections!B400),"pass","fail"),"")</f>
        <v/>
      </c>
    </row>
    <row r="401" spans="1:12" x14ac:dyDescent="0.25">
      <c r="A401" s="64"/>
      <c r="B401" s="64"/>
      <c r="C401" s="65"/>
      <c r="D401" s="65"/>
      <c r="E401" s="65"/>
      <c r="F401" s="61"/>
      <c r="G401" s="61"/>
      <c r="H401" s="61"/>
      <c r="I401" s="61"/>
      <c r="J401" s="61"/>
      <c r="K401" s="3" t="str">
        <f t="shared" si="6"/>
        <v>fail</v>
      </c>
      <c r="L401" s="19" t="str">
        <f>IFERROR(IF(AND(MATCH(A401,Projection_classes,0),YEAR(current_date)=Projections!B401),"pass","fail"),"")</f>
        <v/>
      </c>
    </row>
    <row r="402" spans="1:12" x14ac:dyDescent="0.25">
      <c r="A402" s="64"/>
      <c r="B402" s="64"/>
      <c r="C402" s="65"/>
      <c r="D402" s="65"/>
      <c r="E402" s="65"/>
      <c r="F402" s="61"/>
      <c r="G402" s="61"/>
      <c r="H402" s="61"/>
      <c r="I402" s="61"/>
      <c r="J402" s="61"/>
      <c r="K402" s="3" t="str">
        <f t="shared" si="6"/>
        <v>fail</v>
      </c>
      <c r="L402" s="19" t="str">
        <f>IFERROR(IF(AND(MATCH(A402,Projection_classes,0),YEAR(current_date)=Projections!B402),"pass","fail"),"")</f>
        <v/>
      </c>
    </row>
    <row r="403" spans="1:12" x14ac:dyDescent="0.25">
      <c r="A403" s="64"/>
      <c r="B403" s="64"/>
      <c r="C403" s="65"/>
      <c r="D403" s="65"/>
      <c r="E403" s="65"/>
      <c r="F403" s="61"/>
      <c r="G403" s="61"/>
      <c r="H403" s="61"/>
      <c r="I403" s="61"/>
      <c r="J403" s="61"/>
      <c r="K403" s="3" t="str">
        <f t="shared" si="6"/>
        <v>fail</v>
      </c>
      <c r="L403" s="19" t="str">
        <f>IFERROR(IF(AND(MATCH(A403,Projection_classes,0),YEAR(current_date)=Projections!B403),"pass","fail"),"")</f>
        <v/>
      </c>
    </row>
    <row r="404" spans="1:12" x14ac:dyDescent="0.25">
      <c r="A404" s="64"/>
      <c r="B404" s="64"/>
      <c r="C404" s="65"/>
      <c r="D404" s="65"/>
      <c r="E404" s="65"/>
      <c r="F404" s="61"/>
      <c r="G404" s="61"/>
      <c r="H404" s="61"/>
      <c r="I404" s="61"/>
      <c r="J404" s="61"/>
      <c r="K404" s="3" t="str">
        <f t="shared" si="6"/>
        <v>fail</v>
      </c>
      <c r="L404" s="19" t="str">
        <f>IFERROR(IF(AND(MATCH(A404,Projection_classes,0),YEAR(current_date)=Projections!B404),"pass","fail"),"")</f>
        <v/>
      </c>
    </row>
    <row r="405" spans="1:12" x14ac:dyDescent="0.25">
      <c r="A405" s="64"/>
      <c r="B405" s="64"/>
      <c r="C405" s="65"/>
      <c r="D405" s="65"/>
      <c r="E405" s="65"/>
      <c r="F405" s="61"/>
      <c r="G405" s="61"/>
      <c r="H405" s="61"/>
      <c r="I405" s="61"/>
      <c r="J405" s="61"/>
      <c r="K405" s="3" t="str">
        <f t="shared" si="6"/>
        <v>fail</v>
      </c>
      <c r="L405" s="19" t="str">
        <f>IFERROR(IF(AND(MATCH(A405,Projection_classes,0),YEAR(current_date)=Projections!B405),"pass","fail"),"")</f>
        <v/>
      </c>
    </row>
    <row r="406" spans="1:12" x14ac:dyDescent="0.25">
      <c r="A406" s="64"/>
      <c r="B406" s="64"/>
      <c r="C406" s="65"/>
      <c r="D406" s="65"/>
      <c r="E406" s="65"/>
      <c r="F406" s="61"/>
      <c r="G406" s="61"/>
      <c r="H406" s="61"/>
      <c r="I406" s="61"/>
      <c r="J406" s="61"/>
      <c r="K406" s="3" t="str">
        <f t="shared" si="6"/>
        <v>fail</v>
      </c>
      <c r="L406" s="19" t="str">
        <f>IFERROR(IF(AND(MATCH(A406,Projection_classes,0),YEAR(current_date)=Projections!B406),"pass","fail"),"")</f>
        <v/>
      </c>
    </row>
    <row r="407" spans="1:12" x14ac:dyDescent="0.25">
      <c r="A407" s="64"/>
      <c r="B407" s="64"/>
      <c r="C407" s="65"/>
      <c r="D407" s="65"/>
      <c r="E407" s="65"/>
      <c r="F407" s="61"/>
      <c r="G407" s="61"/>
      <c r="H407" s="61"/>
      <c r="I407" s="61"/>
      <c r="J407" s="61"/>
      <c r="K407" s="3" t="str">
        <f t="shared" si="6"/>
        <v>fail</v>
      </c>
      <c r="L407" s="19" t="str">
        <f>IFERROR(IF(AND(MATCH(A407,Projection_classes,0),YEAR(current_date)=Projections!B407),"pass","fail"),"")</f>
        <v/>
      </c>
    </row>
    <row r="408" spans="1:12" x14ac:dyDescent="0.25">
      <c r="A408" s="64"/>
      <c r="B408" s="64"/>
      <c r="C408" s="65"/>
      <c r="D408" s="65"/>
      <c r="E408" s="65"/>
      <c r="F408" s="61"/>
      <c r="G408" s="61"/>
      <c r="H408" s="61"/>
      <c r="I408" s="61"/>
      <c r="J408" s="61"/>
      <c r="K408" s="3" t="str">
        <f t="shared" si="6"/>
        <v>fail</v>
      </c>
      <c r="L408" s="19" t="str">
        <f>IFERROR(IF(AND(MATCH(A408,Projection_classes,0),YEAR(current_date)=Projections!B408),"pass","fail"),"")</f>
        <v/>
      </c>
    </row>
    <row r="409" spans="1:12" x14ac:dyDescent="0.25">
      <c r="A409" s="64"/>
      <c r="B409" s="64"/>
      <c r="C409" s="65"/>
      <c r="D409" s="65"/>
      <c r="E409" s="65"/>
      <c r="F409" s="61"/>
      <c r="G409" s="61"/>
      <c r="H409" s="61"/>
      <c r="I409" s="61"/>
      <c r="J409" s="61"/>
      <c r="K409" s="3" t="str">
        <f t="shared" si="6"/>
        <v>fail</v>
      </c>
      <c r="L409" s="19" t="str">
        <f>IFERROR(IF(AND(MATCH(A409,Projection_classes,0),YEAR(current_date)=Projections!B409),"pass","fail"),"")</f>
        <v/>
      </c>
    </row>
    <row r="410" spans="1:12" x14ac:dyDescent="0.25">
      <c r="A410" s="64"/>
      <c r="B410" s="64"/>
      <c r="C410" s="65"/>
      <c r="D410" s="65"/>
      <c r="E410" s="65"/>
      <c r="F410" s="61"/>
      <c r="G410" s="61"/>
      <c r="H410" s="61"/>
      <c r="I410" s="61"/>
      <c r="J410" s="61"/>
      <c r="K410" s="3" t="str">
        <f t="shared" si="6"/>
        <v>fail</v>
      </c>
      <c r="L410" s="19" t="str">
        <f>IFERROR(IF(AND(MATCH(A410,Projection_classes,0),YEAR(current_date)=Projections!B410),"pass","fail"),"")</f>
        <v/>
      </c>
    </row>
    <row r="411" spans="1:12" x14ac:dyDescent="0.25">
      <c r="A411" s="64"/>
      <c r="B411" s="64"/>
      <c r="C411" s="65"/>
      <c r="D411" s="65"/>
      <c r="E411" s="65"/>
      <c r="F411" s="61"/>
      <c r="G411" s="61"/>
      <c r="H411" s="61"/>
      <c r="I411" s="61"/>
      <c r="J411" s="61"/>
      <c r="K411" s="3" t="str">
        <f t="shared" si="6"/>
        <v>fail</v>
      </c>
      <c r="L411" s="19" t="str">
        <f>IFERROR(IF(AND(MATCH(A411,Projection_classes,0),YEAR(current_date)=Projections!B411),"pass","fail"),"")</f>
        <v/>
      </c>
    </row>
    <row r="412" spans="1:12" x14ac:dyDescent="0.25">
      <c r="A412" s="64"/>
      <c r="B412" s="64"/>
      <c r="C412" s="65"/>
      <c r="D412" s="65"/>
      <c r="E412" s="65"/>
      <c r="F412" s="61"/>
      <c r="G412" s="61"/>
      <c r="H412" s="61"/>
      <c r="I412" s="61"/>
      <c r="J412" s="61"/>
      <c r="K412" s="3" t="str">
        <f t="shared" si="6"/>
        <v>fail</v>
      </c>
      <c r="L412" s="19" t="str">
        <f>IFERROR(IF(AND(MATCH(A412,Projection_classes,0),YEAR(current_date)=Projections!B412),"pass","fail"),"")</f>
        <v/>
      </c>
    </row>
    <row r="413" spans="1:12" x14ac:dyDescent="0.25">
      <c r="A413" s="64"/>
      <c r="B413" s="64"/>
      <c r="C413" s="65"/>
      <c r="D413" s="65"/>
      <c r="E413" s="65"/>
      <c r="F413" s="61"/>
      <c r="G413" s="61"/>
      <c r="H413" s="61"/>
      <c r="I413" s="61"/>
      <c r="J413" s="61"/>
      <c r="K413" s="3" t="str">
        <f t="shared" si="6"/>
        <v>fail</v>
      </c>
      <c r="L413" s="19" t="str">
        <f>IFERROR(IF(AND(MATCH(A413,Projection_classes,0),YEAR(current_date)=Projections!B413),"pass","fail"),"")</f>
        <v/>
      </c>
    </row>
    <row r="414" spans="1:12" x14ac:dyDescent="0.25">
      <c r="A414" s="64"/>
      <c r="B414" s="64"/>
      <c r="C414" s="65"/>
      <c r="D414" s="65"/>
      <c r="E414" s="65"/>
      <c r="F414" s="61"/>
      <c r="G414" s="61"/>
      <c r="H414" s="61"/>
      <c r="I414" s="61"/>
      <c r="J414" s="61"/>
      <c r="K414" s="3" t="str">
        <f t="shared" si="6"/>
        <v>fail</v>
      </c>
      <c r="L414" s="19" t="str">
        <f>IFERROR(IF(AND(MATCH(A414,Projection_classes,0),YEAR(current_date)=Projections!B414),"pass","fail"),"")</f>
        <v/>
      </c>
    </row>
    <row r="415" spans="1:12" x14ac:dyDescent="0.25">
      <c r="A415" s="64"/>
      <c r="B415" s="64"/>
      <c r="C415" s="65"/>
      <c r="D415" s="65"/>
      <c r="E415" s="65"/>
      <c r="F415" s="61"/>
      <c r="G415" s="61"/>
      <c r="H415" s="61"/>
      <c r="I415" s="61"/>
      <c r="J415" s="61"/>
      <c r="K415" s="3" t="str">
        <f t="shared" si="6"/>
        <v>fail</v>
      </c>
      <c r="L415" s="19" t="str">
        <f>IFERROR(IF(AND(MATCH(A415,Projection_classes,0),YEAR(current_date)=Projections!B415),"pass","fail"),"")</f>
        <v/>
      </c>
    </row>
    <row r="416" spans="1:12" x14ac:dyDescent="0.25">
      <c r="A416" s="64"/>
      <c r="B416" s="64"/>
      <c r="C416" s="65"/>
      <c r="D416" s="65"/>
      <c r="E416" s="65"/>
      <c r="F416" s="61"/>
      <c r="G416" s="61"/>
      <c r="H416" s="61"/>
      <c r="I416" s="61"/>
      <c r="J416" s="61"/>
      <c r="K416" s="3" t="str">
        <f t="shared" si="6"/>
        <v>fail</v>
      </c>
      <c r="L416" s="19" t="str">
        <f>IFERROR(IF(AND(MATCH(A416,Projection_classes,0),YEAR(current_date)=Projections!B416),"pass","fail"),"")</f>
        <v/>
      </c>
    </row>
    <row r="417" spans="1:12" x14ac:dyDescent="0.25">
      <c r="A417" s="64"/>
      <c r="B417" s="64"/>
      <c r="C417" s="65"/>
      <c r="D417" s="65"/>
      <c r="E417" s="65"/>
      <c r="F417" s="61"/>
      <c r="G417" s="61"/>
      <c r="H417" s="61"/>
      <c r="I417" s="61"/>
      <c r="J417" s="61"/>
      <c r="K417" s="3" t="str">
        <f t="shared" si="6"/>
        <v>fail</v>
      </c>
      <c r="L417" s="19" t="str">
        <f>IFERROR(IF(AND(MATCH(A417,Projection_classes,0),YEAR(current_date)=Projections!B417),"pass","fail"),"")</f>
        <v/>
      </c>
    </row>
    <row r="418" spans="1:12" x14ac:dyDescent="0.25">
      <c r="A418" s="64"/>
      <c r="B418" s="64"/>
      <c r="C418" s="65"/>
      <c r="D418" s="65"/>
      <c r="E418" s="65"/>
      <c r="F418" s="61"/>
      <c r="G418" s="61"/>
      <c r="H418" s="61"/>
      <c r="I418" s="61"/>
      <c r="J418" s="61"/>
      <c r="K418" s="3" t="str">
        <f t="shared" si="6"/>
        <v>fail</v>
      </c>
      <c r="L418" s="19" t="str">
        <f>IFERROR(IF(AND(MATCH(A418,Projection_classes,0),YEAR(current_date)=Projections!B418),"pass","fail"),"")</f>
        <v/>
      </c>
    </row>
    <row r="419" spans="1:12" x14ac:dyDescent="0.25">
      <c r="A419" s="64"/>
      <c r="B419" s="64"/>
      <c r="C419" s="65"/>
      <c r="D419" s="65"/>
      <c r="E419" s="65"/>
      <c r="F419" s="61"/>
      <c r="G419" s="61"/>
      <c r="H419" s="61"/>
      <c r="I419" s="61"/>
      <c r="J419" s="61"/>
      <c r="K419" s="3" t="str">
        <f t="shared" si="6"/>
        <v>fail</v>
      </c>
      <c r="L419" s="19" t="str">
        <f>IFERROR(IF(AND(MATCH(A419,Projection_classes,0),YEAR(current_date)=Projections!B419),"pass","fail"),"")</f>
        <v/>
      </c>
    </row>
    <row r="420" spans="1:12" x14ac:dyDescent="0.25">
      <c r="A420" s="64"/>
      <c r="B420" s="64"/>
      <c r="C420" s="65"/>
      <c r="D420" s="65"/>
      <c r="E420" s="65"/>
      <c r="F420" s="61"/>
      <c r="G420" s="61"/>
      <c r="H420" s="61"/>
      <c r="I420" s="61"/>
      <c r="J420" s="61"/>
      <c r="K420" s="3" t="str">
        <f t="shared" si="6"/>
        <v>fail</v>
      </c>
      <c r="L420" s="19" t="str">
        <f>IFERROR(IF(AND(MATCH(A420,Projection_classes,0),YEAR(current_date)=Projections!B420),"pass","fail"),"")</f>
        <v/>
      </c>
    </row>
    <row r="421" spans="1:12" x14ac:dyDescent="0.25">
      <c r="A421" s="64"/>
      <c r="B421" s="64"/>
      <c r="C421" s="65"/>
      <c r="D421" s="65"/>
      <c r="E421" s="65"/>
      <c r="F421" s="61"/>
      <c r="G421" s="61"/>
      <c r="H421" s="61"/>
      <c r="I421" s="61"/>
      <c r="J421" s="61"/>
      <c r="K421" s="3" t="str">
        <f t="shared" si="6"/>
        <v>fail</v>
      </c>
      <c r="L421" s="19" t="str">
        <f>IFERROR(IF(AND(MATCH(A421,Projection_classes,0),YEAR(current_date)=Projections!B421),"pass","fail"),"")</f>
        <v/>
      </c>
    </row>
    <row r="422" spans="1:12" x14ac:dyDescent="0.25">
      <c r="A422" s="64"/>
      <c r="B422" s="64"/>
      <c r="C422" s="65"/>
      <c r="D422" s="65"/>
      <c r="E422" s="65"/>
      <c r="F422" s="61"/>
      <c r="G422" s="61"/>
      <c r="H422" s="61"/>
      <c r="I422" s="61"/>
      <c r="J422" s="61"/>
      <c r="K422" s="3" t="str">
        <f t="shared" si="6"/>
        <v>fail</v>
      </c>
      <c r="L422" s="19" t="str">
        <f>IFERROR(IF(AND(MATCH(A422,Projection_classes,0),YEAR(current_date)=Projections!B422),"pass","fail"),"")</f>
        <v/>
      </c>
    </row>
    <row r="423" spans="1:12" x14ac:dyDescent="0.25">
      <c r="A423" s="64"/>
      <c r="B423" s="64"/>
      <c r="C423" s="65"/>
      <c r="D423" s="65"/>
      <c r="E423" s="65"/>
      <c r="F423" s="61"/>
      <c r="G423" s="61"/>
      <c r="H423" s="61"/>
      <c r="I423" s="61"/>
      <c r="J423" s="61"/>
      <c r="K423" s="3" t="str">
        <f t="shared" si="6"/>
        <v>fail</v>
      </c>
      <c r="L423" s="19" t="str">
        <f>IFERROR(IF(AND(MATCH(A423,Projection_classes,0),YEAR(current_date)=Projections!B423),"pass","fail"),"")</f>
        <v/>
      </c>
    </row>
    <row r="424" spans="1:12" x14ac:dyDescent="0.25">
      <c r="A424" s="64"/>
      <c r="B424" s="64"/>
      <c r="C424" s="65"/>
      <c r="D424" s="65"/>
      <c r="E424" s="65"/>
      <c r="F424" s="61"/>
      <c r="G424" s="61"/>
      <c r="H424" s="61"/>
      <c r="I424" s="61"/>
      <c r="J424" s="61"/>
      <c r="K424" s="3" t="str">
        <f t="shared" si="6"/>
        <v>fail</v>
      </c>
      <c r="L424" s="19" t="str">
        <f>IFERROR(IF(AND(MATCH(A424,Projection_classes,0),YEAR(current_date)=Projections!B424),"pass","fail"),"")</f>
        <v/>
      </c>
    </row>
    <row r="425" spans="1:12" x14ac:dyDescent="0.25">
      <c r="A425" s="64"/>
      <c r="B425" s="64"/>
      <c r="C425" s="65"/>
      <c r="D425" s="65"/>
      <c r="E425" s="65"/>
      <c r="F425" s="61"/>
      <c r="G425" s="61"/>
      <c r="H425" s="61"/>
      <c r="I425" s="61"/>
      <c r="J425" s="61"/>
      <c r="K425" s="3" t="str">
        <f t="shared" si="6"/>
        <v>fail</v>
      </c>
      <c r="L425" s="19" t="str">
        <f>IFERROR(IF(AND(MATCH(A425,Projection_classes,0),YEAR(current_date)=Projections!B425),"pass","fail"),"")</f>
        <v/>
      </c>
    </row>
    <row r="426" spans="1:12" x14ac:dyDescent="0.25">
      <c r="A426" s="64"/>
      <c r="B426" s="64"/>
      <c r="C426" s="65"/>
      <c r="D426" s="65"/>
      <c r="E426" s="65"/>
      <c r="F426" s="61"/>
      <c r="G426" s="61"/>
      <c r="H426" s="61"/>
      <c r="I426" s="61"/>
      <c r="J426" s="61"/>
      <c r="K426" s="3" t="str">
        <f t="shared" si="6"/>
        <v>fail</v>
      </c>
      <c r="L426" s="19" t="str">
        <f>IFERROR(IF(AND(MATCH(A426,Projection_classes,0),YEAR(current_date)=Projections!B426),"pass","fail"),"")</f>
        <v/>
      </c>
    </row>
    <row r="427" spans="1:12" x14ac:dyDescent="0.25">
      <c r="A427" s="64"/>
      <c r="B427" s="64"/>
      <c r="C427" s="65"/>
      <c r="D427" s="65"/>
      <c r="E427" s="65"/>
      <c r="F427" s="61"/>
      <c r="G427" s="61"/>
      <c r="H427" s="61"/>
      <c r="I427" s="61"/>
      <c r="J427" s="61"/>
      <c r="K427" s="3" t="str">
        <f t="shared" si="6"/>
        <v>fail</v>
      </c>
      <c r="L427" s="19" t="str">
        <f>IFERROR(IF(AND(MATCH(A427,Projection_classes,0),YEAR(current_date)=Projections!B427),"pass","fail"),"")</f>
        <v/>
      </c>
    </row>
    <row r="428" spans="1:12" x14ac:dyDescent="0.25">
      <c r="A428" s="64"/>
      <c r="B428" s="64"/>
      <c r="C428" s="65"/>
      <c r="D428" s="65"/>
      <c r="E428" s="65"/>
      <c r="F428" s="61"/>
      <c r="G428" s="61"/>
      <c r="H428" s="61"/>
      <c r="I428" s="61"/>
      <c r="J428" s="61"/>
      <c r="K428" s="3" t="str">
        <f t="shared" si="6"/>
        <v>fail</v>
      </c>
      <c r="L428" s="19" t="str">
        <f>IFERROR(IF(AND(MATCH(A428,Projection_classes,0),YEAR(current_date)=Projections!B428),"pass","fail"),"")</f>
        <v/>
      </c>
    </row>
    <row r="429" spans="1:12" x14ac:dyDescent="0.25">
      <c r="A429" s="64"/>
      <c r="B429" s="64"/>
      <c r="C429" s="65"/>
      <c r="D429" s="65"/>
      <c r="E429" s="65"/>
      <c r="F429" s="61"/>
      <c r="G429" s="61"/>
      <c r="H429" s="61"/>
      <c r="I429" s="61"/>
      <c r="J429" s="61"/>
      <c r="K429" s="3" t="str">
        <f t="shared" si="6"/>
        <v>fail</v>
      </c>
      <c r="L429" s="19" t="str">
        <f>IFERROR(IF(AND(MATCH(A429,Projection_classes,0),YEAR(current_date)=Projections!B429),"pass","fail"),"")</f>
        <v/>
      </c>
    </row>
    <row r="430" spans="1:12" x14ac:dyDescent="0.25">
      <c r="A430" s="64"/>
      <c r="B430" s="64"/>
      <c r="C430" s="65"/>
      <c r="D430" s="65"/>
      <c r="E430" s="65"/>
      <c r="F430" s="61"/>
      <c r="G430" s="61"/>
      <c r="H430" s="61"/>
      <c r="I430" s="61"/>
      <c r="J430" s="61"/>
      <c r="K430" s="3" t="str">
        <f t="shared" si="6"/>
        <v>fail</v>
      </c>
      <c r="L430" s="19" t="str">
        <f>IFERROR(IF(AND(MATCH(A430,Projection_classes,0),YEAR(current_date)=Projections!B430),"pass","fail"),"")</f>
        <v/>
      </c>
    </row>
    <row r="431" spans="1:12" x14ac:dyDescent="0.25">
      <c r="A431" s="64"/>
      <c r="B431" s="64"/>
      <c r="C431" s="65"/>
      <c r="D431" s="65"/>
      <c r="E431" s="65"/>
      <c r="F431" s="61"/>
      <c r="G431" s="61"/>
      <c r="H431" s="61"/>
      <c r="I431" s="61"/>
      <c r="J431" s="61"/>
      <c r="K431" s="3" t="str">
        <f t="shared" si="6"/>
        <v>fail</v>
      </c>
      <c r="L431" s="19" t="str">
        <f>IFERROR(IF(AND(MATCH(A431,Projection_classes,0),YEAR(current_date)=Projections!B431),"pass","fail"),"")</f>
        <v/>
      </c>
    </row>
    <row r="432" spans="1:12" x14ac:dyDescent="0.25">
      <c r="A432" s="64"/>
      <c r="B432" s="64"/>
      <c r="C432" s="65"/>
      <c r="D432" s="65"/>
      <c r="E432" s="65"/>
      <c r="F432" s="61"/>
      <c r="G432" s="61"/>
      <c r="H432" s="61"/>
      <c r="I432" s="61"/>
      <c r="J432" s="61"/>
      <c r="K432" s="3" t="str">
        <f t="shared" si="6"/>
        <v>fail</v>
      </c>
      <c r="L432" s="19" t="str">
        <f>IFERROR(IF(AND(MATCH(A432,Projection_classes,0),YEAR(current_date)=Projections!B432),"pass","fail"),"")</f>
        <v/>
      </c>
    </row>
    <row r="433" spans="1:12" x14ac:dyDescent="0.25">
      <c r="A433" s="64"/>
      <c r="B433" s="64"/>
      <c r="C433" s="65"/>
      <c r="D433" s="65"/>
      <c r="E433" s="65"/>
      <c r="F433" s="61"/>
      <c r="G433" s="61"/>
      <c r="H433" s="61"/>
      <c r="I433" s="61"/>
      <c r="J433" s="61"/>
      <c r="K433" s="3" t="str">
        <f t="shared" si="6"/>
        <v>fail</v>
      </c>
      <c r="L433" s="19" t="str">
        <f>IFERROR(IF(AND(MATCH(A433,Projection_classes,0),YEAR(current_date)=Projections!B433),"pass","fail"),"")</f>
        <v/>
      </c>
    </row>
    <row r="434" spans="1:12" x14ac:dyDescent="0.25">
      <c r="A434" s="64"/>
      <c r="B434" s="64"/>
      <c r="C434" s="65"/>
      <c r="D434" s="65"/>
      <c r="E434" s="65"/>
      <c r="F434" s="61"/>
      <c r="G434" s="61"/>
      <c r="H434" s="61"/>
      <c r="I434" s="61"/>
      <c r="J434" s="61"/>
      <c r="K434" s="3" t="str">
        <f t="shared" si="6"/>
        <v>fail</v>
      </c>
      <c r="L434" s="19" t="str">
        <f>IFERROR(IF(AND(MATCH(A434,Projection_classes,0),YEAR(current_date)=Projections!B434),"pass","fail"),"")</f>
        <v/>
      </c>
    </row>
    <row r="435" spans="1:12" x14ac:dyDescent="0.25">
      <c r="A435" s="64"/>
      <c r="B435" s="64"/>
      <c r="C435" s="65"/>
      <c r="D435" s="65"/>
      <c r="E435" s="65"/>
      <c r="F435" s="61"/>
      <c r="G435" s="61"/>
      <c r="H435" s="61"/>
      <c r="I435" s="61"/>
      <c r="J435" s="61"/>
      <c r="K435" s="3" t="str">
        <f t="shared" si="6"/>
        <v>fail</v>
      </c>
      <c r="L435" s="19" t="str">
        <f>IFERROR(IF(AND(MATCH(A435,Projection_classes,0),YEAR(current_date)=Projections!B435),"pass","fail"),"")</f>
        <v/>
      </c>
    </row>
    <row r="436" spans="1:12" x14ac:dyDescent="0.25">
      <c r="A436" s="64"/>
      <c r="B436" s="64"/>
      <c r="C436" s="65"/>
      <c r="D436" s="65"/>
      <c r="E436" s="65"/>
      <c r="F436" s="61"/>
      <c r="G436" s="61"/>
      <c r="H436" s="61"/>
      <c r="I436" s="61"/>
      <c r="J436" s="61"/>
      <c r="K436" s="3" t="str">
        <f t="shared" si="6"/>
        <v>fail</v>
      </c>
      <c r="L436" s="19" t="str">
        <f>IFERROR(IF(AND(MATCH(A436,Projection_classes,0),YEAR(current_date)=Projections!B436),"pass","fail"),"")</f>
        <v/>
      </c>
    </row>
    <row r="437" spans="1:12" x14ac:dyDescent="0.25">
      <c r="A437" s="64"/>
      <c r="B437" s="64"/>
      <c r="C437" s="65"/>
      <c r="D437" s="65"/>
      <c r="E437" s="65"/>
      <c r="F437" s="61"/>
      <c r="G437" s="61"/>
      <c r="H437" s="61"/>
      <c r="I437" s="61"/>
      <c r="J437" s="61"/>
      <c r="K437" s="3" t="str">
        <f t="shared" si="6"/>
        <v>fail</v>
      </c>
      <c r="L437" s="19" t="str">
        <f>IFERROR(IF(AND(MATCH(A437,Projection_classes,0),YEAR(current_date)=Projections!B437),"pass","fail"),"")</f>
        <v/>
      </c>
    </row>
    <row r="438" spans="1:12" x14ac:dyDescent="0.25">
      <c r="A438" s="64"/>
      <c r="B438" s="64"/>
      <c r="C438" s="65"/>
      <c r="D438" s="65"/>
      <c r="E438" s="65"/>
      <c r="F438" s="61"/>
      <c r="G438" s="61"/>
      <c r="H438" s="61"/>
      <c r="I438" s="61"/>
      <c r="J438" s="61"/>
      <c r="K438" s="3" t="str">
        <f t="shared" si="6"/>
        <v>fail</v>
      </c>
      <c r="L438" s="19" t="str">
        <f>IFERROR(IF(AND(MATCH(A438,Projection_classes,0),YEAR(current_date)=Projections!B438),"pass","fail"),"")</f>
        <v/>
      </c>
    </row>
    <row r="439" spans="1:12" x14ac:dyDescent="0.25">
      <c r="A439" s="64"/>
      <c r="B439" s="64"/>
      <c r="C439" s="65"/>
      <c r="D439" s="65"/>
      <c r="E439" s="65"/>
      <c r="F439" s="61"/>
      <c r="G439" s="61"/>
      <c r="H439" s="61"/>
      <c r="I439" s="61"/>
      <c r="J439" s="61"/>
      <c r="K439" s="3" t="str">
        <f t="shared" si="6"/>
        <v>fail</v>
      </c>
      <c r="L439" s="19" t="str">
        <f>IFERROR(IF(AND(MATCH(A439,Projection_classes,0),YEAR(current_date)=Projections!B439),"pass","fail"),"")</f>
        <v/>
      </c>
    </row>
    <row r="440" spans="1:12" x14ac:dyDescent="0.25">
      <c r="A440" s="64"/>
      <c r="B440" s="64"/>
      <c r="C440" s="65"/>
      <c r="D440" s="65"/>
      <c r="E440" s="65"/>
      <c r="F440" s="61"/>
      <c r="G440" s="61"/>
      <c r="H440" s="61"/>
      <c r="I440" s="61"/>
      <c r="J440" s="61"/>
      <c r="K440" s="3" t="str">
        <f t="shared" si="6"/>
        <v>fail</v>
      </c>
      <c r="L440" s="19" t="str">
        <f>IFERROR(IF(AND(MATCH(A440,Projection_classes,0),YEAR(current_date)=Projections!B440),"pass","fail"),"")</f>
        <v/>
      </c>
    </row>
    <row r="441" spans="1:12" x14ac:dyDescent="0.25">
      <c r="A441" s="64"/>
      <c r="B441" s="64"/>
      <c r="C441" s="65"/>
      <c r="D441" s="65"/>
      <c r="E441" s="65"/>
      <c r="F441" s="61"/>
      <c r="G441" s="61"/>
      <c r="H441" s="61"/>
      <c r="I441" s="61"/>
      <c r="J441" s="61"/>
      <c r="K441" s="3" t="str">
        <f t="shared" si="6"/>
        <v>fail</v>
      </c>
      <c r="L441" s="19" t="str">
        <f>IFERROR(IF(AND(MATCH(A441,Projection_classes,0),YEAR(current_date)=Projections!B441),"pass","fail"),"")</f>
        <v/>
      </c>
    </row>
    <row r="442" spans="1:12" x14ac:dyDescent="0.25">
      <c r="A442" s="64"/>
      <c r="B442" s="64"/>
      <c r="C442" s="65"/>
      <c r="D442" s="65"/>
      <c r="E442" s="65"/>
      <c r="F442" s="61"/>
      <c r="G442" s="61"/>
      <c r="H442" s="61"/>
      <c r="I442" s="61"/>
      <c r="J442" s="61"/>
      <c r="K442" s="3" t="str">
        <f t="shared" si="6"/>
        <v>fail</v>
      </c>
      <c r="L442" s="19" t="str">
        <f>IFERROR(IF(AND(MATCH(A442,Projection_classes,0),YEAR(current_date)=Projections!B442),"pass","fail"),"")</f>
        <v/>
      </c>
    </row>
    <row r="443" spans="1:12" x14ac:dyDescent="0.25">
      <c r="A443" s="64"/>
      <c r="B443" s="64"/>
      <c r="C443" s="65"/>
      <c r="D443" s="65"/>
      <c r="E443" s="65"/>
      <c r="F443" s="61"/>
      <c r="G443" s="61"/>
      <c r="H443" s="61"/>
      <c r="I443" s="61"/>
      <c r="J443" s="61"/>
      <c r="K443" s="3" t="str">
        <f t="shared" si="6"/>
        <v>fail</v>
      </c>
      <c r="L443" s="19" t="str">
        <f>IFERROR(IF(AND(MATCH(A443,Projection_classes,0),YEAR(current_date)=Projections!B443),"pass","fail"),"")</f>
        <v/>
      </c>
    </row>
    <row r="444" spans="1:12" x14ac:dyDescent="0.25">
      <c r="A444" s="64"/>
      <c r="B444" s="64"/>
      <c r="C444" s="65"/>
      <c r="D444" s="65"/>
      <c r="E444" s="65"/>
      <c r="F444" s="61"/>
      <c r="G444" s="61"/>
      <c r="H444" s="61"/>
      <c r="I444" s="61"/>
      <c r="J444" s="61"/>
      <c r="K444" s="3" t="str">
        <f t="shared" si="6"/>
        <v>fail</v>
      </c>
      <c r="L444" s="19" t="str">
        <f>IFERROR(IF(AND(MATCH(A444,Projection_classes,0),YEAR(current_date)=Projections!B444),"pass","fail"),"")</f>
        <v/>
      </c>
    </row>
    <row r="445" spans="1:12" x14ac:dyDescent="0.25">
      <c r="A445" s="64"/>
      <c r="B445" s="64"/>
      <c r="C445" s="65"/>
      <c r="D445" s="65"/>
      <c r="E445" s="65"/>
      <c r="F445" s="61"/>
      <c r="G445" s="61"/>
      <c r="H445" s="61"/>
      <c r="I445" s="61"/>
      <c r="J445" s="61"/>
      <c r="K445" s="3" t="str">
        <f t="shared" si="6"/>
        <v>fail</v>
      </c>
      <c r="L445" s="19" t="str">
        <f>IFERROR(IF(AND(MATCH(A445,Projection_classes,0),YEAR(current_date)=Projections!B445),"pass","fail"),"")</f>
        <v/>
      </c>
    </row>
    <row r="446" spans="1:12" x14ac:dyDescent="0.25">
      <c r="A446" s="64"/>
      <c r="B446" s="64"/>
      <c r="C446" s="65"/>
      <c r="D446" s="65"/>
      <c r="E446" s="65"/>
      <c r="F446" s="61"/>
      <c r="G446" s="61"/>
      <c r="H446" s="61"/>
      <c r="I446" s="61"/>
      <c r="J446" s="61"/>
      <c r="K446" s="3" t="str">
        <f t="shared" si="6"/>
        <v>fail</v>
      </c>
      <c r="L446" s="19" t="str">
        <f>IFERROR(IF(AND(MATCH(A446,Projection_classes,0),YEAR(current_date)=Projections!B446),"pass","fail"),"")</f>
        <v/>
      </c>
    </row>
    <row r="447" spans="1:12" x14ac:dyDescent="0.25">
      <c r="A447" s="64"/>
      <c r="B447" s="64"/>
      <c r="C447" s="65"/>
      <c r="D447" s="65"/>
      <c r="E447" s="65"/>
      <c r="F447" s="61"/>
      <c r="G447" s="61"/>
      <c r="H447" s="61"/>
      <c r="I447" s="61"/>
      <c r="J447" s="61"/>
      <c r="K447" s="3" t="str">
        <f t="shared" si="6"/>
        <v>fail</v>
      </c>
      <c r="L447" s="19" t="str">
        <f>IFERROR(IF(AND(MATCH(A447,Projection_classes,0),YEAR(current_date)=Projections!B447),"pass","fail"),"")</f>
        <v/>
      </c>
    </row>
    <row r="448" spans="1:12" x14ac:dyDescent="0.25">
      <c r="A448" s="64"/>
      <c r="B448" s="64"/>
      <c r="C448" s="65"/>
      <c r="D448" s="65"/>
      <c r="E448" s="65"/>
      <c r="F448" s="61"/>
      <c r="G448" s="61"/>
      <c r="H448" s="61"/>
      <c r="I448" s="61"/>
      <c r="J448" s="61"/>
      <c r="K448" s="3" t="str">
        <f t="shared" si="6"/>
        <v>fail</v>
      </c>
      <c r="L448" s="19" t="str">
        <f>IFERROR(IF(AND(MATCH(A448,Projection_classes,0),YEAR(current_date)=Projections!B448),"pass","fail"),"")</f>
        <v/>
      </c>
    </row>
    <row r="449" spans="1:12" x14ac:dyDescent="0.25">
      <c r="A449" s="64"/>
      <c r="B449" s="64"/>
      <c r="C449" s="65"/>
      <c r="D449" s="65"/>
      <c r="E449" s="65"/>
      <c r="F449" s="61"/>
      <c r="G449" s="61"/>
      <c r="H449" s="61"/>
      <c r="I449" s="61"/>
      <c r="J449" s="61"/>
      <c r="K449" s="3" t="str">
        <f t="shared" si="6"/>
        <v>fail</v>
      </c>
      <c r="L449" s="19" t="str">
        <f>IFERROR(IF(AND(MATCH(A449,Projection_classes,0),YEAR(current_date)=Projections!B449),"pass","fail"),"")</f>
        <v/>
      </c>
    </row>
    <row r="450" spans="1:12" x14ac:dyDescent="0.25">
      <c r="A450" s="64"/>
      <c r="B450" s="64"/>
      <c r="C450" s="65"/>
      <c r="D450" s="65"/>
      <c r="E450" s="65"/>
      <c r="F450" s="61"/>
      <c r="G450" s="61"/>
      <c r="H450" s="61"/>
      <c r="I450" s="61"/>
      <c r="J450" s="61"/>
      <c r="K450" s="3" t="str">
        <f t="shared" ref="K450:K513" si="7">IF(OR(B450&lt;$N$1,B450&gt;$P$1),"fail","pass")</f>
        <v>fail</v>
      </c>
      <c r="L450" s="19" t="str">
        <f>IFERROR(IF(AND(MATCH(A450,Projection_classes,0),YEAR(current_date)=Projections!B450),"pass","fail"),"")</f>
        <v/>
      </c>
    </row>
    <row r="451" spans="1:12" x14ac:dyDescent="0.25">
      <c r="A451" s="64"/>
      <c r="B451" s="64"/>
      <c r="C451" s="65"/>
      <c r="D451" s="65"/>
      <c r="E451" s="65"/>
      <c r="F451" s="61"/>
      <c r="G451" s="61"/>
      <c r="H451" s="61"/>
      <c r="I451" s="61"/>
      <c r="J451" s="61"/>
      <c r="K451" s="3" t="str">
        <f t="shared" si="7"/>
        <v>fail</v>
      </c>
      <c r="L451" s="19" t="str">
        <f>IFERROR(IF(AND(MATCH(A451,Projection_classes,0),YEAR(current_date)=Projections!B451),"pass","fail"),"")</f>
        <v/>
      </c>
    </row>
    <row r="452" spans="1:12" x14ac:dyDescent="0.25">
      <c r="A452" s="64"/>
      <c r="B452" s="64"/>
      <c r="C452" s="65"/>
      <c r="D452" s="65"/>
      <c r="E452" s="65"/>
      <c r="F452" s="61"/>
      <c r="G452" s="61"/>
      <c r="H452" s="61"/>
      <c r="I452" s="61"/>
      <c r="J452" s="61"/>
      <c r="K452" s="3" t="str">
        <f t="shared" si="7"/>
        <v>fail</v>
      </c>
      <c r="L452" s="19" t="str">
        <f>IFERROR(IF(AND(MATCH(A452,Projection_classes,0),YEAR(current_date)=Projections!B452),"pass","fail"),"")</f>
        <v/>
      </c>
    </row>
    <row r="453" spans="1:12" x14ac:dyDescent="0.25">
      <c r="A453" s="64"/>
      <c r="B453" s="64"/>
      <c r="C453" s="65"/>
      <c r="D453" s="65"/>
      <c r="E453" s="65"/>
      <c r="F453" s="61"/>
      <c r="G453" s="61"/>
      <c r="H453" s="61"/>
      <c r="I453" s="61"/>
      <c r="J453" s="61"/>
      <c r="K453" s="3" t="str">
        <f t="shared" si="7"/>
        <v>fail</v>
      </c>
      <c r="L453" s="19" t="str">
        <f>IFERROR(IF(AND(MATCH(A453,Projection_classes,0),YEAR(current_date)=Projections!B453),"pass","fail"),"")</f>
        <v/>
      </c>
    </row>
    <row r="454" spans="1:12" x14ac:dyDescent="0.25">
      <c r="A454" s="64"/>
      <c r="B454" s="64"/>
      <c r="C454" s="65"/>
      <c r="D454" s="65"/>
      <c r="E454" s="65"/>
      <c r="F454" s="61"/>
      <c r="G454" s="61"/>
      <c r="H454" s="61"/>
      <c r="I454" s="61"/>
      <c r="J454" s="61"/>
      <c r="K454" s="3" t="str">
        <f t="shared" si="7"/>
        <v>fail</v>
      </c>
      <c r="L454" s="19" t="str">
        <f>IFERROR(IF(AND(MATCH(A454,Projection_classes,0),YEAR(current_date)=Projections!B454),"pass","fail"),"")</f>
        <v/>
      </c>
    </row>
    <row r="455" spans="1:12" x14ac:dyDescent="0.25">
      <c r="A455" s="64"/>
      <c r="B455" s="64"/>
      <c r="C455" s="65"/>
      <c r="D455" s="65"/>
      <c r="E455" s="65"/>
      <c r="F455" s="61"/>
      <c r="G455" s="61"/>
      <c r="H455" s="61"/>
      <c r="I455" s="61"/>
      <c r="J455" s="61"/>
      <c r="K455" s="3" t="str">
        <f t="shared" si="7"/>
        <v>fail</v>
      </c>
      <c r="L455" s="19" t="str">
        <f>IFERROR(IF(AND(MATCH(A455,Projection_classes,0),YEAR(current_date)=Projections!B455),"pass","fail"),"")</f>
        <v/>
      </c>
    </row>
    <row r="456" spans="1:12" x14ac:dyDescent="0.25">
      <c r="A456" s="64"/>
      <c r="B456" s="64"/>
      <c r="C456" s="65"/>
      <c r="D456" s="65"/>
      <c r="E456" s="65"/>
      <c r="F456" s="61"/>
      <c r="G456" s="61"/>
      <c r="H456" s="61"/>
      <c r="I456" s="61"/>
      <c r="J456" s="61"/>
      <c r="K456" s="3" t="str">
        <f t="shared" si="7"/>
        <v>fail</v>
      </c>
      <c r="L456" s="19" t="str">
        <f>IFERROR(IF(AND(MATCH(A456,Projection_classes,0),YEAR(current_date)=Projections!B456),"pass","fail"),"")</f>
        <v/>
      </c>
    </row>
    <row r="457" spans="1:12" x14ac:dyDescent="0.25">
      <c r="A457" s="64"/>
      <c r="B457" s="64"/>
      <c r="C457" s="65"/>
      <c r="D457" s="65"/>
      <c r="E457" s="65"/>
      <c r="F457" s="61"/>
      <c r="G457" s="61"/>
      <c r="H457" s="61"/>
      <c r="I457" s="61"/>
      <c r="J457" s="61"/>
      <c r="K457" s="3" t="str">
        <f t="shared" si="7"/>
        <v>fail</v>
      </c>
      <c r="L457" s="19" t="str">
        <f>IFERROR(IF(AND(MATCH(A457,Projection_classes,0),YEAR(current_date)=Projections!B457),"pass","fail"),"")</f>
        <v/>
      </c>
    </row>
    <row r="458" spans="1:12" x14ac:dyDescent="0.25">
      <c r="A458" s="64"/>
      <c r="B458" s="64"/>
      <c r="C458" s="65"/>
      <c r="D458" s="65"/>
      <c r="E458" s="65"/>
      <c r="F458" s="61"/>
      <c r="G458" s="61"/>
      <c r="H458" s="61"/>
      <c r="I458" s="61"/>
      <c r="J458" s="61"/>
      <c r="K458" s="3" t="str">
        <f t="shared" si="7"/>
        <v>fail</v>
      </c>
      <c r="L458" s="19" t="str">
        <f>IFERROR(IF(AND(MATCH(A458,Projection_classes,0),YEAR(current_date)=Projections!B458),"pass","fail"),"")</f>
        <v/>
      </c>
    </row>
    <row r="459" spans="1:12" x14ac:dyDescent="0.25">
      <c r="A459" s="64"/>
      <c r="B459" s="64"/>
      <c r="C459" s="65"/>
      <c r="D459" s="65"/>
      <c r="E459" s="65"/>
      <c r="F459" s="61"/>
      <c r="G459" s="61"/>
      <c r="H459" s="61"/>
      <c r="I459" s="61"/>
      <c r="J459" s="61"/>
      <c r="K459" s="3" t="str">
        <f t="shared" si="7"/>
        <v>fail</v>
      </c>
      <c r="L459" s="19" t="str">
        <f>IFERROR(IF(AND(MATCH(A459,Projection_classes,0),YEAR(current_date)=Projections!B459),"pass","fail"),"")</f>
        <v/>
      </c>
    </row>
    <row r="460" spans="1:12" x14ac:dyDescent="0.25">
      <c r="A460" s="64"/>
      <c r="B460" s="64"/>
      <c r="C460" s="65"/>
      <c r="D460" s="65"/>
      <c r="E460" s="65"/>
      <c r="F460" s="61"/>
      <c r="G460" s="61"/>
      <c r="H460" s="61"/>
      <c r="I460" s="61"/>
      <c r="J460" s="61"/>
      <c r="K460" s="3" t="str">
        <f t="shared" si="7"/>
        <v>fail</v>
      </c>
      <c r="L460" s="19" t="str">
        <f>IFERROR(IF(AND(MATCH(A460,Projection_classes,0),YEAR(current_date)=Projections!B460),"pass","fail"),"")</f>
        <v/>
      </c>
    </row>
    <row r="461" spans="1:12" x14ac:dyDescent="0.25">
      <c r="A461" s="64"/>
      <c r="B461" s="64"/>
      <c r="C461" s="65"/>
      <c r="D461" s="65"/>
      <c r="E461" s="65"/>
      <c r="F461" s="61"/>
      <c r="G461" s="61"/>
      <c r="H461" s="61"/>
      <c r="I461" s="61"/>
      <c r="J461" s="61"/>
      <c r="K461" s="3" t="str">
        <f t="shared" si="7"/>
        <v>fail</v>
      </c>
      <c r="L461" s="19" t="str">
        <f>IFERROR(IF(AND(MATCH(A461,Projection_classes,0),YEAR(current_date)=Projections!B461),"pass","fail"),"")</f>
        <v/>
      </c>
    </row>
    <row r="462" spans="1:12" x14ac:dyDescent="0.25">
      <c r="A462" s="64"/>
      <c r="B462" s="64"/>
      <c r="C462" s="65"/>
      <c r="D462" s="65"/>
      <c r="E462" s="65"/>
      <c r="F462" s="61"/>
      <c r="G462" s="61"/>
      <c r="H462" s="61"/>
      <c r="I462" s="61"/>
      <c r="J462" s="61"/>
      <c r="K462" s="3" t="str">
        <f t="shared" si="7"/>
        <v>fail</v>
      </c>
      <c r="L462" s="19" t="str">
        <f>IFERROR(IF(AND(MATCH(A462,Projection_classes,0),YEAR(current_date)=Projections!B462),"pass","fail"),"")</f>
        <v/>
      </c>
    </row>
    <row r="463" spans="1:12" x14ac:dyDescent="0.25">
      <c r="A463" s="64"/>
      <c r="B463" s="64"/>
      <c r="C463" s="65"/>
      <c r="D463" s="65"/>
      <c r="E463" s="65"/>
      <c r="F463" s="61"/>
      <c r="G463" s="61"/>
      <c r="H463" s="61"/>
      <c r="I463" s="61"/>
      <c r="J463" s="61"/>
      <c r="K463" s="3" t="str">
        <f t="shared" si="7"/>
        <v>fail</v>
      </c>
      <c r="L463" s="19" t="str">
        <f>IFERROR(IF(AND(MATCH(A463,Projection_classes,0),YEAR(current_date)=Projections!B463),"pass","fail"),"")</f>
        <v/>
      </c>
    </row>
    <row r="464" spans="1:12" x14ac:dyDescent="0.25">
      <c r="A464" s="64"/>
      <c r="B464" s="64"/>
      <c r="C464" s="65"/>
      <c r="D464" s="65"/>
      <c r="E464" s="65"/>
      <c r="F464" s="61"/>
      <c r="G464" s="61"/>
      <c r="H464" s="61"/>
      <c r="I464" s="61"/>
      <c r="J464" s="61"/>
      <c r="K464" s="3" t="str">
        <f t="shared" si="7"/>
        <v>fail</v>
      </c>
      <c r="L464" s="19" t="str">
        <f>IFERROR(IF(AND(MATCH(A464,Projection_classes,0),YEAR(current_date)=Projections!B464),"pass","fail"),"")</f>
        <v/>
      </c>
    </row>
    <row r="465" spans="1:12" x14ac:dyDescent="0.25">
      <c r="A465" s="64"/>
      <c r="B465" s="64"/>
      <c r="C465" s="65"/>
      <c r="D465" s="65"/>
      <c r="E465" s="65"/>
      <c r="F465" s="61"/>
      <c r="G465" s="61"/>
      <c r="H465" s="61"/>
      <c r="I465" s="61"/>
      <c r="J465" s="61"/>
      <c r="K465" s="3" t="str">
        <f t="shared" si="7"/>
        <v>fail</v>
      </c>
      <c r="L465" s="19" t="str">
        <f>IFERROR(IF(AND(MATCH(A465,Projection_classes,0),YEAR(current_date)=Projections!B465),"pass","fail"),"")</f>
        <v/>
      </c>
    </row>
    <row r="466" spans="1:12" x14ac:dyDescent="0.25">
      <c r="A466" s="64"/>
      <c r="B466" s="64"/>
      <c r="C466" s="65"/>
      <c r="D466" s="65"/>
      <c r="E466" s="65"/>
      <c r="F466" s="61"/>
      <c r="G466" s="61"/>
      <c r="H466" s="61"/>
      <c r="I466" s="61"/>
      <c r="J466" s="61"/>
      <c r="K466" s="3" t="str">
        <f t="shared" si="7"/>
        <v>fail</v>
      </c>
      <c r="L466" s="19" t="str">
        <f>IFERROR(IF(AND(MATCH(A466,Projection_classes,0),YEAR(current_date)=Projections!B466),"pass","fail"),"")</f>
        <v/>
      </c>
    </row>
    <row r="467" spans="1:12" x14ac:dyDescent="0.25">
      <c r="A467" s="64"/>
      <c r="B467" s="64"/>
      <c r="C467" s="65"/>
      <c r="D467" s="65"/>
      <c r="E467" s="65"/>
      <c r="F467" s="61"/>
      <c r="G467" s="61"/>
      <c r="H467" s="61"/>
      <c r="I467" s="61"/>
      <c r="J467" s="61"/>
      <c r="K467" s="3" t="str">
        <f t="shared" si="7"/>
        <v>fail</v>
      </c>
      <c r="L467" s="19" t="str">
        <f>IFERROR(IF(AND(MATCH(A467,Projection_classes,0),YEAR(current_date)=Projections!B467),"pass","fail"),"")</f>
        <v/>
      </c>
    </row>
    <row r="468" spans="1:12" x14ac:dyDescent="0.25">
      <c r="A468" s="64"/>
      <c r="B468" s="64"/>
      <c r="C468" s="65"/>
      <c r="D468" s="65"/>
      <c r="E468" s="65"/>
      <c r="F468" s="61"/>
      <c r="G468" s="61"/>
      <c r="H468" s="61"/>
      <c r="I468" s="61"/>
      <c r="J468" s="61"/>
      <c r="K468" s="3" t="str">
        <f t="shared" si="7"/>
        <v>fail</v>
      </c>
      <c r="L468" s="19" t="str">
        <f>IFERROR(IF(AND(MATCH(A468,Projection_classes,0),YEAR(current_date)=Projections!B468),"pass","fail"),"")</f>
        <v/>
      </c>
    </row>
    <row r="469" spans="1:12" x14ac:dyDescent="0.25">
      <c r="A469" s="64"/>
      <c r="B469" s="64"/>
      <c r="C469" s="65"/>
      <c r="D469" s="65"/>
      <c r="E469" s="65"/>
      <c r="F469" s="61"/>
      <c r="G469" s="61"/>
      <c r="H469" s="61"/>
      <c r="I469" s="61"/>
      <c r="J469" s="61"/>
      <c r="K469" s="3" t="str">
        <f t="shared" si="7"/>
        <v>fail</v>
      </c>
      <c r="L469" s="19" t="str">
        <f>IFERROR(IF(AND(MATCH(A469,Projection_classes,0),YEAR(current_date)=Projections!B469),"pass","fail"),"")</f>
        <v/>
      </c>
    </row>
    <row r="470" spans="1:12" x14ac:dyDescent="0.25">
      <c r="A470" s="64"/>
      <c r="B470" s="64"/>
      <c r="C470" s="65"/>
      <c r="D470" s="65"/>
      <c r="E470" s="65"/>
      <c r="F470" s="61"/>
      <c r="G470" s="61"/>
      <c r="H470" s="61"/>
      <c r="I470" s="61"/>
      <c r="J470" s="61"/>
      <c r="K470" s="3" t="str">
        <f t="shared" si="7"/>
        <v>fail</v>
      </c>
      <c r="L470" s="19" t="str">
        <f>IFERROR(IF(AND(MATCH(A470,Projection_classes,0),YEAR(current_date)=Projections!B470),"pass","fail"),"")</f>
        <v/>
      </c>
    </row>
    <row r="471" spans="1:12" x14ac:dyDescent="0.25">
      <c r="A471" s="64"/>
      <c r="B471" s="64"/>
      <c r="C471" s="65"/>
      <c r="D471" s="65"/>
      <c r="E471" s="65"/>
      <c r="F471" s="61"/>
      <c r="G471" s="61"/>
      <c r="H471" s="61"/>
      <c r="I471" s="61"/>
      <c r="J471" s="61"/>
      <c r="K471" s="3" t="str">
        <f t="shared" si="7"/>
        <v>fail</v>
      </c>
      <c r="L471" s="19" t="str">
        <f>IFERROR(IF(AND(MATCH(A471,Projection_classes,0),YEAR(current_date)=Projections!B471),"pass","fail"),"")</f>
        <v/>
      </c>
    </row>
    <row r="472" spans="1:12" x14ac:dyDescent="0.25">
      <c r="A472" s="64"/>
      <c r="B472" s="64"/>
      <c r="C472" s="65"/>
      <c r="D472" s="65"/>
      <c r="E472" s="65"/>
      <c r="F472" s="61"/>
      <c r="G472" s="61"/>
      <c r="H472" s="61"/>
      <c r="I472" s="61"/>
      <c r="J472" s="61"/>
      <c r="K472" s="3" t="str">
        <f t="shared" si="7"/>
        <v>fail</v>
      </c>
      <c r="L472" s="19" t="str">
        <f>IFERROR(IF(AND(MATCH(A472,Projection_classes,0),YEAR(current_date)=Projections!B472),"pass","fail"),"")</f>
        <v/>
      </c>
    </row>
    <row r="473" spans="1:12" x14ac:dyDescent="0.25">
      <c r="A473" s="64"/>
      <c r="B473" s="64"/>
      <c r="C473" s="65"/>
      <c r="D473" s="65"/>
      <c r="E473" s="65"/>
      <c r="F473" s="61"/>
      <c r="G473" s="61"/>
      <c r="H473" s="61"/>
      <c r="I473" s="61"/>
      <c r="J473" s="61"/>
      <c r="K473" s="3" t="str">
        <f t="shared" si="7"/>
        <v>fail</v>
      </c>
      <c r="L473" s="19" t="str">
        <f>IFERROR(IF(AND(MATCH(A473,Projection_classes,0),YEAR(current_date)=Projections!B473),"pass","fail"),"")</f>
        <v/>
      </c>
    </row>
    <row r="474" spans="1:12" x14ac:dyDescent="0.25">
      <c r="A474" s="64"/>
      <c r="B474" s="64"/>
      <c r="C474" s="65"/>
      <c r="D474" s="65"/>
      <c r="E474" s="65"/>
      <c r="F474" s="61"/>
      <c r="G474" s="61"/>
      <c r="H474" s="61"/>
      <c r="I474" s="61"/>
      <c r="J474" s="61"/>
      <c r="K474" s="3" t="str">
        <f t="shared" si="7"/>
        <v>fail</v>
      </c>
      <c r="L474" s="19" t="str">
        <f>IFERROR(IF(AND(MATCH(A474,Projection_classes,0),YEAR(current_date)=Projections!B474),"pass","fail"),"")</f>
        <v/>
      </c>
    </row>
    <row r="475" spans="1:12" x14ac:dyDescent="0.25">
      <c r="A475" s="64"/>
      <c r="B475" s="64"/>
      <c r="C475" s="65"/>
      <c r="D475" s="65"/>
      <c r="E475" s="65"/>
      <c r="F475" s="61"/>
      <c r="G475" s="61"/>
      <c r="H475" s="61"/>
      <c r="I475" s="61"/>
      <c r="J475" s="61"/>
      <c r="K475" s="3" t="str">
        <f t="shared" si="7"/>
        <v>fail</v>
      </c>
      <c r="L475" s="19" t="str">
        <f>IFERROR(IF(AND(MATCH(A475,Projection_classes,0),YEAR(current_date)=Projections!B475),"pass","fail"),"")</f>
        <v/>
      </c>
    </row>
    <row r="476" spans="1:12" x14ac:dyDescent="0.25">
      <c r="A476" s="64"/>
      <c r="B476" s="64"/>
      <c r="C476" s="65"/>
      <c r="D476" s="65"/>
      <c r="E476" s="65"/>
      <c r="F476" s="61"/>
      <c r="G476" s="61"/>
      <c r="H476" s="61"/>
      <c r="I476" s="61"/>
      <c r="J476" s="61"/>
      <c r="K476" s="3" t="str">
        <f t="shared" si="7"/>
        <v>fail</v>
      </c>
      <c r="L476" s="19" t="str">
        <f>IFERROR(IF(AND(MATCH(A476,Projection_classes,0),YEAR(current_date)=Projections!B476),"pass","fail"),"")</f>
        <v/>
      </c>
    </row>
    <row r="477" spans="1:12" x14ac:dyDescent="0.25">
      <c r="A477" s="64"/>
      <c r="B477" s="64"/>
      <c r="C477" s="65"/>
      <c r="D477" s="65"/>
      <c r="E477" s="65"/>
      <c r="F477" s="61"/>
      <c r="G477" s="61"/>
      <c r="H477" s="61"/>
      <c r="I477" s="61"/>
      <c r="J477" s="61"/>
      <c r="K477" s="3" t="str">
        <f t="shared" si="7"/>
        <v>fail</v>
      </c>
      <c r="L477" s="19" t="str">
        <f>IFERROR(IF(AND(MATCH(A477,Projection_classes,0),YEAR(current_date)=Projections!B477),"pass","fail"),"")</f>
        <v/>
      </c>
    </row>
    <row r="478" spans="1:12" x14ac:dyDescent="0.25">
      <c r="A478" s="64"/>
      <c r="B478" s="64"/>
      <c r="C478" s="65"/>
      <c r="D478" s="65"/>
      <c r="E478" s="65"/>
      <c r="F478" s="61"/>
      <c r="G478" s="61"/>
      <c r="H478" s="61"/>
      <c r="I478" s="61"/>
      <c r="J478" s="61"/>
      <c r="K478" s="3" t="str">
        <f t="shared" si="7"/>
        <v>fail</v>
      </c>
      <c r="L478" s="19" t="str">
        <f>IFERROR(IF(AND(MATCH(A478,Projection_classes,0),YEAR(current_date)=Projections!B478),"pass","fail"),"")</f>
        <v/>
      </c>
    </row>
    <row r="479" spans="1:12" x14ac:dyDescent="0.25">
      <c r="A479" s="64"/>
      <c r="B479" s="64"/>
      <c r="C479" s="65"/>
      <c r="D479" s="65"/>
      <c r="E479" s="65"/>
      <c r="F479" s="61"/>
      <c r="G479" s="61"/>
      <c r="H479" s="61"/>
      <c r="I479" s="61"/>
      <c r="J479" s="61"/>
      <c r="K479" s="3" t="str">
        <f t="shared" si="7"/>
        <v>fail</v>
      </c>
      <c r="L479" s="19" t="str">
        <f>IFERROR(IF(AND(MATCH(A479,Projection_classes,0),YEAR(current_date)=Projections!B479),"pass","fail"),"")</f>
        <v/>
      </c>
    </row>
    <row r="480" spans="1:12" x14ac:dyDescent="0.25">
      <c r="A480" s="64"/>
      <c r="B480" s="64"/>
      <c r="C480" s="65"/>
      <c r="D480" s="65"/>
      <c r="E480" s="65"/>
      <c r="F480" s="61"/>
      <c r="G480" s="61"/>
      <c r="H480" s="61"/>
      <c r="I480" s="61"/>
      <c r="J480" s="61"/>
      <c r="K480" s="3" t="str">
        <f t="shared" si="7"/>
        <v>fail</v>
      </c>
      <c r="L480" s="19" t="str">
        <f>IFERROR(IF(AND(MATCH(A480,Projection_classes,0),YEAR(current_date)=Projections!B480),"pass","fail"),"")</f>
        <v/>
      </c>
    </row>
    <row r="481" spans="1:12" x14ac:dyDescent="0.25">
      <c r="A481" s="64"/>
      <c r="B481" s="64"/>
      <c r="C481" s="65"/>
      <c r="D481" s="65"/>
      <c r="E481" s="65"/>
      <c r="F481" s="61"/>
      <c r="G481" s="61"/>
      <c r="H481" s="61"/>
      <c r="I481" s="61"/>
      <c r="J481" s="61"/>
      <c r="K481" s="3" t="str">
        <f t="shared" si="7"/>
        <v>fail</v>
      </c>
      <c r="L481" s="19" t="str">
        <f>IFERROR(IF(AND(MATCH(A481,Projection_classes,0),YEAR(current_date)=Projections!B481),"pass","fail"),"")</f>
        <v/>
      </c>
    </row>
    <row r="482" spans="1:12" x14ac:dyDescent="0.25">
      <c r="A482" s="64"/>
      <c r="B482" s="64"/>
      <c r="C482" s="65"/>
      <c r="D482" s="65"/>
      <c r="E482" s="65"/>
      <c r="F482" s="61"/>
      <c r="G482" s="61"/>
      <c r="H482" s="61"/>
      <c r="I482" s="61"/>
      <c r="J482" s="61"/>
      <c r="K482" s="3" t="str">
        <f t="shared" si="7"/>
        <v>fail</v>
      </c>
      <c r="L482" s="19" t="str">
        <f>IFERROR(IF(AND(MATCH(A482,Projection_classes,0),YEAR(current_date)=Projections!B482),"pass","fail"),"")</f>
        <v/>
      </c>
    </row>
    <row r="483" spans="1:12" x14ac:dyDescent="0.25">
      <c r="A483" s="64"/>
      <c r="B483" s="64"/>
      <c r="C483" s="65"/>
      <c r="D483" s="65"/>
      <c r="E483" s="65"/>
      <c r="F483" s="61"/>
      <c r="G483" s="61"/>
      <c r="H483" s="61"/>
      <c r="I483" s="61"/>
      <c r="J483" s="61"/>
      <c r="K483" s="3" t="str">
        <f t="shared" si="7"/>
        <v>fail</v>
      </c>
      <c r="L483" s="19" t="str">
        <f>IFERROR(IF(AND(MATCH(A483,Projection_classes,0),YEAR(current_date)=Projections!B483),"pass","fail"),"")</f>
        <v/>
      </c>
    </row>
    <row r="484" spans="1:12" x14ac:dyDescent="0.25">
      <c r="A484" s="64"/>
      <c r="B484" s="64"/>
      <c r="C484" s="65"/>
      <c r="D484" s="65"/>
      <c r="E484" s="65"/>
      <c r="F484" s="61"/>
      <c r="G484" s="61"/>
      <c r="H484" s="61"/>
      <c r="I484" s="61"/>
      <c r="J484" s="61"/>
      <c r="K484" s="3" t="str">
        <f t="shared" si="7"/>
        <v>fail</v>
      </c>
      <c r="L484" s="19" t="str">
        <f>IFERROR(IF(AND(MATCH(A484,Projection_classes,0),YEAR(current_date)=Projections!B484),"pass","fail"),"")</f>
        <v/>
      </c>
    </row>
    <row r="485" spans="1:12" x14ac:dyDescent="0.25">
      <c r="A485" s="64"/>
      <c r="B485" s="64"/>
      <c r="C485" s="65"/>
      <c r="D485" s="65"/>
      <c r="E485" s="65"/>
      <c r="F485" s="61"/>
      <c r="G485" s="61"/>
      <c r="H485" s="61"/>
      <c r="I485" s="61"/>
      <c r="J485" s="61"/>
      <c r="K485" s="3" t="str">
        <f t="shared" si="7"/>
        <v>fail</v>
      </c>
      <c r="L485" s="19" t="str">
        <f>IFERROR(IF(AND(MATCH(A485,Projection_classes,0),YEAR(current_date)=Projections!B485),"pass","fail"),"")</f>
        <v/>
      </c>
    </row>
    <row r="486" spans="1:12" x14ac:dyDescent="0.25">
      <c r="A486" s="64"/>
      <c r="B486" s="64"/>
      <c r="C486" s="65"/>
      <c r="D486" s="65"/>
      <c r="E486" s="65"/>
      <c r="F486" s="61"/>
      <c r="G486" s="61"/>
      <c r="H486" s="61"/>
      <c r="I486" s="61"/>
      <c r="J486" s="61"/>
      <c r="K486" s="3" t="str">
        <f t="shared" si="7"/>
        <v>fail</v>
      </c>
      <c r="L486" s="19" t="str">
        <f>IFERROR(IF(AND(MATCH(A486,Projection_classes,0),YEAR(current_date)=Projections!B486),"pass","fail"),"")</f>
        <v/>
      </c>
    </row>
    <row r="487" spans="1:12" x14ac:dyDescent="0.25">
      <c r="A487" s="64"/>
      <c r="B487" s="64"/>
      <c r="C487" s="65"/>
      <c r="D487" s="65"/>
      <c r="E487" s="65"/>
      <c r="F487" s="61"/>
      <c r="G487" s="61"/>
      <c r="H487" s="61"/>
      <c r="I487" s="61"/>
      <c r="J487" s="61"/>
      <c r="K487" s="3" t="str">
        <f t="shared" si="7"/>
        <v>fail</v>
      </c>
      <c r="L487" s="19" t="str">
        <f>IFERROR(IF(AND(MATCH(A487,Projection_classes,0),YEAR(current_date)=Projections!B487),"pass","fail"),"")</f>
        <v/>
      </c>
    </row>
    <row r="488" spans="1:12" x14ac:dyDescent="0.25">
      <c r="A488" s="64"/>
      <c r="B488" s="64"/>
      <c r="C488" s="65"/>
      <c r="D488" s="65"/>
      <c r="E488" s="65"/>
      <c r="F488" s="61"/>
      <c r="G488" s="61"/>
      <c r="H488" s="61"/>
      <c r="I488" s="61"/>
      <c r="J488" s="61"/>
      <c r="K488" s="3" t="str">
        <f t="shared" si="7"/>
        <v>fail</v>
      </c>
      <c r="L488" s="19" t="str">
        <f>IFERROR(IF(AND(MATCH(A488,Projection_classes,0),YEAR(current_date)=Projections!B488),"pass","fail"),"")</f>
        <v/>
      </c>
    </row>
    <row r="489" spans="1:12" x14ac:dyDescent="0.25">
      <c r="A489" s="64"/>
      <c r="B489" s="64"/>
      <c r="C489" s="65"/>
      <c r="D489" s="65"/>
      <c r="E489" s="65"/>
      <c r="F489" s="61"/>
      <c r="G489" s="61"/>
      <c r="H489" s="61"/>
      <c r="I489" s="61"/>
      <c r="J489" s="61"/>
      <c r="K489" s="3" t="str">
        <f t="shared" si="7"/>
        <v>fail</v>
      </c>
      <c r="L489" s="19" t="str">
        <f>IFERROR(IF(AND(MATCH(A489,Projection_classes,0),YEAR(current_date)=Projections!B489),"pass","fail"),"")</f>
        <v/>
      </c>
    </row>
    <row r="490" spans="1:12" x14ac:dyDescent="0.25">
      <c r="A490" s="64"/>
      <c r="B490" s="64"/>
      <c r="C490" s="65"/>
      <c r="D490" s="65"/>
      <c r="E490" s="65"/>
      <c r="F490" s="61"/>
      <c r="G490" s="61"/>
      <c r="H490" s="61"/>
      <c r="I490" s="61"/>
      <c r="J490" s="61"/>
      <c r="K490" s="3" t="str">
        <f t="shared" si="7"/>
        <v>fail</v>
      </c>
      <c r="L490" s="19" t="str">
        <f>IFERROR(IF(AND(MATCH(A490,Projection_classes,0),YEAR(current_date)=Projections!B490),"pass","fail"),"")</f>
        <v/>
      </c>
    </row>
    <row r="491" spans="1:12" x14ac:dyDescent="0.25">
      <c r="A491" s="64"/>
      <c r="B491" s="64"/>
      <c r="C491" s="65"/>
      <c r="D491" s="65"/>
      <c r="E491" s="65"/>
      <c r="F491" s="61"/>
      <c r="G491" s="61"/>
      <c r="H491" s="61"/>
      <c r="I491" s="61"/>
      <c r="J491" s="61"/>
      <c r="K491" s="3" t="str">
        <f t="shared" si="7"/>
        <v>fail</v>
      </c>
      <c r="L491" s="19" t="str">
        <f>IFERROR(IF(AND(MATCH(A491,Projection_classes,0),YEAR(current_date)=Projections!B491),"pass","fail"),"")</f>
        <v/>
      </c>
    </row>
    <row r="492" spans="1:12" x14ac:dyDescent="0.25">
      <c r="A492" s="64"/>
      <c r="B492" s="64"/>
      <c r="C492" s="65"/>
      <c r="D492" s="65"/>
      <c r="E492" s="65"/>
      <c r="F492" s="61"/>
      <c r="G492" s="61"/>
      <c r="H492" s="61"/>
      <c r="I492" s="61"/>
      <c r="J492" s="61"/>
      <c r="K492" s="3" t="str">
        <f t="shared" si="7"/>
        <v>fail</v>
      </c>
      <c r="L492" s="19" t="str">
        <f>IFERROR(IF(AND(MATCH(A492,Projection_classes,0),YEAR(current_date)=Projections!B492),"pass","fail"),"")</f>
        <v/>
      </c>
    </row>
    <row r="493" spans="1:12" x14ac:dyDescent="0.25">
      <c r="A493" s="64"/>
      <c r="B493" s="64"/>
      <c r="C493" s="65"/>
      <c r="D493" s="65"/>
      <c r="E493" s="65"/>
      <c r="F493" s="61"/>
      <c r="G493" s="61"/>
      <c r="H493" s="61"/>
      <c r="I493" s="61"/>
      <c r="J493" s="61"/>
      <c r="K493" s="3" t="str">
        <f t="shared" si="7"/>
        <v>fail</v>
      </c>
      <c r="L493" s="19" t="str">
        <f>IFERROR(IF(AND(MATCH(A493,Projection_classes,0),YEAR(current_date)=Projections!B493),"pass","fail"),"")</f>
        <v/>
      </c>
    </row>
    <row r="494" spans="1:12" x14ac:dyDescent="0.25">
      <c r="A494" s="64"/>
      <c r="B494" s="64"/>
      <c r="C494" s="65"/>
      <c r="D494" s="65"/>
      <c r="E494" s="65"/>
      <c r="F494" s="61"/>
      <c r="G494" s="61"/>
      <c r="H494" s="61"/>
      <c r="I494" s="61"/>
      <c r="J494" s="61"/>
      <c r="K494" s="3" t="str">
        <f t="shared" si="7"/>
        <v>fail</v>
      </c>
      <c r="L494" s="19" t="str">
        <f>IFERROR(IF(AND(MATCH(A494,Projection_classes,0),YEAR(current_date)=Projections!B494),"pass","fail"),"")</f>
        <v/>
      </c>
    </row>
    <row r="495" spans="1:12" x14ac:dyDescent="0.25">
      <c r="A495" s="64"/>
      <c r="B495" s="64"/>
      <c r="C495" s="65"/>
      <c r="D495" s="65"/>
      <c r="E495" s="65"/>
      <c r="F495" s="61"/>
      <c r="G495" s="61"/>
      <c r="H495" s="61"/>
      <c r="I495" s="61"/>
      <c r="J495" s="61"/>
      <c r="K495" s="3" t="str">
        <f t="shared" si="7"/>
        <v>fail</v>
      </c>
      <c r="L495" s="19" t="str">
        <f>IFERROR(IF(AND(MATCH(A495,Projection_classes,0),YEAR(current_date)=Projections!B495),"pass","fail"),"")</f>
        <v/>
      </c>
    </row>
    <row r="496" spans="1:12" x14ac:dyDescent="0.25">
      <c r="A496" s="64"/>
      <c r="B496" s="64"/>
      <c r="C496" s="65"/>
      <c r="D496" s="65"/>
      <c r="E496" s="65"/>
      <c r="F496" s="61"/>
      <c r="G496" s="61"/>
      <c r="H496" s="61"/>
      <c r="I496" s="61"/>
      <c r="J496" s="61"/>
      <c r="K496" s="3" t="str">
        <f t="shared" si="7"/>
        <v>fail</v>
      </c>
      <c r="L496" s="19" t="str">
        <f>IFERROR(IF(AND(MATCH(A496,Projection_classes,0),YEAR(current_date)=Projections!B496),"pass","fail"),"")</f>
        <v/>
      </c>
    </row>
    <row r="497" spans="1:12" x14ac:dyDescent="0.25">
      <c r="A497" s="64"/>
      <c r="B497" s="64"/>
      <c r="C497" s="65"/>
      <c r="D497" s="65"/>
      <c r="E497" s="65"/>
      <c r="F497" s="61"/>
      <c r="G497" s="61"/>
      <c r="H497" s="61"/>
      <c r="I497" s="61"/>
      <c r="J497" s="61"/>
      <c r="K497" s="3" t="str">
        <f t="shared" si="7"/>
        <v>fail</v>
      </c>
      <c r="L497" s="19" t="str">
        <f>IFERROR(IF(AND(MATCH(A497,Projection_classes,0),YEAR(current_date)=Projections!B497),"pass","fail"),"")</f>
        <v/>
      </c>
    </row>
    <row r="498" spans="1:12" x14ac:dyDescent="0.25">
      <c r="A498" s="64"/>
      <c r="B498" s="64"/>
      <c r="C498" s="65"/>
      <c r="D498" s="65"/>
      <c r="E498" s="65"/>
      <c r="F498" s="61"/>
      <c r="G498" s="61"/>
      <c r="H498" s="61"/>
      <c r="I498" s="61"/>
      <c r="J498" s="61"/>
      <c r="K498" s="3" t="str">
        <f t="shared" si="7"/>
        <v>fail</v>
      </c>
      <c r="L498" s="19" t="str">
        <f>IFERROR(IF(AND(MATCH(A498,Projection_classes,0),YEAR(current_date)=Projections!B498),"pass","fail"),"")</f>
        <v/>
      </c>
    </row>
    <row r="499" spans="1:12" x14ac:dyDescent="0.25">
      <c r="A499" s="64"/>
      <c r="B499" s="64"/>
      <c r="C499" s="65"/>
      <c r="D499" s="65"/>
      <c r="E499" s="65"/>
      <c r="F499" s="61"/>
      <c r="G499" s="61"/>
      <c r="H499" s="61"/>
      <c r="I499" s="61"/>
      <c r="J499" s="61"/>
      <c r="K499" s="3" t="str">
        <f t="shared" si="7"/>
        <v>fail</v>
      </c>
      <c r="L499" s="19" t="str">
        <f>IFERROR(IF(AND(MATCH(A499,Projection_classes,0),YEAR(current_date)=Projections!B499),"pass","fail"),"")</f>
        <v/>
      </c>
    </row>
    <row r="500" spans="1:12" x14ac:dyDescent="0.25">
      <c r="A500" s="64"/>
      <c r="B500" s="64"/>
      <c r="C500" s="65"/>
      <c r="D500" s="65"/>
      <c r="E500" s="65"/>
      <c r="F500" s="61"/>
      <c r="G500" s="61"/>
      <c r="H500" s="61"/>
      <c r="I500" s="61"/>
      <c r="J500" s="61"/>
      <c r="K500" s="3" t="str">
        <f t="shared" si="7"/>
        <v>fail</v>
      </c>
      <c r="L500" s="19" t="str">
        <f>IFERROR(IF(AND(MATCH(A500,Projection_classes,0),YEAR(current_date)=Projections!B500),"pass","fail"),"")</f>
        <v/>
      </c>
    </row>
    <row r="501" spans="1:12" x14ac:dyDescent="0.25">
      <c r="A501" s="64"/>
      <c r="B501" s="64"/>
      <c r="C501" s="65"/>
      <c r="D501" s="65"/>
      <c r="E501" s="65"/>
      <c r="F501" s="61"/>
      <c r="G501" s="61"/>
      <c r="H501" s="61"/>
      <c r="I501" s="61"/>
      <c r="J501" s="61"/>
      <c r="K501" s="3" t="str">
        <f t="shared" si="7"/>
        <v>fail</v>
      </c>
      <c r="L501" s="19" t="str">
        <f>IFERROR(IF(AND(MATCH(A501,Projection_classes,0),YEAR(current_date)=Projections!B501),"pass","fail"),"")</f>
        <v/>
      </c>
    </row>
    <row r="502" spans="1:12" x14ac:dyDescent="0.25">
      <c r="A502" s="64"/>
      <c r="B502" s="64"/>
      <c r="C502" s="65"/>
      <c r="D502" s="65"/>
      <c r="E502" s="65"/>
      <c r="F502" s="61"/>
      <c r="G502" s="61"/>
      <c r="H502" s="61"/>
      <c r="I502" s="61"/>
      <c r="J502" s="61"/>
      <c r="K502" s="3" t="str">
        <f t="shared" si="7"/>
        <v>fail</v>
      </c>
      <c r="L502" s="19" t="str">
        <f>IFERROR(IF(AND(MATCH(A502,Projection_classes,0),YEAR(current_date)=Projections!B502),"pass","fail"),"")</f>
        <v/>
      </c>
    </row>
    <row r="503" spans="1:12" x14ac:dyDescent="0.25">
      <c r="A503" s="64"/>
      <c r="B503" s="64"/>
      <c r="C503" s="65"/>
      <c r="D503" s="65"/>
      <c r="E503" s="65"/>
      <c r="F503" s="61"/>
      <c r="G503" s="61"/>
      <c r="H503" s="61"/>
      <c r="I503" s="61"/>
      <c r="J503" s="61"/>
      <c r="K503" s="3" t="str">
        <f t="shared" si="7"/>
        <v>fail</v>
      </c>
      <c r="L503" s="19" t="str">
        <f>IFERROR(IF(AND(MATCH(A503,Projection_classes,0),YEAR(current_date)=Projections!B503),"pass","fail"),"")</f>
        <v/>
      </c>
    </row>
    <row r="504" spans="1:12" x14ac:dyDescent="0.25">
      <c r="A504" s="64"/>
      <c r="B504" s="64"/>
      <c r="C504" s="65"/>
      <c r="D504" s="65"/>
      <c r="E504" s="65"/>
      <c r="F504" s="61"/>
      <c r="G504" s="61"/>
      <c r="H504" s="61"/>
      <c r="I504" s="61"/>
      <c r="J504" s="61"/>
      <c r="K504" s="3" t="str">
        <f t="shared" si="7"/>
        <v>fail</v>
      </c>
      <c r="L504" s="19" t="str">
        <f>IFERROR(IF(AND(MATCH(A504,Projection_classes,0),YEAR(current_date)=Projections!B504),"pass","fail"),"")</f>
        <v/>
      </c>
    </row>
    <row r="505" spans="1:12" x14ac:dyDescent="0.25">
      <c r="A505" s="64"/>
      <c r="B505" s="64"/>
      <c r="C505" s="65"/>
      <c r="D505" s="65"/>
      <c r="E505" s="65"/>
      <c r="F505" s="61"/>
      <c r="G505" s="61"/>
      <c r="H505" s="61"/>
      <c r="I505" s="61"/>
      <c r="J505" s="61"/>
      <c r="K505" s="3" t="str">
        <f t="shared" si="7"/>
        <v>fail</v>
      </c>
      <c r="L505" s="19" t="str">
        <f>IFERROR(IF(AND(MATCH(A505,Projection_classes,0),YEAR(current_date)=Projections!B505),"pass","fail"),"")</f>
        <v/>
      </c>
    </row>
    <row r="506" spans="1:12" x14ac:dyDescent="0.25">
      <c r="A506" s="64"/>
      <c r="B506" s="64"/>
      <c r="C506" s="65"/>
      <c r="D506" s="65"/>
      <c r="E506" s="65"/>
      <c r="F506" s="61"/>
      <c r="G506" s="61"/>
      <c r="H506" s="61"/>
      <c r="I506" s="61"/>
      <c r="J506" s="61"/>
      <c r="K506" s="3" t="str">
        <f t="shared" si="7"/>
        <v>fail</v>
      </c>
      <c r="L506" s="19" t="str">
        <f>IFERROR(IF(AND(MATCH(A506,Projection_classes,0),YEAR(current_date)=Projections!B506),"pass","fail"),"")</f>
        <v/>
      </c>
    </row>
    <row r="507" spans="1:12" x14ac:dyDescent="0.25">
      <c r="A507" s="64"/>
      <c r="B507" s="64"/>
      <c r="C507" s="65"/>
      <c r="D507" s="65"/>
      <c r="E507" s="65"/>
      <c r="F507" s="61"/>
      <c r="G507" s="61"/>
      <c r="H507" s="61"/>
      <c r="I507" s="61"/>
      <c r="J507" s="61"/>
      <c r="K507" s="3" t="str">
        <f t="shared" si="7"/>
        <v>fail</v>
      </c>
      <c r="L507" s="19" t="str">
        <f>IFERROR(IF(AND(MATCH(A507,Projection_classes,0),YEAR(current_date)=Projections!B507),"pass","fail"),"")</f>
        <v/>
      </c>
    </row>
    <row r="508" spans="1:12" x14ac:dyDescent="0.25">
      <c r="A508" s="64"/>
      <c r="B508" s="64"/>
      <c r="C508" s="65"/>
      <c r="D508" s="65"/>
      <c r="E508" s="65"/>
      <c r="F508" s="61"/>
      <c r="G508" s="61"/>
      <c r="H508" s="61"/>
      <c r="I508" s="61"/>
      <c r="J508" s="61"/>
      <c r="K508" s="3" t="str">
        <f t="shared" si="7"/>
        <v>fail</v>
      </c>
      <c r="L508" s="19" t="str">
        <f>IFERROR(IF(AND(MATCH(A508,Projection_classes,0),YEAR(current_date)=Projections!B508),"pass","fail"),"")</f>
        <v/>
      </c>
    </row>
    <row r="509" spans="1:12" x14ac:dyDescent="0.25">
      <c r="A509" s="64"/>
      <c r="B509" s="64"/>
      <c r="C509" s="65"/>
      <c r="D509" s="65"/>
      <c r="E509" s="65"/>
      <c r="F509" s="61"/>
      <c r="G509" s="61"/>
      <c r="H509" s="61"/>
      <c r="I509" s="61"/>
      <c r="J509" s="61"/>
      <c r="K509" s="3" t="str">
        <f t="shared" si="7"/>
        <v>fail</v>
      </c>
      <c r="L509" s="19" t="str">
        <f>IFERROR(IF(AND(MATCH(A509,Projection_classes,0),YEAR(current_date)=Projections!B509),"pass","fail"),"")</f>
        <v/>
      </c>
    </row>
    <row r="510" spans="1:12" x14ac:dyDescent="0.25">
      <c r="A510" s="64"/>
      <c r="B510" s="64"/>
      <c r="C510" s="65"/>
      <c r="D510" s="65"/>
      <c r="E510" s="65"/>
      <c r="F510" s="61"/>
      <c r="G510" s="61"/>
      <c r="H510" s="61"/>
      <c r="I510" s="61"/>
      <c r="J510" s="61"/>
      <c r="K510" s="3" t="str">
        <f t="shared" si="7"/>
        <v>fail</v>
      </c>
      <c r="L510" s="19" t="str">
        <f>IFERROR(IF(AND(MATCH(A510,Projection_classes,0),YEAR(current_date)=Projections!B510),"pass","fail"),"")</f>
        <v/>
      </c>
    </row>
    <row r="511" spans="1:12" x14ac:dyDescent="0.25">
      <c r="A511" s="64"/>
      <c r="B511" s="64"/>
      <c r="C511" s="65"/>
      <c r="D511" s="65"/>
      <c r="E511" s="65"/>
      <c r="F511" s="61"/>
      <c r="G511" s="61"/>
      <c r="H511" s="61"/>
      <c r="I511" s="61"/>
      <c r="J511" s="61"/>
      <c r="K511" s="3" t="str">
        <f t="shared" si="7"/>
        <v>fail</v>
      </c>
      <c r="L511" s="19" t="str">
        <f>IFERROR(IF(AND(MATCH(A511,Projection_classes,0),YEAR(current_date)=Projections!B511),"pass","fail"),"")</f>
        <v/>
      </c>
    </row>
    <row r="512" spans="1:12" x14ac:dyDescent="0.25">
      <c r="A512" s="64"/>
      <c r="B512" s="64"/>
      <c r="C512" s="65"/>
      <c r="D512" s="65"/>
      <c r="E512" s="65"/>
      <c r="F512" s="61"/>
      <c r="G512" s="61"/>
      <c r="H512" s="61"/>
      <c r="I512" s="61"/>
      <c r="J512" s="61"/>
      <c r="K512" s="3" t="str">
        <f t="shared" si="7"/>
        <v>fail</v>
      </c>
      <c r="L512" s="19" t="str">
        <f>IFERROR(IF(AND(MATCH(A512,Projection_classes,0),YEAR(current_date)=Projections!B512),"pass","fail"),"")</f>
        <v/>
      </c>
    </row>
    <row r="513" spans="1:12" x14ac:dyDescent="0.25">
      <c r="A513" s="64"/>
      <c r="B513" s="64"/>
      <c r="C513" s="65"/>
      <c r="D513" s="65"/>
      <c r="E513" s="65"/>
      <c r="F513" s="61"/>
      <c r="G513" s="61"/>
      <c r="H513" s="61"/>
      <c r="I513" s="61"/>
      <c r="J513" s="61"/>
      <c r="K513" s="3" t="str">
        <f t="shared" si="7"/>
        <v>fail</v>
      </c>
      <c r="L513" s="19" t="str">
        <f>IFERROR(IF(AND(MATCH(A513,Projection_classes,0),YEAR(current_date)=Projections!B513),"pass","fail"),"")</f>
        <v/>
      </c>
    </row>
    <row r="514" spans="1:12" x14ac:dyDescent="0.25">
      <c r="A514" s="64"/>
      <c r="B514" s="64"/>
      <c r="C514" s="65"/>
      <c r="D514" s="65"/>
      <c r="E514" s="65"/>
      <c r="F514" s="61"/>
      <c r="G514" s="61"/>
      <c r="H514" s="61"/>
      <c r="I514" s="61"/>
      <c r="J514" s="61"/>
      <c r="K514" s="3" t="str">
        <f t="shared" ref="K514:K577" si="8">IF(OR(B514&lt;$N$1,B514&gt;$P$1),"fail","pass")</f>
        <v>fail</v>
      </c>
      <c r="L514" s="19" t="str">
        <f>IFERROR(IF(AND(MATCH(A514,Projection_classes,0),YEAR(current_date)=Projections!B514),"pass","fail"),"")</f>
        <v/>
      </c>
    </row>
    <row r="515" spans="1:12" x14ac:dyDescent="0.25">
      <c r="A515" s="64"/>
      <c r="B515" s="64"/>
      <c r="C515" s="65"/>
      <c r="D515" s="65"/>
      <c r="E515" s="65"/>
      <c r="F515" s="61"/>
      <c r="G515" s="61"/>
      <c r="H515" s="61"/>
      <c r="I515" s="61"/>
      <c r="J515" s="61"/>
      <c r="K515" s="3" t="str">
        <f t="shared" si="8"/>
        <v>fail</v>
      </c>
      <c r="L515" s="19" t="str">
        <f>IFERROR(IF(AND(MATCH(A515,Projection_classes,0),YEAR(current_date)=Projections!B515),"pass","fail"),"")</f>
        <v/>
      </c>
    </row>
    <row r="516" spans="1:12" x14ac:dyDescent="0.25">
      <c r="A516" s="64"/>
      <c r="B516" s="64"/>
      <c r="C516" s="65"/>
      <c r="D516" s="65"/>
      <c r="E516" s="65"/>
      <c r="F516" s="61"/>
      <c r="G516" s="61"/>
      <c r="H516" s="61"/>
      <c r="I516" s="61"/>
      <c r="J516" s="61"/>
      <c r="K516" s="3" t="str">
        <f t="shared" si="8"/>
        <v>fail</v>
      </c>
      <c r="L516" s="19" t="str">
        <f>IFERROR(IF(AND(MATCH(A516,Projection_classes,0),YEAR(current_date)=Projections!B516),"pass","fail"),"")</f>
        <v/>
      </c>
    </row>
    <row r="517" spans="1:12" x14ac:dyDescent="0.25">
      <c r="A517" s="64"/>
      <c r="B517" s="64"/>
      <c r="C517" s="65"/>
      <c r="D517" s="65"/>
      <c r="E517" s="65"/>
      <c r="F517" s="61"/>
      <c r="G517" s="61"/>
      <c r="H517" s="61"/>
      <c r="I517" s="61"/>
      <c r="J517" s="61"/>
      <c r="K517" s="3" t="str">
        <f t="shared" si="8"/>
        <v>fail</v>
      </c>
      <c r="L517" s="19" t="str">
        <f>IFERROR(IF(AND(MATCH(A517,Projection_classes,0),YEAR(current_date)=Projections!B517),"pass","fail"),"")</f>
        <v/>
      </c>
    </row>
    <row r="518" spans="1:12" x14ac:dyDescent="0.25">
      <c r="A518" s="64"/>
      <c r="B518" s="64"/>
      <c r="C518" s="65"/>
      <c r="D518" s="65"/>
      <c r="E518" s="65"/>
      <c r="F518" s="61"/>
      <c r="G518" s="61"/>
      <c r="H518" s="61"/>
      <c r="I518" s="61"/>
      <c r="J518" s="61"/>
      <c r="K518" s="3" t="str">
        <f t="shared" si="8"/>
        <v>fail</v>
      </c>
      <c r="L518" s="19" t="str">
        <f>IFERROR(IF(AND(MATCH(A518,Projection_classes,0),YEAR(current_date)=Projections!B518),"pass","fail"),"")</f>
        <v/>
      </c>
    </row>
    <row r="519" spans="1:12" x14ac:dyDescent="0.25">
      <c r="A519" s="64"/>
      <c r="B519" s="64"/>
      <c r="C519" s="65"/>
      <c r="D519" s="65"/>
      <c r="E519" s="65"/>
      <c r="F519" s="61"/>
      <c r="G519" s="61"/>
      <c r="H519" s="61"/>
      <c r="I519" s="61"/>
      <c r="J519" s="61"/>
      <c r="K519" s="3" t="str">
        <f t="shared" si="8"/>
        <v>fail</v>
      </c>
      <c r="L519" s="19" t="str">
        <f>IFERROR(IF(AND(MATCH(A519,Projection_classes,0),YEAR(current_date)=Projections!B519),"pass","fail"),"")</f>
        <v/>
      </c>
    </row>
    <row r="520" spans="1:12" x14ac:dyDescent="0.25">
      <c r="A520" s="64"/>
      <c r="B520" s="64"/>
      <c r="C520" s="65"/>
      <c r="D520" s="65"/>
      <c r="E520" s="65"/>
      <c r="F520" s="61"/>
      <c r="G520" s="61"/>
      <c r="H520" s="61"/>
      <c r="I520" s="61"/>
      <c r="J520" s="61"/>
      <c r="K520" s="3" t="str">
        <f t="shared" si="8"/>
        <v>fail</v>
      </c>
      <c r="L520" s="19" t="str">
        <f>IFERROR(IF(AND(MATCH(A520,Projection_classes,0),YEAR(current_date)=Projections!B520),"pass","fail"),"")</f>
        <v/>
      </c>
    </row>
    <row r="521" spans="1:12" x14ac:dyDescent="0.25">
      <c r="A521" s="64"/>
      <c r="B521" s="64"/>
      <c r="C521" s="65"/>
      <c r="D521" s="65"/>
      <c r="E521" s="65"/>
      <c r="F521" s="61"/>
      <c r="G521" s="61"/>
      <c r="H521" s="61"/>
      <c r="I521" s="61"/>
      <c r="J521" s="61"/>
      <c r="K521" s="3" t="str">
        <f t="shared" si="8"/>
        <v>fail</v>
      </c>
      <c r="L521" s="19" t="str">
        <f>IFERROR(IF(AND(MATCH(A521,Projection_classes,0),YEAR(current_date)=Projections!B521),"pass","fail"),"")</f>
        <v/>
      </c>
    </row>
    <row r="522" spans="1:12" x14ac:dyDescent="0.25">
      <c r="A522" s="64"/>
      <c r="B522" s="64"/>
      <c r="C522" s="65"/>
      <c r="D522" s="65"/>
      <c r="E522" s="65"/>
      <c r="F522" s="61"/>
      <c r="G522" s="61"/>
      <c r="H522" s="61"/>
      <c r="I522" s="61"/>
      <c r="J522" s="61"/>
      <c r="K522" s="3" t="str">
        <f t="shared" si="8"/>
        <v>fail</v>
      </c>
      <c r="L522" s="19" t="str">
        <f>IFERROR(IF(AND(MATCH(A522,Projection_classes,0),YEAR(current_date)=Projections!B522),"pass","fail"),"")</f>
        <v/>
      </c>
    </row>
    <row r="523" spans="1:12" x14ac:dyDescent="0.25">
      <c r="A523" s="64"/>
      <c r="B523" s="64"/>
      <c r="C523" s="65"/>
      <c r="D523" s="65"/>
      <c r="E523" s="65"/>
      <c r="F523" s="61"/>
      <c r="G523" s="61"/>
      <c r="H523" s="61"/>
      <c r="I523" s="61"/>
      <c r="J523" s="61"/>
      <c r="K523" s="3" t="str">
        <f t="shared" si="8"/>
        <v>fail</v>
      </c>
      <c r="L523" s="19" t="str">
        <f>IFERROR(IF(AND(MATCH(A523,Projection_classes,0),YEAR(current_date)=Projections!B523),"pass","fail"),"")</f>
        <v/>
      </c>
    </row>
    <row r="524" spans="1:12" x14ac:dyDescent="0.25">
      <c r="A524" s="64"/>
      <c r="B524" s="64"/>
      <c r="C524" s="65"/>
      <c r="D524" s="65"/>
      <c r="E524" s="65"/>
      <c r="F524" s="61"/>
      <c r="G524" s="61"/>
      <c r="H524" s="61"/>
      <c r="I524" s="61"/>
      <c r="J524" s="61"/>
      <c r="K524" s="3" t="str">
        <f t="shared" si="8"/>
        <v>fail</v>
      </c>
      <c r="L524" s="19" t="str">
        <f>IFERROR(IF(AND(MATCH(A524,Projection_classes,0),YEAR(current_date)=Projections!B524),"pass","fail"),"")</f>
        <v/>
      </c>
    </row>
    <row r="525" spans="1:12" x14ac:dyDescent="0.25">
      <c r="A525" s="64"/>
      <c r="B525" s="64"/>
      <c r="C525" s="65"/>
      <c r="D525" s="65"/>
      <c r="E525" s="65"/>
      <c r="F525" s="61"/>
      <c r="G525" s="61"/>
      <c r="H525" s="61"/>
      <c r="I525" s="61"/>
      <c r="J525" s="61"/>
      <c r="K525" s="3" t="str">
        <f t="shared" si="8"/>
        <v>fail</v>
      </c>
      <c r="L525" s="19" t="str">
        <f>IFERROR(IF(AND(MATCH(A525,Projection_classes,0),YEAR(current_date)=Projections!B525),"pass","fail"),"")</f>
        <v/>
      </c>
    </row>
    <row r="526" spans="1:12" x14ac:dyDescent="0.25">
      <c r="A526" s="64"/>
      <c r="B526" s="64"/>
      <c r="C526" s="65"/>
      <c r="D526" s="65"/>
      <c r="E526" s="65"/>
      <c r="F526" s="61"/>
      <c r="G526" s="61"/>
      <c r="H526" s="61"/>
      <c r="I526" s="61"/>
      <c r="J526" s="61"/>
      <c r="K526" s="3" t="str">
        <f t="shared" si="8"/>
        <v>fail</v>
      </c>
      <c r="L526" s="19" t="str">
        <f>IFERROR(IF(AND(MATCH(A526,Projection_classes,0),YEAR(current_date)=Projections!B526),"pass","fail"),"")</f>
        <v/>
      </c>
    </row>
    <row r="527" spans="1:12" x14ac:dyDescent="0.25">
      <c r="A527" s="64"/>
      <c r="B527" s="64"/>
      <c r="C527" s="65"/>
      <c r="D527" s="65"/>
      <c r="E527" s="65"/>
      <c r="F527" s="61"/>
      <c r="G527" s="61"/>
      <c r="H527" s="61"/>
      <c r="I527" s="61"/>
      <c r="J527" s="61"/>
      <c r="K527" s="3" t="str">
        <f t="shared" si="8"/>
        <v>fail</v>
      </c>
      <c r="L527" s="19" t="str">
        <f>IFERROR(IF(AND(MATCH(A527,Projection_classes,0),YEAR(current_date)=Projections!B527),"pass","fail"),"")</f>
        <v/>
      </c>
    </row>
    <row r="528" spans="1:12" x14ac:dyDescent="0.25">
      <c r="A528" s="64"/>
      <c r="B528" s="64"/>
      <c r="C528" s="65"/>
      <c r="D528" s="65"/>
      <c r="E528" s="65"/>
      <c r="F528" s="61"/>
      <c r="G528" s="61"/>
      <c r="H528" s="61"/>
      <c r="I528" s="61"/>
      <c r="J528" s="61"/>
      <c r="K528" s="3" t="str">
        <f t="shared" si="8"/>
        <v>fail</v>
      </c>
      <c r="L528" s="19" t="str">
        <f>IFERROR(IF(AND(MATCH(A528,Projection_classes,0),YEAR(current_date)=Projections!B528),"pass","fail"),"")</f>
        <v/>
      </c>
    </row>
    <row r="529" spans="1:12" x14ac:dyDescent="0.25">
      <c r="A529" s="64"/>
      <c r="B529" s="64"/>
      <c r="C529" s="65"/>
      <c r="D529" s="65"/>
      <c r="E529" s="65"/>
      <c r="F529" s="61"/>
      <c r="G529" s="61"/>
      <c r="H529" s="61"/>
      <c r="I529" s="61"/>
      <c r="J529" s="61"/>
      <c r="K529" s="3" t="str">
        <f t="shared" si="8"/>
        <v>fail</v>
      </c>
      <c r="L529" s="19" t="str">
        <f>IFERROR(IF(AND(MATCH(A529,Projection_classes,0),YEAR(current_date)=Projections!B529),"pass","fail"),"")</f>
        <v/>
      </c>
    </row>
    <row r="530" spans="1:12" x14ac:dyDescent="0.25">
      <c r="A530" s="64"/>
      <c r="B530" s="64"/>
      <c r="C530" s="65"/>
      <c r="D530" s="65"/>
      <c r="E530" s="65"/>
      <c r="F530" s="61"/>
      <c r="G530" s="61"/>
      <c r="H530" s="61"/>
      <c r="I530" s="61"/>
      <c r="J530" s="61"/>
      <c r="K530" s="3" t="str">
        <f t="shared" si="8"/>
        <v>fail</v>
      </c>
      <c r="L530" s="19" t="str">
        <f>IFERROR(IF(AND(MATCH(A530,Projection_classes,0),YEAR(current_date)=Projections!B530),"pass","fail"),"")</f>
        <v/>
      </c>
    </row>
    <row r="531" spans="1:12" x14ac:dyDescent="0.25">
      <c r="A531" s="64"/>
      <c r="B531" s="64"/>
      <c r="C531" s="65"/>
      <c r="D531" s="65"/>
      <c r="E531" s="65"/>
      <c r="F531" s="61"/>
      <c r="G531" s="61"/>
      <c r="H531" s="61"/>
      <c r="I531" s="61"/>
      <c r="J531" s="61"/>
      <c r="K531" s="3" t="str">
        <f t="shared" si="8"/>
        <v>fail</v>
      </c>
      <c r="L531" s="19" t="str">
        <f>IFERROR(IF(AND(MATCH(A531,Projection_classes,0),YEAR(current_date)=Projections!B531),"pass","fail"),"")</f>
        <v/>
      </c>
    </row>
    <row r="532" spans="1:12" x14ac:dyDescent="0.25">
      <c r="A532" s="64"/>
      <c r="B532" s="64"/>
      <c r="C532" s="65"/>
      <c r="D532" s="65"/>
      <c r="E532" s="65"/>
      <c r="F532" s="61"/>
      <c r="G532" s="61"/>
      <c r="H532" s="61"/>
      <c r="I532" s="61"/>
      <c r="J532" s="61"/>
      <c r="K532" s="3" t="str">
        <f t="shared" si="8"/>
        <v>fail</v>
      </c>
      <c r="L532" s="19" t="str">
        <f>IFERROR(IF(AND(MATCH(A532,Projection_classes,0),YEAR(current_date)=Projections!B532),"pass","fail"),"")</f>
        <v/>
      </c>
    </row>
    <row r="533" spans="1:12" x14ac:dyDescent="0.25">
      <c r="A533" s="64"/>
      <c r="B533" s="64"/>
      <c r="C533" s="65"/>
      <c r="D533" s="65"/>
      <c r="E533" s="65"/>
      <c r="F533" s="61"/>
      <c r="G533" s="61"/>
      <c r="H533" s="61"/>
      <c r="I533" s="61"/>
      <c r="J533" s="61"/>
      <c r="K533" s="3" t="str">
        <f t="shared" si="8"/>
        <v>fail</v>
      </c>
      <c r="L533" s="19" t="str">
        <f>IFERROR(IF(AND(MATCH(A533,Projection_classes,0),YEAR(current_date)=Projections!B533),"pass","fail"),"")</f>
        <v/>
      </c>
    </row>
    <row r="534" spans="1:12" x14ac:dyDescent="0.25">
      <c r="A534" s="64"/>
      <c r="B534" s="64"/>
      <c r="C534" s="65"/>
      <c r="D534" s="65"/>
      <c r="E534" s="65"/>
      <c r="F534" s="61"/>
      <c r="G534" s="61"/>
      <c r="H534" s="61"/>
      <c r="I534" s="61"/>
      <c r="J534" s="61"/>
      <c r="K534" s="3" t="str">
        <f t="shared" si="8"/>
        <v>fail</v>
      </c>
      <c r="L534" s="19" t="str">
        <f>IFERROR(IF(AND(MATCH(A534,Projection_classes,0),YEAR(current_date)=Projections!B534),"pass","fail"),"")</f>
        <v/>
      </c>
    </row>
    <row r="535" spans="1:12" x14ac:dyDescent="0.25">
      <c r="A535" s="64"/>
      <c r="B535" s="64"/>
      <c r="C535" s="65"/>
      <c r="D535" s="65"/>
      <c r="E535" s="65"/>
      <c r="F535" s="61"/>
      <c r="G535" s="61"/>
      <c r="H535" s="61"/>
      <c r="I535" s="61"/>
      <c r="J535" s="61"/>
      <c r="K535" s="3" t="str">
        <f t="shared" si="8"/>
        <v>fail</v>
      </c>
      <c r="L535" s="19" t="str">
        <f>IFERROR(IF(AND(MATCH(A535,Projection_classes,0),YEAR(current_date)=Projections!B535),"pass","fail"),"")</f>
        <v/>
      </c>
    </row>
    <row r="536" spans="1:12" x14ac:dyDescent="0.25">
      <c r="A536" s="64"/>
      <c r="B536" s="64"/>
      <c r="C536" s="65"/>
      <c r="D536" s="65"/>
      <c r="E536" s="65"/>
      <c r="F536" s="61"/>
      <c r="G536" s="61"/>
      <c r="H536" s="61"/>
      <c r="I536" s="61"/>
      <c r="J536" s="61"/>
      <c r="K536" s="3" t="str">
        <f t="shared" si="8"/>
        <v>fail</v>
      </c>
      <c r="L536" s="19" t="str">
        <f>IFERROR(IF(AND(MATCH(A536,Projection_classes,0),YEAR(current_date)=Projections!B536),"pass","fail"),"")</f>
        <v/>
      </c>
    </row>
    <row r="537" spans="1:12" x14ac:dyDescent="0.25">
      <c r="A537" s="64"/>
      <c r="B537" s="64"/>
      <c r="C537" s="65"/>
      <c r="D537" s="65"/>
      <c r="E537" s="65"/>
      <c r="F537" s="61"/>
      <c r="G537" s="61"/>
      <c r="H537" s="61"/>
      <c r="I537" s="61"/>
      <c r="J537" s="61"/>
      <c r="K537" s="3" t="str">
        <f t="shared" si="8"/>
        <v>fail</v>
      </c>
      <c r="L537" s="19" t="str">
        <f>IFERROR(IF(AND(MATCH(A537,Projection_classes,0),YEAR(current_date)=Projections!B537),"pass","fail"),"")</f>
        <v/>
      </c>
    </row>
    <row r="538" spans="1:12" x14ac:dyDescent="0.25">
      <c r="A538" s="64"/>
      <c r="B538" s="64"/>
      <c r="C538" s="65"/>
      <c r="D538" s="65"/>
      <c r="E538" s="65"/>
      <c r="F538" s="61"/>
      <c r="G538" s="61"/>
      <c r="H538" s="61"/>
      <c r="I538" s="61"/>
      <c r="J538" s="61"/>
      <c r="K538" s="3" t="str">
        <f t="shared" si="8"/>
        <v>fail</v>
      </c>
      <c r="L538" s="19" t="str">
        <f>IFERROR(IF(AND(MATCH(A538,Projection_classes,0),YEAR(current_date)=Projections!B538),"pass","fail"),"")</f>
        <v/>
      </c>
    </row>
    <row r="539" spans="1:12" x14ac:dyDescent="0.25">
      <c r="A539" s="64"/>
      <c r="B539" s="64"/>
      <c r="C539" s="65"/>
      <c r="D539" s="65"/>
      <c r="E539" s="65"/>
      <c r="F539" s="61"/>
      <c r="G539" s="61"/>
      <c r="H539" s="61"/>
      <c r="I539" s="61"/>
      <c r="J539" s="61"/>
      <c r="K539" s="3" t="str">
        <f t="shared" si="8"/>
        <v>fail</v>
      </c>
      <c r="L539" s="19" t="str">
        <f>IFERROR(IF(AND(MATCH(A539,Projection_classes,0),YEAR(current_date)=Projections!B539),"pass","fail"),"")</f>
        <v/>
      </c>
    </row>
    <row r="540" spans="1:12" x14ac:dyDescent="0.25">
      <c r="A540" s="64"/>
      <c r="B540" s="64"/>
      <c r="C540" s="65"/>
      <c r="D540" s="65"/>
      <c r="E540" s="65"/>
      <c r="F540" s="61"/>
      <c r="G540" s="61"/>
      <c r="H540" s="61"/>
      <c r="I540" s="61"/>
      <c r="J540" s="61"/>
      <c r="K540" s="3" t="str">
        <f t="shared" si="8"/>
        <v>fail</v>
      </c>
      <c r="L540" s="19" t="str">
        <f>IFERROR(IF(AND(MATCH(A540,Projection_classes,0),YEAR(current_date)=Projections!B540),"pass","fail"),"")</f>
        <v/>
      </c>
    </row>
    <row r="541" spans="1:12" x14ac:dyDescent="0.25">
      <c r="A541" s="64"/>
      <c r="B541" s="64"/>
      <c r="C541" s="65"/>
      <c r="D541" s="65"/>
      <c r="E541" s="65"/>
      <c r="F541" s="61"/>
      <c r="G541" s="61"/>
      <c r="H541" s="61"/>
      <c r="I541" s="61"/>
      <c r="J541" s="61"/>
      <c r="K541" s="3" t="str">
        <f t="shared" si="8"/>
        <v>fail</v>
      </c>
      <c r="L541" s="19" t="str">
        <f>IFERROR(IF(AND(MATCH(A541,Projection_classes,0),YEAR(current_date)=Projections!B541),"pass","fail"),"")</f>
        <v/>
      </c>
    </row>
    <row r="542" spans="1:12" x14ac:dyDescent="0.25">
      <c r="A542" s="64"/>
      <c r="B542" s="64"/>
      <c r="C542" s="65"/>
      <c r="D542" s="65"/>
      <c r="E542" s="65"/>
      <c r="F542" s="61"/>
      <c r="G542" s="61"/>
      <c r="H542" s="61"/>
      <c r="I542" s="61"/>
      <c r="J542" s="61"/>
      <c r="K542" s="3" t="str">
        <f t="shared" si="8"/>
        <v>fail</v>
      </c>
      <c r="L542" s="19" t="str">
        <f>IFERROR(IF(AND(MATCH(A542,Projection_classes,0),YEAR(current_date)=Projections!B542),"pass","fail"),"")</f>
        <v/>
      </c>
    </row>
    <row r="543" spans="1:12" x14ac:dyDescent="0.25">
      <c r="A543" s="64"/>
      <c r="B543" s="64"/>
      <c r="C543" s="65"/>
      <c r="D543" s="65"/>
      <c r="E543" s="65"/>
      <c r="F543" s="61"/>
      <c r="G543" s="61"/>
      <c r="H543" s="61"/>
      <c r="I543" s="61"/>
      <c r="J543" s="61"/>
      <c r="K543" s="3" t="str">
        <f t="shared" si="8"/>
        <v>fail</v>
      </c>
      <c r="L543" s="19" t="str">
        <f>IFERROR(IF(AND(MATCH(A543,Projection_classes,0),YEAR(current_date)=Projections!B543),"pass","fail"),"")</f>
        <v/>
      </c>
    </row>
    <row r="544" spans="1:12" x14ac:dyDescent="0.25">
      <c r="A544" s="64"/>
      <c r="B544" s="64"/>
      <c r="C544" s="65"/>
      <c r="D544" s="65"/>
      <c r="E544" s="65"/>
      <c r="F544" s="61"/>
      <c r="G544" s="61"/>
      <c r="H544" s="61"/>
      <c r="I544" s="61"/>
      <c r="J544" s="61"/>
      <c r="K544" s="3" t="str">
        <f t="shared" si="8"/>
        <v>fail</v>
      </c>
      <c r="L544" s="19" t="str">
        <f>IFERROR(IF(AND(MATCH(A544,Projection_classes,0),YEAR(current_date)=Projections!B544),"pass","fail"),"")</f>
        <v/>
      </c>
    </row>
    <row r="545" spans="1:12" x14ac:dyDescent="0.25">
      <c r="A545" s="64"/>
      <c r="B545" s="64"/>
      <c r="C545" s="65"/>
      <c r="D545" s="65"/>
      <c r="E545" s="65"/>
      <c r="F545" s="61"/>
      <c r="G545" s="61"/>
      <c r="H545" s="61"/>
      <c r="I545" s="61"/>
      <c r="J545" s="61"/>
      <c r="K545" s="3" t="str">
        <f t="shared" si="8"/>
        <v>fail</v>
      </c>
      <c r="L545" s="19" t="str">
        <f>IFERROR(IF(AND(MATCH(A545,Projection_classes,0),YEAR(current_date)=Projections!B545),"pass","fail"),"")</f>
        <v/>
      </c>
    </row>
    <row r="546" spans="1:12" x14ac:dyDescent="0.25">
      <c r="A546" s="64"/>
      <c r="B546" s="64"/>
      <c r="C546" s="65"/>
      <c r="D546" s="65"/>
      <c r="E546" s="65"/>
      <c r="F546" s="61"/>
      <c r="G546" s="61"/>
      <c r="H546" s="61"/>
      <c r="I546" s="61"/>
      <c r="J546" s="61"/>
      <c r="K546" s="3" t="str">
        <f t="shared" si="8"/>
        <v>fail</v>
      </c>
      <c r="L546" s="19" t="str">
        <f>IFERROR(IF(AND(MATCH(A546,Projection_classes,0),YEAR(current_date)=Projections!B546),"pass","fail"),"")</f>
        <v/>
      </c>
    </row>
    <row r="547" spans="1:12" x14ac:dyDescent="0.25">
      <c r="A547" s="64"/>
      <c r="B547" s="64"/>
      <c r="C547" s="65"/>
      <c r="D547" s="65"/>
      <c r="E547" s="65"/>
      <c r="F547" s="61"/>
      <c r="G547" s="61"/>
      <c r="H547" s="61"/>
      <c r="I547" s="61"/>
      <c r="J547" s="61"/>
      <c r="K547" s="3" t="str">
        <f t="shared" si="8"/>
        <v>fail</v>
      </c>
      <c r="L547" s="19" t="str">
        <f>IFERROR(IF(AND(MATCH(A547,Projection_classes,0),YEAR(current_date)=Projections!B547),"pass","fail"),"")</f>
        <v/>
      </c>
    </row>
    <row r="548" spans="1:12" x14ac:dyDescent="0.25">
      <c r="A548" s="64"/>
      <c r="B548" s="64"/>
      <c r="C548" s="65"/>
      <c r="D548" s="65"/>
      <c r="E548" s="65"/>
      <c r="F548" s="61"/>
      <c r="G548" s="61"/>
      <c r="H548" s="61"/>
      <c r="I548" s="61"/>
      <c r="J548" s="61"/>
      <c r="K548" s="3" t="str">
        <f t="shared" si="8"/>
        <v>fail</v>
      </c>
      <c r="L548" s="19" t="str">
        <f>IFERROR(IF(AND(MATCH(A548,Projection_classes,0),YEAR(current_date)=Projections!B548),"pass","fail"),"")</f>
        <v/>
      </c>
    </row>
    <row r="549" spans="1:12" x14ac:dyDescent="0.25">
      <c r="A549" s="64"/>
      <c r="B549" s="64"/>
      <c r="C549" s="65"/>
      <c r="D549" s="65"/>
      <c r="E549" s="65"/>
      <c r="F549" s="61"/>
      <c r="G549" s="61"/>
      <c r="H549" s="61"/>
      <c r="I549" s="61"/>
      <c r="J549" s="61"/>
      <c r="K549" s="3" t="str">
        <f t="shared" si="8"/>
        <v>fail</v>
      </c>
      <c r="L549" s="19" t="str">
        <f>IFERROR(IF(AND(MATCH(A549,Projection_classes,0),YEAR(current_date)=Projections!B549),"pass","fail"),"")</f>
        <v/>
      </c>
    </row>
    <row r="550" spans="1:12" x14ac:dyDescent="0.25">
      <c r="A550" s="64"/>
      <c r="B550" s="64"/>
      <c r="C550" s="65"/>
      <c r="D550" s="65"/>
      <c r="E550" s="65"/>
      <c r="F550" s="61"/>
      <c r="G550" s="61"/>
      <c r="H550" s="61"/>
      <c r="I550" s="61"/>
      <c r="J550" s="61"/>
      <c r="K550" s="3" t="str">
        <f t="shared" si="8"/>
        <v>fail</v>
      </c>
      <c r="L550" s="19" t="str">
        <f>IFERROR(IF(AND(MATCH(A550,Projection_classes,0),YEAR(current_date)=Projections!B550),"pass","fail"),"")</f>
        <v/>
      </c>
    </row>
    <row r="551" spans="1:12" x14ac:dyDescent="0.25">
      <c r="A551" s="64"/>
      <c r="B551" s="64"/>
      <c r="C551" s="65"/>
      <c r="D551" s="65"/>
      <c r="E551" s="65"/>
      <c r="F551" s="61"/>
      <c r="G551" s="61"/>
      <c r="H551" s="61"/>
      <c r="I551" s="61"/>
      <c r="J551" s="61"/>
      <c r="K551" s="3" t="str">
        <f t="shared" si="8"/>
        <v>fail</v>
      </c>
      <c r="L551" s="19" t="str">
        <f>IFERROR(IF(AND(MATCH(A551,Projection_classes,0),YEAR(current_date)=Projections!B551),"pass","fail"),"")</f>
        <v/>
      </c>
    </row>
    <row r="552" spans="1:12" x14ac:dyDescent="0.25">
      <c r="A552" s="64"/>
      <c r="B552" s="64"/>
      <c r="C552" s="65"/>
      <c r="D552" s="65"/>
      <c r="E552" s="65"/>
      <c r="F552" s="61"/>
      <c r="G552" s="61"/>
      <c r="H552" s="61"/>
      <c r="I552" s="61"/>
      <c r="J552" s="61"/>
      <c r="K552" s="3" t="str">
        <f t="shared" si="8"/>
        <v>fail</v>
      </c>
      <c r="L552" s="19" t="str">
        <f>IFERROR(IF(AND(MATCH(A552,Projection_classes,0),YEAR(current_date)=Projections!B552),"pass","fail"),"")</f>
        <v/>
      </c>
    </row>
    <row r="553" spans="1:12" x14ac:dyDescent="0.25">
      <c r="A553" s="64"/>
      <c r="B553" s="64"/>
      <c r="C553" s="65"/>
      <c r="D553" s="65"/>
      <c r="E553" s="65"/>
      <c r="F553" s="61"/>
      <c r="G553" s="61"/>
      <c r="H553" s="61"/>
      <c r="I553" s="61"/>
      <c r="J553" s="61"/>
      <c r="K553" s="3" t="str">
        <f t="shared" si="8"/>
        <v>fail</v>
      </c>
      <c r="L553" s="19" t="str">
        <f>IFERROR(IF(AND(MATCH(A553,Projection_classes,0),YEAR(current_date)=Projections!B553),"pass","fail"),"")</f>
        <v/>
      </c>
    </row>
    <row r="554" spans="1:12" x14ac:dyDescent="0.25">
      <c r="A554" s="64"/>
      <c r="B554" s="64"/>
      <c r="C554" s="65"/>
      <c r="D554" s="65"/>
      <c r="E554" s="65"/>
      <c r="F554" s="61"/>
      <c r="G554" s="61"/>
      <c r="H554" s="61"/>
      <c r="I554" s="61"/>
      <c r="J554" s="61"/>
      <c r="K554" s="3" t="str">
        <f t="shared" si="8"/>
        <v>fail</v>
      </c>
      <c r="L554" s="19" t="str">
        <f>IFERROR(IF(AND(MATCH(A554,Projection_classes,0),YEAR(current_date)=Projections!B554),"pass","fail"),"")</f>
        <v/>
      </c>
    </row>
    <row r="555" spans="1:12" x14ac:dyDescent="0.25">
      <c r="A555" s="64"/>
      <c r="B555" s="64"/>
      <c r="C555" s="65"/>
      <c r="D555" s="65"/>
      <c r="E555" s="65"/>
      <c r="F555" s="61"/>
      <c r="G555" s="61"/>
      <c r="H555" s="61"/>
      <c r="I555" s="61"/>
      <c r="J555" s="61"/>
      <c r="K555" s="3" t="str">
        <f t="shared" si="8"/>
        <v>fail</v>
      </c>
      <c r="L555" s="19" t="str">
        <f>IFERROR(IF(AND(MATCH(A555,Projection_classes,0),YEAR(current_date)=Projections!B555),"pass","fail"),"")</f>
        <v/>
      </c>
    </row>
    <row r="556" spans="1:12" x14ac:dyDescent="0.25">
      <c r="A556" s="64"/>
      <c r="B556" s="64"/>
      <c r="C556" s="65"/>
      <c r="D556" s="65"/>
      <c r="E556" s="65"/>
      <c r="F556" s="61"/>
      <c r="G556" s="61"/>
      <c r="H556" s="61"/>
      <c r="I556" s="61"/>
      <c r="J556" s="61"/>
      <c r="K556" s="3" t="str">
        <f t="shared" si="8"/>
        <v>fail</v>
      </c>
      <c r="L556" s="19" t="str">
        <f>IFERROR(IF(AND(MATCH(A556,Projection_classes,0),YEAR(current_date)=Projections!B556),"pass","fail"),"")</f>
        <v/>
      </c>
    </row>
    <row r="557" spans="1:12" x14ac:dyDescent="0.25">
      <c r="A557" s="64"/>
      <c r="B557" s="64"/>
      <c r="C557" s="65"/>
      <c r="D557" s="65"/>
      <c r="E557" s="65"/>
      <c r="F557" s="61"/>
      <c r="G557" s="61"/>
      <c r="H557" s="61"/>
      <c r="I557" s="61"/>
      <c r="J557" s="61"/>
      <c r="K557" s="3" t="str">
        <f t="shared" si="8"/>
        <v>fail</v>
      </c>
      <c r="L557" s="19" t="str">
        <f>IFERROR(IF(AND(MATCH(A557,Projection_classes,0),YEAR(current_date)=Projections!B557),"pass","fail"),"")</f>
        <v/>
      </c>
    </row>
    <row r="558" spans="1:12" x14ac:dyDescent="0.25">
      <c r="A558" s="64"/>
      <c r="B558" s="64"/>
      <c r="C558" s="65"/>
      <c r="D558" s="65"/>
      <c r="E558" s="65"/>
      <c r="F558" s="61"/>
      <c r="G558" s="61"/>
      <c r="H558" s="61"/>
      <c r="I558" s="61"/>
      <c r="J558" s="61"/>
      <c r="K558" s="3" t="str">
        <f t="shared" si="8"/>
        <v>fail</v>
      </c>
      <c r="L558" s="19" t="str">
        <f>IFERROR(IF(AND(MATCH(A558,Projection_classes,0),YEAR(current_date)=Projections!B558),"pass","fail"),"")</f>
        <v/>
      </c>
    </row>
    <row r="559" spans="1:12" x14ac:dyDescent="0.25">
      <c r="A559" s="64"/>
      <c r="B559" s="64"/>
      <c r="C559" s="65"/>
      <c r="D559" s="65"/>
      <c r="E559" s="65"/>
      <c r="F559" s="61"/>
      <c r="G559" s="61"/>
      <c r="H559" s="61"/>
      <c r="I559" s="61"/>
      <c r="J559" s="61"/>
      <c r="K559" s="3" t="str">
        <f t="shared" si="8"/>
        <v>fail</v>
      </c>
      <c r="L559" s="19" t="str">
        <f>IFERROR(IF(AND(MATCH(A559,Projection_classes,0),YEAR(current_date)=Projections!B559),"pass","fail"),"")</f>
        <v/>
      </c>
    </row>
    <row r="560" spans="1:12" x14ac:dyDescent="0.25">
      <c r="A560" s="64"/>
      <c r="B560" s="64"/>
      <c r="C560" s="65"/>
      <c r="D560" s="65"/>
      <c r="E560" s="65"/>
      <c r="F560" s="61"/>
      <c r="G560" s="61"/>
      <c r="H560" s="61"/>
      <c r="I560" s="61"/>
      <c r="J560" s="61"/>
      <c r="K560" s="3" t="str">
        <f t="shared" si="8"/>
        <v>fail</v>
      </c>
      <c r="L560" s="19" t="str">
        <f>IFERROR(IF(AND(MATCH(A560,Projection_classes,0),YEAR(current_date)=Projections!B560),"pass","fail"),"")</f>
        <v/>
      </c>
    </row>
    <row r="561" spans="1:12" x14ac:dyDescent="0.25">
      <c r="A561" s="64"/>
      <c r="B561" s="64"/>
      <c r="C561" s="65"/>
      <c r="D561" s="65"/>
      <c r="E561" s="65"/>
      <c r="F561" s="61"/>
      <c r="G561" s="61"/>
      <c r="H561" s="61"/>
      <c r="I561" s="61"/>
      <c r="J561" s="61"/>
      <c r="K561" s="3" t="str">
        <f t="shared" si="8"/>
        <v>fail</v>
      </c>
      <c r="L561" s="19" t="str">
        <f>IFERROR(IF(AND(MATCH(A561,Projection_classes,0),YEAR(current_date)=Projections!B561),"pass","fail"),"")</f>
        <v/>
      </c>
    </row>
    <row r="562" spans="1:12" x14ac:dyDescent="0.25">
      <c r="A562" s="64"/>
      <c r="B562" s="64"/>
      <c r="C562" s="65"/>
      <c r="D562" s="65"/>
      <c r="E562" s="65"/>
      <c r="F562" s="61"/>
      <c r="G562" s="61"/>
      <c r="H562" s="61"/>
      <c r="I562" s="61"/>
      <c r="J562" s="61"/>
      <c r="K562" s="3" t="str">
        <f t="shared" si="8"/>
        <v>fail</v>
      </c>
      <c r="L562" s="19" t="str">
        <f>IFERROR(IF(AND(MATCH(A562,Projection_classes,0),YEAR(current_date)=Projections!B562),"pass","fail"),"")</f>
        <v/>
      </c>
    </row>
    <row r="563" spans="1:12" x14ac:dyDescent="0.25">
      <c r="A563" s="64"/>
      <c r="B563" s="64"/>
      <c r="C563" s="65"/>
      <c r="D563" s="65"/>
      <c r="E563" s="65"/>
      <c r="F563" s="61"/>
      <c r="G563" s="61"/>
      <c r="H563" s="61"/>
      <c r="I563" s="61"/>
      <c r="J563" s="61"/>
      <c r="K563" s="3" t="str">
        <f t="shared" si="8"/>
        <v>fail</v>
      </c>
      <c r="L563" s="19" t="str">
        <f>IFERROR(IF(AND(MATCH(A563,Projection_classes,0),YEAR(current_date)=Projections!B563),"pass","fail"),"")</f>
        <v/>
      </c>
    </row>
    <row r="564" spans="1:12" x14ac:dyDescent="0.25">
      <c r="A564" s="64"/>
      <c r="B564" s="64"/>
      <c r="C564" s="65"/>
      <c r="D564" s="65"/>
      <c r="E564" s="65"/>
      <c r="F564" s="61"/>
      <c r="G564" s="61"/>
      <c r="H564" s="61"/>
      <c r="I564" s="61"/>
      <c r="J564" s="61"/>
      <c r="K564" s="3" t="str">
        <f t="shared" si="8"/>
        <v>fail</v>
      </c>
      <c r="L564" s="19" t="str">
        <f>IFERROR(IF(AND(MATCH(A564,Projection_classes,0),YEAR(current_date)=Projections!B564),"pass","fail"),"")</f>
        <v/>
      </c>
    </row>
    <row r="565" spans="1:12" x14ac:dyDescent="0.25">
      <c r="A565" s="64"/>
      <c r="B565" s="64"/>
      <c r="C565" s="65"/>
      <c r="D565" s="65"/>
      <c r="E565" s="65"/>
      <c r="F565" s="61"/>
      <c r="G565" s="61"/>
      <c r="H565" s="61"/>
      <c r="I565" s="61"/>
      <c r="J565" s="61"/>
      <c r="K565" s="3" t="str">
        <f t="shared" si="8"/>
        <v>fail</v>
      </c>
      <c r="L565" s="19" t="str">
        <f>IFERROR(IF(AND(MATCH(A565,Projection_classes,0),YEAR(current_date)=Projections!B565),"pass","fail"),"")</f>
        <v/>
      </c>
    </row>
    <row r="566" spans="1:12" x14ac:dyDescent="0.25">
      <c r="A566" s="64"/>
      <c r="B566" s="64"/>
      <c r="C566" s="65"/>
      <c r="D566" s="65"/>
      <c r="E566" s="65"/>
      <c r="F566" s="61"/>
      <c r="G566" s="61"/>
      <c r="H566" s="61"/>
      <c r="I566" s="61"/>
      <c r="J566" s="61"/>
      <c r="K566" s="3" t="str">
        <f t="shared" si="8"/>
        <v>fail</v>
      </c>
      <c r="L566" s="19" t="str">
        <f>IFERROR(IF(AND(MATCH(A566,Projection_classes,0),YEAR(current_date)=Projections!B566),"pass","fail"),"")</f>
        <v/>
      </c>
    </row>
    <row r="567" spans="1:12" x14ac:dyDescent="0.25">
      <c r="A567" s="64"/>
      <c r="B567" s="64"/>
      <c r="C567" s="65"/>
      <c r="D567" s="65"/>
      <c r="E567" s="65"/>
      <c r="F567" s="61"/>
      <c r="G567" s="61"/>
      <c r="H567" s="61"/>
      <c r="I567" s="61"/>
      <c r="J567" s="61"/>
      <c r="K567" s="3" t="str">
        <f t="shared" si="8"/>
        <v>fail</v>
      </c>
      <c r="L567" s="19" t="str">
        <f>IFERROR(IF(AND(MATCH(A567,Projection_classes,0),YEAR(current_date)=Projections!B567),"pass","fail"),"")</f>
        <v/>
      </c>
    </row>
    <row r="568" spans="1:12" x14ac:dyDescent="0.25">
      <c r="A568" s="64"/>
      <c r="B568" s="64"/>
      <c r="C568" s="65"/>
      <c r="D568" s="65"/>
      <c r="E568" s="65"/>
      <c r="F568" s="61"/>
      <c r="G568" s="61"/>
      <c r="H568" s="61"/>
      <c r="I568" s="61"/>
      <c r="J568" s="61"/>
      <c r="K568" s="3" t="str">
        <f t="shared" si="8"/>
        <v>fail</v>
      </c>
      <c r="L568" s="19" t="str">
        <f>IFERROR(IF(AND(MATCH(A568,Projection_classes,0),YEAR(current_date)=Projections!B568),"pass","fail"),"")</f>
        <v/>
      </c>
    </row>
    <row r="569" spans="1:12" x14ac:dyDescent="0.25">
      <c r="A569" s="64"/>
      <c r="B569" s="64"/>
      <c r="C569" s="65"/>
      <c r="D569" s="65"/>
      <c r="E569" s="65"/>
      <c r="F569" s="61"/>
      <c r="G569" s="61"/>
      <c r="H569" s="61"/>
      <c r="I569" s="61"/>
      <c r="J569" s="61"/>
      <c r="K569" s="3" t="str">
        <f t="shared" si="8"/>
        <v>fail</v>
      </c>
      <c r="L569" s="19" t="str">
        <f>IFERROR(IF(AND(MATCH(A569,Projection_classes,0),YEAR(current_date)=Projections!B569),"pass","fail"),"")</f>
        <v/>
      </c>
    </row>
    <row r="570" spans="1:12" x14ac:dyDescent="0.25">
      <c r="A570" s="64"/>
      <c r="B570" s="64"/>
      <c r="C570" s="65"/>
      <c r="D570" s="65"/>
      <c r="E570" s="65"/>
      <c r="F570" s="61"/>
      <c r="G570" s="61"/>
      <c r="H570" s="61"/>
      <c r="I570" s="61"/>
      <c r="J570" s="61"/>
      <c r="K570" s="3" t="str">
        <f t="shared" si="8"/>
        <v>fail</v>
      </c>
      <c r="L570" s="19" t="str">
        <f>IFERROR(IF(AND(MATCH(A570,Projection_classes,0),YEAR(current_date)=Projections!B570),"pass","fail"),"")</f>
        <v/>
      </c>
    </row>
    <row r="571" spans="1:12" x14ac:dyDescent="0.25">
      <c r="A571" s="64"/>
      <c r="B571" s="64"/>
      <c r="C571" s="65"/>
      <c r="D571" s="65"/>
      <c r="E571" s="65"/>
      <c r="F571" s="61"/>
      <c r="G571" s="61"/>
      <c r="H571" s="61"/>
      <c r="I571" s="61"/>
      <c r="J571" s="61"/>
      <c r="K571" s="3" t="str">
        <f t="shared" si="8"/>
        <v>fail</v>
      </c>
      <c r="L571" s="19" t="str">
        <f>IFERROR(IF(AND(MATCH(A571,Projection_classes,0),YEAR(current_date)=Projections!B571),"pass","fail"),"")</f>
        <v/>
      </c>
    </row>
    <row r="572" spans="1:12" x14ac:dyDescent="0.25">
      <c r="A572" s="64"/>
      <c r="B572" s="64"/>
      <c r="C572" s="65"/>
      <c r="D572" s="65"/>
      <c r="E572" s="65"/>
      <c r="F572" s="61"/>
      <c r="G572" s="61"/>
      <c r="H572" s="61"/>
      <c r="I572" s="61"/>
      <c r="J572" s="61"/>
      <c r="K572" s="3" t="str">
        <f t="shared" si="8"/>
        <v>fail</v>
      </c>
      <c r="L572" s="19" t="str">
        <f>IFERROR(IF(AND(MATCH(A572,Projection_classes,0),YEAR(current_date)=Projections!B572),"pass","fail"),"")</f>
        <v/>
      </c>
    </row>
    <row r="573" spans="1:12" x14ac:dyDescent="0.25">
      <c r="A573" s="64"/>
      <c r="B573" s="64"/>
      <c r="C573" s="65"/>
      <c r="D573" s="65"/>
      <c r="E573" s="65"/>
      <c r="F573" s="61"/>
      <c r="G573" s="61"/>
      <c r="H573" s="61"/>
      <c r="I573" s="61"/>
      <c r="J573" s="61"/>
      <c r="K573" s="3" t="str">
        <f t="shared" si="8"/>
        <v>fail</v>
      </c>
      <c r="L573" s="19" t="str">
        <f>IFERROR(IF(AND(MATCH(A573,Projection_classes,0),YEAR(current_date)=Projections!B573),"pass","fail"),"")</f>
        <v/>
      </c>
    </row>
    <row r="574" spans="1:12" x14ac:dyDescent="0.25">
      <c r="A574" s="64"/>
      <c r="B574" s="64"/>
      <c r="C574" s="65"/>
      <c r="D574" s="65"/>
      <c r="E574" s="65"/>
      <c r="F574" s="61"/>
      <c r="G574" s="61"/>
      <c r="H574" s="61"/>
      <c r="I574" s="61"/>
      <c r="J574" s="61"/>
      <c r="K574" s="3" t="str">
        <f t="shared" si="8"/>
        <v>fail</v>
      </c>
      <c r="L574" s="19" t="str">
        <f>IFERROR(IF(AND(MATCH(A574,Projection_classes,0),YEAR(current_date)=Projections!B574),"pass","fail"),"")</f>
        <v/>
      </c>
    </row>
    <row r="575" spans="1:12" x14ac:dyDescent="0.25">
      <c r="A575" s="64"/>
      <c r="B575" s="64"/>
      <c r="C575" s="65"/>
      <c r="D575" s="65"/>
      <c r="E575" s="65"/>
      <c r="F575" s="61"/>
      <c r="G575" s="61"/>
      <c r="H575" s="61"/>
      <c r="I575" s="61"/>
      <c r="J575" s="61"/>
      <c r="K575" s="3" t="str">
        <f t="shared" si="8"/>
        <v>fail</v>
      </c>
      <c r="L575" s="19" t="str">
        <f>IFERROR(IF(AND(MATCH(A575,Projection_classes,0),YEAR(current_date)=Projections!B575),"pass","fail"),"")</f>
        <v/>
      </c>
    </row>
    <row r="576" spans="1:12" x14ac:dyDescent="0.25">
      <c r="A576" s="64"/>
      <c r="B576" s="64"/>
      <c r="C576" s="65"/>
      <c r="D576" s="65"/>
      <c r="E576" s="65"/>
      <c r="F576" s="61"/>
      <c r="G576" s="61"/>
      <c r="H576" s="61"/>
      <c r="I576" s="61"/>
      <c r="J576" s="61"/>
      <c r="K576" s="3" t="str">
        <f t="shared" si="8"/>
        <v>fail</v>
      </c>
      <c r="L576" s="19" t="str">
        <f>IFERROR(IF(AND(MATCH(A576,Projection_classes,0),YEAR(current_date)=Projections!B576),"pass","fail"),"")</f>
        <v/>
      </c>
    </row>
    <row r="577" spans="1:12" x14ac:dyDescent="0.25">
      <c r="A577" s="64"/>
      <c r="B577" s="64"/>
      <c r="C577" s="65"/>
      <c r="D577" s="65"/>
      <c r="E577" s="65"/>
      <c r="F577" s="61"/>
      <c r="G577" s="61"/>
      <c r="H577" s="61"/>
      <c r="I577" s="61"/>
      <c r="J577" s="61"/>
      <c r="K577" s="3" t="str">
        <f t="shared" si="8"/>
        <v>fail</v>
      </c>
      <c r="L577" s="19" t="str">
        <f>IFERROR(IF(AND(MATCH(A577,Projection_classes,0),YEAR(current_date)=Projections!B577),"pass","fail"),"")</f>
        <v/>
      </c>
    </row>
    <row r="578" spans="1:12" x14ac:dyDescent="0.25">
      <c r="A578" s="64"/>
      <c r="B578" s="64"/>
      <c r="C578" s="65"/>
      <c r="D578" s="65"/>
      <c r="E578" s="65"/>
      <c r="F578" s="61"/>
      <c r="G578" s="61"/>
      <c r="H578" s="61"/>
      <c r="I578" s="61"/>
      <c r="J578" s="61"/>
      <c r="K578" s="3" t="str">
        <f t="shared" ref="K578:K641" si="9">IF(OR(B578&lt;$N$1,B578&gt;$P$1),"fail","pass")</f>
        <v>fail</v>
      </c>
      <c r="L578" s="19" t="str">
        <f>IFERROR(IF(AND(MATCH(A578,Projection_classes,0),YEAR(current_date)=Projections!B578),"pass","fail"),"")</f>
        <v/>
      </c>
    </row>
    <row r="579" spans="1:12" x14ac:dyDescent="0.25">
      <c r="A579" s="64"/>
      <c r="B579" s="64"/>
      <c r="C579" s="65"/>
      <c r="D579" s="65"/>
      <c r="E579" s="65"/>
      <c r="F579" s="61"/>
      <c r="G579" s="61"/>
      <c r="H579" s="61"/>
      <c r="I579" s="61"/>
      <c r="J579" s="61"/>
      <c r="K579" s="3" t="str">
        <f t="shared" si="9"/>
        <v>fail</v>
      </c>
      <c r="L579" s="19" t="str">
        <f>IFERROR(IF(AND(MATCH(A579,Projection_classes,0),YEAR(current_date)=Projections!B579),"pass","fail"),"")</f>
        <v/>
      </c>
    </row>
    <row r="580" spans="1:12" x14ac:dyDescent="0.25">
      <c r="A580" s="64"/>
      <c r="B580" s="64"/>
      <c r="C580" s="65"/>
      <c r="D580" s="65"/>
      <c r="E580" s="65"/>
      <c r="F580" s="61"/>
      <c r="G580" s="61"/>
      <c r="H580" s="61"/>
      <c r="I580" s="61"/>
      <c r="J580" s="61"/>
      <c r="K580" s="3" t="str">
        <f t="shared" si="9"/>
        <v>fail</v>
      </c>
      <c r="L580" s="19" t="str">
        <f>IFERROR(IF(AND(MATCH(A580,Projection_classes,0),YEAR(current_date)=Projections!B580),"pass","fail"),"")</f>
        <v/>
      </c>
    </row>
    <row r="581" spans="1:12" x14ac:dyDescent="0.25">
      <c r="A581" s="64"/>
      <c r="B581" s="64"/>
      <c r="C581" s="65"/>
      <c r="D581" s="65"/>
      <c r="E581" s="65"/>
      <c r="F581" s="61"/>
      <c r="G581" s="61"/>
      <c r="H581" s="61"/>
      <c r="I581" s="61"/>
      <c r="J581" s="61"/>
      <c r="K581" s="3" t="str">
        <f t="shared" si="9"/>
        <v>fail</v>
      </c>
      <c r="L581" s="19" t="str">
        <f>IFERROR(IF(AND(MATCH(A581,Projection_classes,0),YEAR(current_date)=Projections!B581),"pass","fail"),"")</f>
        <v/>
      </c>
    </row>
    <row r="582" spans="1:12" x14ac:dyDescent="0.25">
      <c r="A582" s="64"/>
      <c r="B582" s="64"/>
      <c r="C582" s="65"/>
      <c r="D582" s="65"/>
      <c r="E582" s="65"/>
      <c r="F582" s="61"/>
      <c r="G582" s="61"/>
      <c r="H582" s="61"/>
      <c r="I582" s="61"/>
      <c r="J582" s="61"/>
      <c r="K582" s="3" t="str">
        <f t="shared" si="9"/>
        <v>fail</v>
      </c>
      <c r="L582" s="19" t="str">
        <f>IFERROR(IF(AND(MATCH(A582,Projection_classes,0),YEAR(current_date)=Projections!B582),"pass","fail"),"")</f>
        <v/>
      </c>
    </row>
    <row r="583" spans="1:12" x14ac:dyDescent="0.25">
      <c r="A583" s="64"/>
      <c r="B583" s="64"/>
      <c r="C583" s="65"/>
      <c r="D583" s="65"/>
      <c r="E583" s="65"/>
      <c r="F583" s="61"/>
      <c r="G583" s="61"/>
      <c r="H583" s="61"/>
      <c r="I583" s="61"/>
      <c r="J583" s="61"/>
      <c r="K583" s="3" t="str">
        <f t="shared" si="9"/>
        <v>fail</v>
      </c>
      <c r="L583" s="19" t="str">
        <f>IFERROR(IF(AND(MATCH(A583,Projection_classes,0),YEAR(current_date)=Projections!B583),"pass","fail"),"")</f>
        <v/>
      </c>
    </row>
    <row r="584" spans="1:12" x14ac:dyDescent="0.25">
      <c r="A584" s="64"/>
      <c r="B584" s="64"/>
      <c r="C584" s="65"/>
      <c r="D584" s="65"/>
      <c r="E584" s="65"/>
      <c r="F584" s="61"/>
      <c r="G584" s="61"/>
      <c r="H584" s="61"/>
      <c r="I584" s="61"/>
      <c r="J584" s="61"/>
      <c r="K584" s="3" t="str">
        <f t="shared" si="9"/>
        <v>fail</v>
      </c>
      <c r="L584" s="19" t="str">
        <f>IFERROR(IF(AND(MATCH(A584,Projection_classes,0),YEAR(current_date)=Projections!B584),"pass","fail"),"")</f>
        <v/>
      </c>
    </row>
    <row r="585" spans="1:12" x14ac:dyDescent="0.25">
      <c r="A585" s="64"/>
      <c r="B585" s="64"/>
      <c r="C585" s="65"/>
      <c r="D585" s="65"/>
      <c r="E585" s="65"/>
      <c r="F585" s="61"/>
      <c r="G585" s="61"/>
      <c r="H585" s="61"/>
      <c r="I585" s="61"/>
      <c r="J585" s="61"/>
      <c r="K585" s="3" t="str">
        <f t="shared" si="9"/>
        <v>fail</v>
      </c>
      <c r="L585" s="19" t="str">
        <f>IFERROR(IF(AND(MATCH(A585,Projection_classes,0),YEAR(current_date)=Projections!B585),"pass","fail"),"")</f>
        <v/>
      </c>
    </row>
    <row r="586" spans="1:12" x14ac:dyDescent="0.25">
      <c r="A586" s="64"/>
      <c r="B586" s="64"/>
      <c r="C586" s="65"/>
      <c r="D586" s="65"/>
      <c r="E586" s="65"/>
      <c r="F586" s="61"/>
      <c r="G586" s="61"/>
      <c r="H586" s="61"/>
      <c r="I586" s="61"/>
      <c r="J586" s="61"/>
      <c r="K586" s="3" t="str">
        <f t="shared" si="9"/>
        <v>fail</v>
      </c>
      <c r="L586" s="19" t="str">
        <f>IFERROR(IF(AND(MATCH(A586,Projection_classes,0),YEAR(current_date)=Projections!B586),"pass","fail"),"")</f>
        <v/>
      </c>
    </row>
    <row r="587" spans="1:12" x14ac:dyDescent="0.25">
      <c r="A587" s="64"/>
      <c r="B587" s="64"/>
      <c r="C587" s="65"/>
      <c r="D587" s="65"/>
      <c r="E587" s="65"/>
      <c r="F587" s="61"/>
      <c r="G587" s="61"/>
      <c r="H587" s="61"/>
      <c r="I587" s="61"/>
      <c r="J587" s="61"/>
      <c r="K587" s="3" t="str">
        <f t="shared" si="9"/>
        <v>fail</v>
      </c>
      <c r="L587" s="19" t="str">
        <f>IFERROR(IF(AND(MATCH(A587,Projection_classes,0),YEAR(current_date)=Projections!B587),"pass","fail"),"")</f>
        <v/>
      </c>
    </row>
    <row r="588" spans="1:12" x14ac:dyDescent="0.25">
      <c r="A588" s="64"/>
      <c r="B588" s="64"/>
      <c r="C588" s="65"/>
      <c r="D588" s="65"/>
      <c r="E588" s="65"/>
      <c r="F588" s="61"/>
      <c r="G588" s="61"/>
      <c r="H588" s="61"/>
      <c r="I588" s="61"/>
      <c r="J588" s="61"/>
      <c r="K588" s="3" t="str">
        <f t="shared" si="9"/>
        <v>fail</v>
      </c>
      <c r="L588" s="19" t="str">
        <f>IFERROR(IF(AND(MATCH(A588,Projection_classes,0),YEAR(current_date)=Projections!B588),"pass","fail"),"")</f>
        <v/>
      </c>
    </row>
    <row r="589" spans="1:12" x14ac:dyDescent="0.25">
      <c r="A589" s="64"/>
      <c r="B589" s="64"/>
      <c r="C589" s="65"/>
      <c r="D589" s="65"/>
      <c r="E589" s="65"/>
      <c r="F589" s="61"/>
      <c r="G589" s="61"/>
      <c r="H589" s="61"/>
      <c r="I589" s="61"/>
      <c r="J589" s="61"/>
      <c r="K589" s="3" t="str">
        <f t="shared" si="9"/>
        <v>fail</v>
      </c>
      <c r="L589" s="19" t="str">
        <f>IFERROR(IF(AND(MATCH(A589,Projection_classes,0),YEAR(current_date)=Projections!B589),"pass","fail"),"")</f>
        <v/>
      </c>
    </row>
    <row r="590" spans="1:12" x14ac:dyDescent="0.25">
      <c r="A590" s="64"/>
      <c r="B590" s="64"/>
      <c r="C590" s="65"/>
      <c r="D590" s="65"/>
      <c r="E590" s="65"/>
      <c r="F590" s="61"/>
      <c r="G590" s="61"/>
      <c r="H590" s="61"/>
      <c r="I590" s="61"/>
      <c r="J590" s="61"/>
      <c r="K590" s="3" t="str">
        <f t="shared" si="9"/>
        <v>fail</v>
      </c>
      <c r="L590" s="19" t="str">
        <f>IFERROR(IF(AND(MATCH(A590,Projection_classes,0),YEAR(current_date)=Projections!B590),"pass","fail"),"")</f>
        <v/>
      </c>
    </row>
    <row r="591" spans="1:12" x14ac:dyDescent="0.25">
      <c r="A591" s="64"/>
      <c r="B591" s="64"/>
      <c r="C591" s="65"/>
      <c r="D591" s="65"/>
      <c r="E591" s="65"/>
      <c r="F591" s="61"/>
      <c r="G591" s="61"/>
      <c r="H591" s="61"/>
      <c r="I591" s="61"/>
      <c r="J591" s="61"/>
      <c r="K591" s="3" t="str">
        <f t="shared" si="9"/>
        <v>fail</v>
      </c>
      <c r="L591" s="19" t="str">
        <f>IFERROR(IF(AND(MATCH(A591,Projection_classes,0),YEAR(current_date)=Projections!B591),"pass","fail"),"")</f>
        <v/>
      </c>
    </row>
    <row r="592" spans="1:12" x14ac:dyDescent="0.25">
      <c r="A592" s="64"/>
      <c r="B592" s="64"/>
      <c r="C592" s="65"/>
      <c r="D592" s="65"/>
      <c r="E592" s="65"/>
      <c r="F592" s="61"/>
      <c r="G592" s="61"/>
      <c r="H592" s="61"/>
      <c r="I592" s="61"/>
      <c r="J592" s="61"/>
      <c r="K592" s="3" t="str">
        <f t="shared" si="9"/>
        <v>fail</v>
      </c>
      <c r="L592" s="19" t="str">
        <f>IFERROR(IF(AND(MATCH(A592,Projection_classes,0),YEAR(current_date)=Projections!B592),"pass","fail"),"")</f>
        <v/>
      </c>
    </row>
    <row r="593" spans="1:12" x14ac:dyDescent="0.25">
      <c r="A593" s="64"/>
      <c r="B593" s="64"/>
      <c r="C593" s="65"/>
      <c r="D593" s="65"/>
      <c r="E593" s="65"/>
      <c r="F593" s="61"/>
      <c r="G593" s="61"/>
      <c r="H593" s="61"/>
      <c r="I593" s="61"/>
      <c r="J593" s="61"/>
      <c r="K593" s="3" t="str">
        <f t="shared" si="9"/>
        <v>fail</v>
      </c>
      <c r="L593" s="19" t="str">
        <f>IFERROR(IF(AND(MATCH(A593,Projection_classes,0),YEAR(current_date)=Projections!B593),"pass","fail"),"")</f>
        <v/>
      </c>
    </row>
    <row r="594" spans="1:12" x14ac:dyDescent="0.25">
      <c r="A594" s="64"/>
      <c r="B594" s="64"/>
      <c r="C594" s="65"/>
      <c r="D594" s="65"/>
      <c r="E594" s="65"/>
      <c r="F594" s="61"/>
      <c r="G594" s="61"/>
      <c r="H594" s="61"/>
      <c r="I594" s="61"/>
      <c r="J594" s="61"/>
      <c r="K594" s="3" t="str">
        <f t="shared" si="9"/>
        <v>fail</v>
      </c>
      <c r="L594" s="19" t="str">
        <f>IFERROR(IF(AND(MATCH(A594,Projection_classes,0),YEAR(current_date)=Projections!B594),"pass","fail"),"")</f>
        <v/>
      </c>
    </row>
    <row r="595" spans="1:12" x14ac:dyDescent="0.25">
      <c r="A595" s="64"/>
      <c r="B595" s="64"/>
      <c r="C595" s="65"/>
      <c r="D595" s="65"/>
      <c r="E595" s="65"/>
      <c r="F595" s="61"/>
      <c r="G595" s="61"/>
      <c r="H595" s="61"/>
      <c r="I595" s="61"/>
      <c r="J595" s="61"/>
      <c r="K595" s="3" t="str">
        <f t="shared" si="9"/>
        <v>fail</v>
      </c>
      <c r="L595" s="19" t="str">
        <f>IFERROR(IF(AND(MATCH(A595,Projection_classes,0),YEAR(current_date)=Projections!B595),"pass","fail"),"")</f>
        <v/>
      </c>
    </row>
    <row r="596" spans="1:12" x14ac:dyDescent="0.25">
      <c r="A596" s="64"/>
      <c r="B596" s="64"/>
      <c r="C596" s="65"/>
      <c r="D596" s="65"/>
      <c r="E596" s="65"/>
      <c r="F596" s="61"/>
      <c r="G596" s="61"/>
      <c r="H596" s="61"/>
      <c r="I596" s="61"/>
      <c r="J596" s="61"/>
      <c r="K596" s="3" t="str">
        <f t="shared" si="9"/>
        <v>fail</v>
      </c>
      <c r="L596" s="19" t="str">
        <f>IFERROR(IF(AND(MATCH(A596,Projection_classes,0),YEAR(current_date)=Projections!B596),"pass","fail"),"")</f>
        <v/>
      </c>
    </row>
    <row r="597" spans="1:12" x14ac:dyDescent="0.25">
      <c r="A597" s="64"/>
      <c r="B597" s="64"/>
      <c r="C597" s="65"/>
      <c r="D597" s="65"/>
      <c r="E597" s="65"/>
      <c r="F597" s="61"/>
      <c r="G597" s="61"/>
      <c r="H597" s="61"/>
      <c r="I597" s="61"/>
      <c r="J597" s="61"/>
      <c r="K597" s="3" t="str">
        <f t="shared" si="9"/>
        <v>fail</v>
      </c>
      <c r="L597" s="19" t="str">
        <f>IFERROR(IF(AND(MATCH(A597,Projection_classes,0),YEAR(current_date)=Projections!B597),"pass","fail"),"")</f>
        <v/>
      </c>
    </row>
    <row r="598" spans="1:12" x14ac:dyDescent="0.25">
      <c r="A598" s="64"/>
      <c r="B598" s="64"/>
      <c r="C598" s="65"/>
      <c r="D598" s="65"/>
      <c r="E598" s="65"/>
      <c r="F598" s="61"/>
      <c r="G598" s="61"/>
      <c r="H598" s="61"/>
      <c r="I598" s="61"/>
      <c r="J598" s="61"/>
      <c r="K598" s="3" t="str">
        <f t="shared" si="9"/>
        <v>fail</v>
      </c>
      <c r="L598" s="19" t="str">
        <f>IFERROR(IF(AND(MATCH(A598,Projection_classes,0),YEAR(current_date)=Projections!B598),"pass","fail"),"")</f>
        <v/>
      </c>
    </row>
    <row r="599" spans="1:12" x14ac:dyDescent="0.25">
      <c r="A599" s="64"/>
      <c r="B599" s="64"/>
      <c r="C599" s="65"/>
      <c r="D599" s="65"/>
      <c r="E599" s="65"/>
      <c r="F599" s="61"/>
      <c r="G599" s="61"/>
      <c r="H599" s="61"/>
      <c r="I599" s="61"/>
      <c r="J599" s="61"/>
      <c r="K599" s="3" t="str">
        <f t="shared" si="9"/>
        <v>fail</v>
      </c>
      <c r="L599" s="19" t="str">
        <f>IFERROR(IF(AND(MATCH(A599,Projection_classes,0),YEAR(current_date)=Projections!B599),"pass","fail"),"")</f>
        <v/>
      </c>
    </row>
    <row r="600" spans="1:12" x14ac:dyDescent="0.25">
      <c r="A600" s="64"/>
      <c r="B600" s="64"/>
      <c r="C600" s="65"/>
      <c r="D600" s="65"/>
      <c r="E600" s="65"/>
      <c r="F600" s="61"/>
      <c r="G600" s="61"/>
      <c r="H600" s="61"/>
      <c r="I600" s="61"/>
      <c r="J600" s="61"/>
      <c r="K600" s="3" t="str">
        <f t="shared" si="9"/>
        <v>fail</v>
      </c>
      <c r="L600" s="19" t="str">
        <f>IFERROR(IF(AND(MATCH(A600,Projection_classes,0),YEAR(current_date)=Projections!B600),"pass","fail"),"")</f>
        <v/>
      </c>
    </row>
    <row r="601" spans="1:12" x14ac:dyDescent="0.25">
      <c r="A601" s="64"/>
      <c r="B601" s="64"/>
      <c r="C601" s="65"/>
      <c r="D601" s="65"/>
      <c r="E601" s="65"/>
      <c r="F601" s="61"/>
      <c r="G601" s="61"/>
      <c r="H601" s="61"/>
      <c r="I601" s="61"/>
      <c r="J601" s="61"/>
      <c r="K601" s="3" t="str">
        <f t="shared" si="9"/>
        <v>fail</v>
      </c>
      <c r="L601" s="19" t="str">
        <f>IFERROR(IF(AND(MATCH(A601,Projection_classes,0),YEAR(current_date)=Projections!B601),"pass","fail"),"")</f>
        <v/>
      </c>
    </row>
    <row r="602" spans="1:12" x14ac:dyDescent="0.25">
      <c r="A602" s="64"/>
      <c r="B602" s="64"/>
      <c r="C602" s="65"/>
      <c r="D602" s="65"/>
      <c r="E602" s="65"/>
      <c r="F602" s="61"/>
      <c r="G602" s="61"/>
      <c r="H602" s="61"/>
      <c r="I602" s="61"/>
      <c r="J602" s="61"/>
      <c r="K602" s="3" t="str">
        <f t="shared" si="9"/>
        <v>fail</v>
      </c>
      <c r="L602" s="19" t="str">
        <f>IFERROR(IF(AND(MATCH(A602,Projection_classes,0),YEAR(current_date)=Projections!B602),"pass","fail"),"")</f>
        <v/>
      </c>
    </row>
    <row r="603" spans="1:12" x14ac:dyDescent="0.25">
      <c r="A603" s="64"/>
      <c r="B603" s="64"/>
      <c r="C603" s="65"/>
      <c r="D603" s="65"/>
      <c r="E603" s="65"/>
      <c r="F603" s="61"/>
      <c r="G603" s="61"/>
      <c r="H603" s="61"/>
      <c r="I603" s="61"/>
      <c r="J603" s="61"/>
      <c r="K603" s="3" t="str">
        <f t="shared" si="9"/>
        <v>fail</v>
      </c>
      <c r="L603" s="19" t="str">
        <f>IFERROR(IF(AND(MATCH(A603,Projection_classes,0),YEAR(current_date)=Projections!B603),"pass","fail"),"")</f>
        <v/>
      </c>
    </row>
    <row r="604" spans="1:12" x14ac:dyDescent="0.25">
      <c r="A604" s="64"/>
      <c r="B604" s="64"/>
      <c r="C604" s="65"/>
      <c r="D604" s="65"/>
      <c r="E604" s="65"/>
      <c r="F604" s="61"/>
      <c r="G604" s="61"/>
      <c r="H604" s="61"/>
      <c r="I604" s="61"/>
      <c r="J604" s="61"/>
      <c r="K604" s="3" t="str">
        <f t="shared" si="9"/>
        <v>fail</v>
      </c>
      <c r="L604" s="19" t="str">
        <f>IFERROR(IF(AND(MATCH(A604,Projection_classes,0),YEAR(current_date)=Projections!B604),"pass","fail"),"")</f>
        <v/>
      </c>
    </row>
    <row r="605" spans="1:12" x14ac:dyDescent="0.25">
      <c r="A605" s="64"/>
      <c r="B605" s="64"/>
      <c r="C605" s="65"/>
      <c r="D605" s="65"/>
      <c r="E605" s="65"/>
      <c r="F605" s="61"/>
      <c r="G605" s="61"/>
      <c r="H605" s="61"/>
      <c r="I605" s="61"/>
      <c r="J605" s="61"/>
      <c r="K605" s="3" t="str">
        <f t="shared" si="9"/>
        <v>fail</v>
      </c>
      <c r="L605" s="19" t="str">
        <f>IFERROR(IF(AND(MATCH(A605,Projection_classes,0),YEAR(current_date)=Projections!B605),"pass","fail"),"")</f>
        <v/>
      </c>
    </row>
    <row r="606" spans="1:12" x14ac:dyDescent="0.25">
      <c r="A606" s="64"/>
      <c r="B606" s="64"/>
      <c r="C606" s="65"/>
      <c r="D606" s="65"/>
      <c r="E606" s="65"/>
      <c r="F606" s="61"/>
      <c r="G606" s="61"/>
      <c r="H606" s="61"/>
      <c r="I606" s="61"/>
      <c r="J606" s="61"/>
      <c r="K606" s="3" t="str">
        <f t="shared" si="9"/>
        <v>fail</v>
      </c>
      <c r="L606" s="19" t="str">
        <f>IFERROR(IF(AND(MATCH(A606,Projection_classes,0),YEAR(current_date)=Projections!B606),"pass","fail"),"")</f>
        <v/>
      </c>
    </row>
    <row r="607" spans="1:12" x14ac:dyDescent="0.25">
      <c r="A607" s="64"/>
      <c r="B607" s="64"/>
      <c r="C607" s="65"/>
      <c r="D607" s="65"/>
      <c r="E607" s="65"/>
      <c r="F607" s="61"/>
      <c r="G607" s="61"/>
      <c r="H607" s="61"/>
      <c r="I607" s="61"/>
      <c r="J607" s="61"/>
      <c r="K607" s="3" t="str">
        <f t="shared" si="9"/>
        <v>fail</v>
      </c>
      <c r="L607" s="19" t="str">
        <f>IFERROR(IF(AND(MATCH(A607,Projection_classes,0),YEAR(current_date)=Projections!B607),"pass","fail"),"")</f>
        <v/>
      </c>
    </row>
    <row r="608" spans="1:12" x14ac:dyDescent="0.25">
      <c r="A608" s="64"/>
      <c r="B608" s="64"/>
      <c r="C608" s="65"/>
      <c r="D608" s="65"/>
      <c r="E608" s="65"/>
      <c r="F608" s="61"/>
      <c r="G608" s="61"/>
      <c r="H608" s="61"/>
      <c r="I608" s="61"/>
      <c r="J608" s="61"/>
      <c r="K608" s="3" t="str">
        <f t="shared" si="9"/>
        <v>fail</v>
      </c>
      <c r="L608" s="19" t="str">
        <f>IFERROR(IF(AND(MATCH(A608,Projection_classes,0),YEAR(current_date)=Projections!B608),"pass","fail"),"")</f>
        <v/>
      </c>
    </row>
    <row r="609" spans="1:12" x14ac:dyDescent="0.25">
      <c r="A609" s="64"/>
      <c r="B609" s="64"/>
      <c r="C609" s="65"/>
      <c r="D609" s="65"/>
      <c r="E609" s="65"/>
      <c r="F609" s="61"/>
      <c r="G609" s="61"/>
      <c r="H609" s="61"/>
      <c r="I609" s="61"/>
      <c r="J609" s="61"/>
      <c r="K609" s="3" t="str">
        <f t="shared" si="9"/>
        <v>fail</v>
      </c>
      <c r="L609" s="19" t="str">
        <f>IFERROR(IF(AND(MATCH(A609,Projection_classes,0),YEAR(current_date)=Projections!B609),"pass","fail"),"")</f>
        <v/>
      </c>
    </row>
    <row r="610" spans="1:12" x14ac:dyDescent="0.25">
      <c r="A610" s="64"/>
      <c r="B610" s="64"/>
      <c r="C610" s="65"/>
      <c r="D610" s="65"/>
      <c r="E610" s="65"/>
      <c r="F610" s="61"/>
      <c r="G610" s="61"/>
      <c r="H610" s="61"/>
      <c r="I610" s="61"/>
      <c r="J610" s="61"/>
      <c r="K610" s="3" t="str">
        <f t="shared" si="9"/>
        <v>fail</v>
      </c>
      <c r="L610" s="19" t="str">
        <f>IFERROR(IF(AND(MATCH(A610,Projection_classes,0),YEAR(current_date)=Projections!B610),"pass","fail"),"")</f>
        <v/>
      </c>
    </row>
    <row r="611" spans="1:12" x14ac:dyDescent="0.25">
      <c r="A611" s="64"/>
      <c r="B611" s="64"/>
      <c r="C611" s="65"/>
      <c r="D611" s="65"/>
      <c r="E611" s="65"/>
      <c r="F611" s="61"/>
      <c r="G611" s="61"/>
      <c r="H611" s="61"/>
      <c r="I611" s="61"/>
      <c r="J611" s="61"/>
      <c r="K611" s="3" t="str">
        <f t="shared" si="9"/>
        <v>fail</v>
      </c>
      <c r="L611" s="19" t="str">
        <f>IFERROR(IF(AND(MATCH(A611,Projection_classes,0),YEAR(current_date)=Projections!B611),"pass","fail"),"")</f>
        <v/>
      </c>
    </row>
    <row r="612" spans="1:12" x14ac:dyDescent="0.25">
      <c r="A612" s="64"/>
      <c r="B612" s="64"/>
      <c r="C612" s="65"/>
      <c r="D612" s="65"/>
      <c r="E612" s="65"/>
      <c r="F612" s="61"/>
      <c r="G612" s="61"/>
      <c r="H612" s="61"/>
      <c r="I612" s="61"/>
      <c r="J612" s="61"/>
      <c r="K612" s="3" t="str">
        <f t="shared" si="9"/>
        <v>fail</v>
      </c>
      <c r="L612" s="19" t="str">
        <f>IFERROR(IF(AND(MATCH(A612,Projection_classes,0),YEAR(current_date)=Projections!B612),"pass","fail"),"")</f>
        <v/>
      </c>
    </row>
    <row r="613" spans="1:12" x14ac:dyDescent="0.25">
      <c r="A613" s="64"/>
      <c r="B613" s="64"/>
      <c r="C613" s="65"/>
      <c r="D613" s="65"/>
      <c r="E613" s="65"/>
      <c r="F613" s="61"/>
      <c r="G613" s="61"/>
      <c r="H613" s="61"/>
      <c r="I613" s="61"/>
      <c r="J613" s="61"/>
      <c r="K613" s="3" t="str">
        <f t="shared" si="9"/>
        <v>fail</v>
      </c>
      <c r="L613" s="19" t="str">
        <f>IFERROR(IF(AND(MATCH(A613,Projection_classes,0),YEAR(current_date)=Projections!B613),"pass","fail"),"")</f>
        <v/>
      </c>
    </row>
    <row r="614" spans="1:12" x14ac:dyDescent="0.25">
      <c r="A614" s="64"/>
      <c r="B614" s="64"/>
      <c r="C614" s="65"/>
      <c r="D614" s="65"/>
      <c r="E614" s="65"/>
      <c r="F614" s="61"/>
      <c r="G614" s="61"/>
      <c r="H614" s="61"/>
      <c r="I614" s="61"/>
      <c r="J614" s="61"/>
      <c r="K614" s="3" t="str">
        <f t="shared" si="9"/>
        <v>fail</v>
      </c>
      <c r="L614" s="19" t="str">
        <f>IFERROR(IF(AND(MATCH(A614,Projection_classes,0),YEAR(current_date)=Projections!B614),"pass","fail"),"")</f>
        <v/>
      </c>
    </row>
    <row r="615" spans="1:12" x14ac:dyDescent="0.25">
      <c r="A615" s="64"/>
      <c r="B615" s="64"/>
      <c r="C615" s="65"/>
      <c r="D615" s="65"/>
      <c r="E615" s="65"/>
      <c r="F615" s="61"/>
      <c r="G615" s="61"/>
      <c r="H615" s="61"/>
      <c r="I615" s="61"/>
      <c r="J615" s="61"/>
      <c r="K615" s="3" t="str">
        <f t="shared" si="9"/>
        <v>fail</v>
      </c>
      <c r="L615" s="19" t="str">
        <f>IFERROR(IF(AND(MATCH(A615,Projection_classes,0),YEAR(current_date)=Projections!B615),"pass","fail"),"")</f>
        <v/>
      </c>
    </row>
    <row r="616" spans="1:12" x14ac:dyDescent="0.25">
      <c r="A616" s="64"/>
      <c r="B616" s="64"/>
      <c r="C616" s="65"/>
      <c r="D616" s="65"/>
      <c r="E616" s="65"/>
      <c r="F616" s="61"/>
      <c r="G616" s="61"/>
      <c r="H616" s="61"/>
      <c r="I616" s="61"/>
      <c r="J616" s="61"/>
      <c r="K616" s="3" t="str">
        <f t="shared" si="9"/>
        <v>fail</v>
      </c>
      <c r="L616" s="19" t="str">
        <f>IFERROR(IF(AND(MATCH(A616,Projection_classes,0),YEAR(current_date)=Projections!B616),"pass","fail"),"")</f>
        <v/>
      </c>
    </row>
    <row r="617" spans="1:12" x14ac:dyDescent="0.25">
      <c r="A617" s="64"/>
      <c r="B617" s="64"/>
      <c r="C617" s="65"/>
      <c r="D617" s="65"/>
      <c r="E617" s="65"/>
      <c r="F617" s="61"/>
      <c r="G617" s="61"/>
      <c r="H617" s="61"/>
      <c r="I617" s="61"/>
      <c r="J617" s="61"/>
      <c r="K617" s="3" t="str">
        <f t="shared" si="9"/>
        <v>fail</v>
      </c>
      <c r="L617" s="19" t="str">
        <f>IFERROR(IF(AND(MATCH(A617,Projection_classes,0),YEAR(current_date)=Projections!B617),"pass","fail"),"")</f>
        <v/>
      </c>
    </row>
    <row r="618" spans="1:12" x14ac:dyDescent="0.25">
      <c r="A618" s="64"/>
      <c r="B618" s="64"/>
      <c r="C618" s="65"/>
      <c r="D618" s="65"/>
      <c r="E618" s="65"/>
      <c r="F618" s="61"/>
      <c r="G618" s="61"/>
      <c r="H618" s="61"/>
      <c r="I618" s="61"/>
      <c r="J618" s="61"/>
      <c r="K618" s="3" t="str">
        <f t="shared" si="9"/>
        <v>fail</v>
      </c>
      <c r="L618" s="19" t="str">
        <f>IFERROR(IF(AND(MATCH(A618,Projection_classes,0),YEAR(current_date)=Projections!B618),"pass","fail"),"")</f>
        <v/>
      </c>
    </row>
    <row r="619" spans="1:12" x14ac:dyDescent="0.25">
      <c r="A619" s="64"/>
      <c r="B619" s="64"/>
      <c r="C619" s="65"/>
      <c r="D619" s="65"/>
      <c r="E619" s="65"/>
      <c r="F619" s="61"/>
      <c r="G619" s="61"/>
      <c r="H619" s="61"/>
      <c r="I619" s="61"/>
      <c r="J619" s="61"/>
      <c r="K619" s="3" t="str">
        <f t="shared" si="9"/>
        <v>fail</v>
      </c>
      <c r="L619" s="19" t="str">
        <f>IFERROR(IF(AND(MATCH(A619,Projection_classes,0),YEAR(current_date)=Projections!B619),"pass","fail"),"")</f>
        <v/>
      </c>
    </row>
    <row r="620" spans="1:12" x14ac:dyDescent="0.25">
      <c r="A620" s="64"/>
      <c r="B620" s="64"/>
      <c r="C620" s="65"/>
      <c r="D620" s="65"/>
      <c r="E620" s="65"/>
      <c r="F620" s="61"/>
      <c r="G620" s="61"/>
      <c r="H620" s="61"/>
      <c r="I620" s="61"/>
      <c r="J620" s="61"/>
      <c r="K620" s="3" t="str">
        <f t="shared" si="9"/>
        <v>fail</v>
      </c>
      <c r="L620" s="19" t="str">
        <f>IFERROR(IF(AND(MATCH(A620,Projection_classes,0),YEAR(current_date)=Projections!B620),"pass","fail"),"")</f>
        <v/>
      </c>
    </row>
    <row r="621" spans="1:12" x14ac:dyDescent="0.25">
      <c r="A621" s="64"/>
      <c r="B621" s="64"/>
      <c r="C621" s="65"/>
      <c r="D621" s="65"/>
      <c r="E621" s="65"/>
      <c r="F621" s="61"/>
      <c r="G621" s="61"/>
      <c r="H621" s="61"/>
      <c r="I621" s="61"/>
      <c r="J621" s="61"/>
      <c r="K621" s="3" t="str">
        <f t="shared" si="9"/>
        <v>fail</v>
      </c>
      <c r="L621" s="19" t="str">
        <f>IFERROR(IF(AND(MATCH(A621,Projection_classes,0),YEAR(current_date)=Projections!B621),"pass","fail"),"")</f>
        <v/>
      </c>
    </row>
    <row r="622" spans="1:12" x14ac:dyDescent="0.25">
      <c r="A622" s="64"/>
      <c r="B622" s="64"/>
      <c r="C622" s="65"/>
      <c r="D622" s="65"/>
      <c r="E622" s="65"/>
      <c r="F622" s="61"/>
      <c r="G622" s="61"/>
      <c r="H622" s="61"/>
      <c r="I622" s="61"/>
      <c r="J622" s="61"/>
      <c r="K622" s="3" t="str">
        <f t="shared" si="9"/>
        <v>fail</v>
      </c>
      <c r="L622" s="19" t="str">
        <f>IFERROR(IF(AND(MATCH(A622,Projection_classes,0),YEAR(current_date)=Projections!B622),"pass","fail"),"")</f>
        <v/>
      </c>
    </row>
    <row r="623" spans="1:12" x14ac:dyDescent="0.25">
      <c r="A623" s="64"/>
      <c r="B623" s="64"/>
      <c r="C623" s="65"/>
      <c r="D623" s="65"/>
      <c r="E623" s="65"/>
      <c r="F623" s="61"/>
      <c r="G623" s="61"/>
      <c r="H623" s="61"/>
      <c r="I623" s="61"/>
      <c r="J623" s="61"/>
      <c r="K623" s="3" t="str">
        <f t="shared" si="9"/>
        <v>fail</v>
      </c>
      <c r="L623" s="19" t="str">
        <f>IFERROR(IF(AND(MATCH(A623,Projection_classes,0),YEAR(current_date)=Projections!B623),"pass","fail"),"")</f>
        <v/>
      </c>
    </row>
    <row r="624" spans="1:12" x14ac:dyDescent="0.25">
      <c r="A624" s="64"/>
      <c r="B624" s="64"/>
      <c r="C624" s="65"/>
      <c r="D624" s="65"/>
      <c r="E624" s="65"/>
      <c r="F624" s="61"/>
      <c r="G624" s="61"/>
      <c r="H624" s="61"/>
      <c r="I624" s="61"/>
      <c r="J624" s="61"/>
      <c r="K624" s="3" t="str">
        <f t="shared" si="9"/>
        <v>fail</v>
      </c>
      <c r="L624" s="19" t="str">
        <f>IFERROR(IF(AND(MATCH(A624,Projection_classes,0),YEAR(current_date)=Projections!B624),"pass","fail"),"")</f>
        <v/>
      </c>
    </row>
    <row r="625" spans="1:12" x14ac:dyDescent="0.25">
      <c r="A625" s="64"/>
      <c r="B625" s="64"/>
      <c r="C625" s="65"/>
      <c r="D625" s="65"/>
      <c r="E625" s="65"/>
      <c r="F625" s="61"/>
      <c r="G625" s="61"/>
      <c r="H625" s="61"/>
      <c r="I625" s="61"/>
      <c r="J625" s="61"/>
      <c r="K625" s="3" t="str">
        <f t="shared" si="9"/>
        <v>fail</v>
      </c>
      <c r="L625" s="19" t="str">
        <f>IFERROR(IF(AND(MATCH(A625,Projection_classes,0),YEAR(current_date)=Projections!B625),"pass","fail"),"")</f>
        <v/>
      </c>
    </row>
    <row r="626" spans="1:12" x14ac:dyDescent="0.25">
      <c r="A626" s="64"/>
      <c r="B626" s="64"/>
      <c r="C626" s="65"/>
      <c r="D626" s="65"/>
      <c r="E626" s="65"/>
      <c r="F626" s="61"/>
      <c r="G626" s="61"/>
      <c r="H626" s="61"/>
      <c r="I626" s="61"/>
      <c r="J626" s="61"/>
      <c r="K626" s="3" t="str">
        <f t="shared" si="9"/>
        <v>fail</v>
      </c>
      <c r="L626" s="19" t="str">
        <f>IFERROR(IF(AND(MATCH(A626,Projection_classes,0),YEAR(current_date)=Projections!B626),"pass","fail"),"")</f>
        <v/>
      </c>
    </row>
    <row r="627" spans="1:12" x14ac:dyDescent="0.25">
      <c r="A627" s="64"/>
      <c r="B627" s="64"/>
      <c r="C627" s="65"/>
      <c r="D627" s="65"/>
      <c r="E627" s="65"/>
      <c r="F627" s="61"/>
      <c r="G627" s="61"/>
      <c r="H627" s="61"/>
      <c r="I627" s="61"/>
      <c r="J627" s="61"/>
      <c r="K627" s="3" t="str">
        <f t="shared" si="9"/>
        <v>fail</v>
      </c>
      <c r="L627" s="19" t="str">
        <f>IFERROR(IF(AND(MATCH(A627,Projection_classes,0),YEAR(current_date)=Projections!B627),"pass","fail"),"")</f>
        <v/>
      </c>
    </row>
    <row r="628" spans="1:12" x14ac:dyDescent="0.25">
      <c r="A628" s="64"/>
      <c r="B628" s="64"/>
      <c r="C628" s="65"/>
      <c r="D628" s="65"/>
      <c r="E628" s="65"/>
      <c r="F628" s="61"/>
      <c r="G628" s="61"/>
      <c r="H628" s="61"/>
      <c r="I628" s="61"/>
      <c r="J628" s="61"/>
      <c r="K628" s="3" t="str">
        <f t="shared" si="9"/>
        <v>fail</v>
      </c>
      <c r="L628" s="19" t="str">
        <f>IFERROR(IF(AND(MATCH(A628,Projection_classes,0),YEAR(current_date)=Projections!B628),"pass","fail"),"")</f>
        <v/>
      </c>
    </row>
    <row r="629" spans="1:12" x14ac:dyDescent="0.25">
      <c r="A629" s="64"/>
      <c r="B629" s="64"/>
      <c r="C629" s="65"/>
      <c r="D629" s="65"/>
      <c r="E629" s="65"/>
      <c r="F629" s="61"/>
      <c r="G629" s="61"/>
      <c r="H629" s="61"/>
      <c r="I629" s="61"/>
      <c r="J629" s="61"/>
      <c r="K629" s="3" t="str">
        <f t="shared" si="9"/>
        <v>fail</v>
      </c>
      <c r="L629" s="19" t="str">
        <f>IFERROR(IF(AND(MATCH(A629,Projection_classes,0),YEAR(current_date)=Projections!B629),"pass","fail"),"")</f>
        <v/>
      </c>
    </row>
    <row r="630" spans="1:12" x14ac:dyDescent="0.25">
      <c r="A630" s="64"/>
      <c r="B630" s="64"/>
      <c r="C630" s="65"/>
      <c r="D630" s="65"/>
      <c r="E630" s="65"/>
      <c r="F630" s="61"/>
      <c r="G630" s="61"/>
      <c r="H630" s="61"/>
      <c r="I630" s="61"/>
      <c r="J630" s="61"/>
      <c r="K630" s="3" t="str">
        <f t="shared" si="9"/>
        <v>fail</v>
      </c>
      <c r="L630" s="19" t="str">
        <f>IFERROR(IF(AND(MATCH(A630,Projection_classes,0),YEAR(current_date)=Projections!B630),"pass","fail"),"")</f>
        <v/>
      </c>
    </row>
    <row r="631" spans="1:12" x14ac:dyDescent="0.25">
      <c r="A631" s="64"/>
      <c r="B631" s="64"/>
      <c r="C631" s="65"/>
      <c r="D631" s="65"/>
      <c r="E631" s="65"/>
      <c r="F631" s="61"/>
      <c r="G631" s="61"/>
      <c r="H631" s="61"/>
      <c r="I631" s="61"/>
      <c r="J631" s="61"/>
      <c r="K631" s="3" t="str">
        <f t="shared" si="9"/>
        <v>fail</v>
      </c>
      <c r="L631" s="19" t="str">
        <f>IFERROR(IF(AND(MATCH(A631,Projection_classes,0),YEAR(current_date)=Projections!B631),"pass","fail"),"")</f>
        <v/>
      </c>
    </row>
    <row r="632" spans="1:12" x14ac:dyDescent="0.25">
      <c r="A632" s="64"/>
      <c r="B632" s="64"/>
      <c r="C632" s="65"/>
      <c r="D632" s="65"/>
      <c r="E632" s="65"/>
      <c r="F632" s="61"/>
      <c r="G632" s="61"/>
      <c r="H632" s="61"/>
      <c r="I632" s="61"/>
      <c r="J632" s="61"/>
      <c r="K632" s="3" t="str">
        <f t="shared" si="9"/>
        <v>fail</v>
      </c>
      <c r="L632" s="19" t="str">
        <f>IFERROR(IF(AND(MATCH(A632,Projection_classes,0),YEAR(current_date)=Projections!B632),"pass","fail"),"")</f>
        <v/>
      </c>
    </row>
    <row r="633" spans="1:12" x14ac:dyDescent="0.25">
      <c r="A633" s="64"/>
      <c r="B633" s="64"/>
      <c r="C633" s="65"/>
      <c r="D633" s="65"/>
      <c r="E633" s="65"/>
      <c r="F633" s="61"/>
      <c r="G633" s="61"/>
      <c r="H633" s="61"/>
      <c r="I633" s="61"/>
      <c r="J633" s="61"/>
      <c r="K633" s="3" t="str">
        <f t="shared" si="9"/>
        <v>fail</v>
      </c>
      <c r="L633" s="19" t="str">
        <f>IFERROR(IF(AND(MATCH(A633,Projection_classes,0),YEAR(current_date)=Projections!B633),"pass","fail"),"")</f>
        <v/>
      </c>
    </row>
    <row r="634" spans="1:12" x14ac:dyDescent="0.25">
      <c r="A634" s="64"/>
      <c r="B634" s="64"/>
      <c r="C634" s="65"/>
      <c r="D634" s="65"/>
      <c r="E634" s="65"/>
      <c r="F634" s="61"/>
      <c r="G634" s="61"/>
      <c r="H634" s="61"/>
      <c r="I634" s="61"/>
      <c r="J634" s="61"/>
      <c r="K634" s="3" t="str">
        <f t="shared" si="9"/>
        <v>fail</v>
      </c>
      <c r="L634" s="19" t="str">
        <f>IFERROR(IF(AND(MATCH(A634,Projection_classes,0),YEAR(current_date)=Projections!B634),"pass","fail"),"")</f>
        <v/>
      </c>
    </row>
    <row r="635" spans="1:12" x14ac:dyDescent="0.25">
      <c r="A635" s="64"/>
      <c r="B635" s="64"/>
      <c r="C635" s="65"/>
      <c r="D635" s="65"/>
      <c r="E635" s="65"/>
      <c r="F635" s="61"/>
      <c r="G635" s="61"/>
      <c r="H635" s="61"/>
      <c r="I635" s="61"/>
      <c r="J635" s="61"/>
      <c r="K635" s="3" t="str">
        <f t="shared" si="9"/>
        <v>fail</v>
      </c>
      <c r="L635" s="19" t="str">
        <f>IFERROR(IF(AND(MATCH(A635,Projection_classes,0),YEAR(current_date)=Projections!B635),"pass","fail"),"")</f>
        <v/>
      </c>
    </row>
    <row r="636" spans="1:12" x14ac:dyDescent="0.25">
      <c r="A636" s="64"/>
      <c r="B636" s="64"/>
      <c r="C636" s="65"/>
      <c r="D636" s="65"/>
      <c r="E636" s="65"/>
      <c r="F636" s="61"/>
      <c r="G636" s="61"/>
      <c r="H636" s="61"/>
      <c r="I636" s="61"/>
      <c r="J636" s="61"/>
      <c r="K636" s="3" t="str">
        <f t="shared" si="9"/>
        <v>fail</v>
      </c>
      <c r="L636" s="19" t="str">
        <f>IFERROR(IF(AND(MATCH(A636,Projection_classes,0),YEAR(current_date)=Projections!B636),"pass","fail"),"")</f>
        <v/>
      </c>
    </row>
    <row r="637" spans="1:12" x14ac:dyDescent="0.25">
      <c r="A637" s="64"/>
      <c r="B637" s="64"/>
      <c r="C637" s="65"/>
      <c r="D637" s="65"/>
      <c r="E637" s="65"/>
      <c r="F637" s="61"/>
      <c r="G637" s="61"/>
      <c r="H637" s="61"/>
      <c r="I637" s="61"/>
      <c r="J637" s="61"/>
      <c r="K637" s="3" t="str">
        <f t="shared" si="9"/>
        <v>fail</v>
      </c>
      <c r="L637" s="19" t="str">
        <f>IFERROR(IF(AND(MATCH(A637,Projection_classes,0),YEAR(current_date)=Projections!B637),"pass","fail"),"")</f>
        <v/>
      </c>
    </row>
    <row r="638" spans="1:12" x14ac:dyDescent="0.25">
      <c r="A638" s="64"/>
      <c r="B638" s="64"/>
      <c r="C638" s="65"/>
      <c r="D638" s="65"/>
      <c r="E638" s="65"/>
      <c r="F638" s="61"/>
      <c r="G638" s="61"/>
      <c r="H638" s="61"/>
      <c r="I638" s="61"/>
      <c r="J638" s="61"/>
      <c r="K638" s="3" t="str">
        <f t="shared" si="9"/>
        <v>fail</v>
      </c>
      <c r="L638" s="19" t="str">
        <f>IFERROR(IF(AND(MATCH(A638,Projection_classes,0),YEAR(current_date)=Projections!B638),"pass","fail"),"")</f>
        <v/>
      </c>
    </row>
    <row r="639" spans="1:12" x14ac:dyDescent="0.25">
      <c r="A639" s="64"/>
      <c r="B639" s="64"/>
      <c r="C639" s="65"/>
      <c r="D639" s="65"/>
      <c r="E639" s="65"/>
      <c r="F639" s="61"/>
      <c r="G639" s="61"/>
      <c r="H639" s="61"/>
      <c r="I639" s="61"/>
      <c r="J639" s="61"/>
      <c r="K639" s="3" t="str">
        <f t="shared" si="9"/>
        <v>fail</v>
      </c>
      <c r="L639" s="19" t="str">
        <f>IFERROR(IF(AND(MATCH(A639,Projection_classes,0),YEAR(current_date)=Projections!B639),"pass","fail"),"")</f>
        <v/>
      </c>
    </row>
    <row r="640" spans="1:12" x14ac:dyDescent="0.25">
      <c r="A640" s="64"/>
      <c r="B640" s="64"/>
      <c r="C640" s="65"/>
      <c r="D640" s="65"/>
      <c r="E640" s="65"/>
      <c r="F640" s="61"/>
      <c r="G640" s="61"/>
      <c r="H640" s="61"/>
      <c r="I640" s="61"/>
      <c r="J640" s="61"/>
      <c r="K640" s="3" t="str">
        <f t="shared" si="9"/>
        <v>fail</v>
      </c>
      <c r="L640" s="19" t="str">
        <f>IFERROR(IF(AND(MATCH(A640,Projection_classes,0),YEAR(current_date)=Projections!B640),"pass","fail"),"")</f>
        <v/>
      </c>
    </row>
    <row r="641" spans="1:12" x14ac:dyDescent="0.25">
      <c r="A641" s="64"/>
      <c r="B641" s="64"/>
      <c r="C641" s="65"/>
      <c r="D641" s="65"/>
      <c r="E641" s="65"/>
      <c r="F641" s="61"/>
      <c r="G641" s="61"/>
      <c r="H641" s="61"/>
      <c r="I641" s="61"/>
      <c r="J641" s="61"/>
      <c r="K641" s="3" t="str">
        <f t="shared" si="9"/>
        <v>fail</v>
      </c>
      <c r="L641" s="19" t="str">
        <f>IFERROR(IF(AND(MATCH(A641,Projection_classes,0),YEAR(current_date)=Projections!B641),"pass","fail"),"")</f>
        <v/>
      </c>
    </row>
    <row r="642" spans="1:12" x14ac:dyDescent="0.25">
      <c r="A642" s="64"/>
      <c r="B642" s="64"/>
      <c r="C642" s="65"/>
      <c r="D642" s="65"/>
      <c r="E642" s="65"/>
      <c r="F642" s="61"/>
      <c r="G642" s="61"/>
      <c r="H642" s="61"/>
      <c r="I642" s="61"/>
      <c r="J642" s="61"/>
      <c r="K642" s="3" t="str">
        <f t="shared" ref="K642:K705" si="10">IF(OR(B642&lt;$N$1,B642&gt;$P$1),"fail","pass")</f>
        <v>fail</v>
      </c>
      <c r="L642" s="19" t="str">
        <f>IFERROR(IF(AND(MATCH(A642,Projection_classes,0),YEAR(current_date)=Projections!B642),"pass","fail"),"")</f>
        <v/>
      </c>
    </row>
    <row r="643" spans="1:12" x14ac:dyDescent="0.25">
      <c r="A643" s="64"/>
      <c r="B643" s="64"/>
      <c r="C643" s="65"/>
      <c r="D643" s="65"/>
      <c r="E643" s="65"/>
      <c r="F643" s="61"/>
      <c r="G643" s="61"/>
      <c r="H643" s="61"/>
      <c r="I643" s="61"/>
      <c r="J643" s="61"/>
      <c r="K643" s="3" t="str">
        <f t="shared" si="10"/>
        <v>fail</v>
      </c>
      <c r="L643" s="19" t="str">
        <f>IFERROR(IF(AND(MATCH(A643,Projection_classes,0),YEAR(current_date)=Projections!B643),"pass","fail"),"")</f>
        <v/>
      </c>
    </row>
    <row r="644" spans="1:12" x14ac:dyDescent="0.25">
      <c r="A644" s="64"/>
      <c r="B644" s="64"/>
      <c r="C644" s="65"/>
      <c r="D644" s="65"/>
      <c r="E644" s="65"/>
      <c r="F644" s="61"/>
      <c r="G644" s="61"/>
      <c r="H644" s="61"/>
      <c r="I644" s="61"/>
      <c r="J644" s="61"/>
      <c r="K644" s="3" t="str">
        <f t="shared" si="10"/>
        <v>fail</v>
      </c>
      <c r="L644" s="19" t="str">
        <f>IFERROR(IF(AND(MATCH(A644,Projection_classes,0),YEAR(current_date)=Projections!B644),"pass","fail"),"")</f>
        <v/>
      </c>
    </row>
    <row r="645" spans="1:12" x14ac:dyDescent="0.25">
      <c r="A645" s="64"/>
      <c r="B645" s="64"/>
      <c r="C645" s="65"/>
      <c r="D645" s="65"/>
      <c r="E645" s="65"/>
      <c r="F645" s="61"/>
      <c r="G645" s="61"/>
      <c r="H645" s="61"/>
      <c r="I645" s="61"/>
      <c r="J645" s="61"/>
      <c r="K645" s="3" t="str">
        <f t="shared" si="10"/>
        <v>fail</v>
      </c>
      <c r="L645" s="19" t="str">
        <f>IFERROR(IF(AND(MATCH(A645,Projection_classes,0),YEAR(current_date)=Projections!B645),"pass","fail"),"")</f>
        <v/>
      </c>
    </row>
    <row r="646" spans="1:12" x14ac:dyDescent="0.25">
      <c r="A646" s="64"/>
      <c r="B646" s="64"/>
      <c r="C646" s="65"/>
      <c r="D646" s="65"/>
      <c r="E646" s="65"/>
      <c r="F646" s="61"/>
      <c r="G646" s="61"/>
      <c r="H646" s="61"/>
      <c r="I646" s="61"/>
      <c r="J646" s="61"/>
      <c r="K646" s="3" t="str">
        <f t="shared" si="10"/>
        <v>fail</v>
      </c>
      <c r="L646" s="19" t="str">
        <f>IFERROR(IF(AND(MATCH(A646,Projection_classes,0),YEAR(current_date)=Projections!B646),"pass","fail"),"")</f>
        <v/>
      </c>
    </row>
    <row r="647" spans="1:12" x14ac:dyDescent="0.25">
      <c r="A647" s="64"/>
      <c r="B647" s="64"/>
      <c r="C647" s="65"/>
      <c r="D647" s="65"/>
      <c r="E647" s="65"/>
      <c r="F647" s="61"/>
      <c r="G647" s="61"/>
      <c r="H647" s="61"/>
      <c r="I647" s="61"/>
      <c r="J647" s="61"/>
      <c r="K647" s="3" t="str">
        <f t="shared" si="10"/>
        <v>fail</v>
      </c>
      <c r="L647" s="19" t="str">
        <f>IFERROR(IF(AND(MATCH(A647,Projection_classes,0),YEAR(current_date)=Projections!B647),"pass","fail"),"")</f>
        <v/>
      </c>
    </row>
    <row r="648" spans="1:12" x14ac:dyDescent="0.25">
      <c r="A648" s="64"/>
      <c r="B648" s="64"/>
      <c r="C648" s="65"/>
      <c r="D648" s="65"/>
      <c r="E648" s="65"/>
      <c r="F648" s="61"/>
      <c r="G648" s="61"/>
      <c r="H648" s="61"/>
      <c r="I648" s="61"/>
      <c r="J648" s="61"/>
      <c r="K648" s="3" t="str">
        <f t="shared" si="10"/>
        <v>fail</v>
      </c>
      <c r="L648" s="19" t="str">
        <f>IFERROR(IF(AND(MATCH(A648,Projection_classes,0),YEAR(current_date)=Projections!B648),"pass","fail"),"")</f>
        <v/>
      </c>
    </row>
    <row r="649" spans="1:12" x14ac:dyDescent="0.25">
      <c r="A649" s="64"/>
      <c r="B649" s="64"/>
      <c r="C649" s="65"/>
      <c r="D649" s="65"/>
      <c r="E649" s="65"/>
      <c r="F649" s="61"/>
      <c r="G649" s="61"/>
      <c r="H649" s="61"/>
      <c r="I649" s="61"/>
      <c r="J649" s="61"/>
      <c r="K649" s="3" t="str">
        <f t="shared" si="10"/>
        <v>fail</v>
      </c>
      <c r="L649" s="19" t="str">
        <f>IFERROR(IF(AND(MATCH(A649,Projection_classes,0),YEAR(current_date)=Projections!B649),"pass","fail"),"")</f>
        <v/>
      </c>
    </row>
    <row r="650" spans="1:12" x14ac:dyDescent="0.25">
      <c r="A650" s="64"/>
      <c r="B650" s="64"/>
      <c r="C650" s="65"/>
      <c r="D650" s="65"/>
      <c r="E650" s="65"/>
      <c r="F650" s="61"/>
      <c r="G650" s="61"/>
      <c r="H650" s="61"/>
      <c r="I650" s="61"/>
      <c r="J650" s="61"/>
      <c r="K650" s="3" t="str">
        <f t="shared" si="10"/>
        <v>fail</v>
      </c>
      <c r="L650" s="19" t="str">
        <f>IFERROR(IF(AND(MATCH(A650,Projection_classes,0),YEAR(current_date)=Projections!B650),"pass","fail"),"")</f>
        <v/>
      </c>
    </row>
    <row r="651" spans="1:12" x14ac:dyDescent="0.25">
      <c r="A651" s="64"/>
      <c r="B651" s="64"/>
      <c r="C651" s="65"/>
      <c r="D651" s="65"/>
      <c r="E651" s="65"/>
      <c r="F651" s="61"/>
      <c r="G651" s="61"/>
      <c r="H651" s="61"/>
      <c r="I651" s="61"/>
      <c r="J651" s="61"/>
      <c r="K651" s="3" t="str">
        <f t="shared" si="10"/>
        <v>fail</v>
      </c>
      <c r="L651" s="19" t="str">
        <f>IFERROR(IF(AND(MATCH(A651,Projection_classes,0),YEAR(current_date)=Projections!B651),"pass","fail"),"")</f>
        <v/>
      </c>
    </row>
    <row r="652" spans="1:12" x14ac:dyDescent="0.25">
      <c r="A652" s="64"/>
      <c r="B652" s="64"/>
      <c r="C652" s="65"/>
      <c r="D652" s="65"/>
      <c r="E652" s="65"/>
      <c r="F652" s="61"/>
      <c r="G652" s="61"/>
      <c r="H652" s="61"/>
      <c r="I652" s="61"/>
      <c r="J652" s="61"/>
      <c r="K652" s="3" t="str">
        <f t="shared" si="10"/>
        <v>fail</v>
      </c>
      <c r="L652" s="19" t="str">
        <f>IFERROR(IF(AND(MATCH(A652,Projection_classes,0),YEAR(current_date)=Projections!B652),"pass","fail"),"")</f>
        <v/>
      </c>
    </row>
    <row r="653" spans="1:12" x14ac:dyDescent="0.25">
      <c r="A653" s="64"/>
      <c r="B653" s="64"/>
      <c r="C653" s="65"/>
      <c r="D653" s="65"/>
      <c r="E653" s="65"/>
      <c r="F653" s="61"/>
      <c r="G653" s="61"/>
      <c r="H653" s="61"/>
      <c r="I653" s="61"/>
      <c r="J653" s="61"/>
      <c r="K653" s="3" t="str">
        <f t="shared" si="10"/>
        <v>fail</v>
      </c>
      <c r="L653" s="19" t="str">
        <f>IFERROR(IF(AND(MATCH(A653,Projection_classes,0),YEAR(current_date)=Projections!B653),"pass","fail"),"")</f>
        <v/>
      </c>
    </row>
    <row r="654" spans="1:12" x14ac:dyDescent="0.25">
      <c r="A654" s="64"/>
      <c r="B654" s="64"/>
      <c r="C654" s="65"/>
      <c r="D654" s="65"/>
      <c r="E654" s="65"/>
      <c r="F654" s="61"/>
      <c r="G654" s="61"/>
      <c r="H654" s="61"/>
      <c r="I654" s="61"/>
      <c r="J654" s="61"/>
      <c r="K654" s="3" t="str">
        <f t="shared" si="10"/>
        <v>fail</v>
      </c>
      <c r="L654" s="19" t="str">
        <f>IFERROR(IF(AND(MATCH(A654,Projection_classes,0),YEAR(current_date)=Projections!B654),"pass","fail"),"")</f>
        <v/>
      </c>
    </row>
    <row r="655" spans="1:12" x14ac:dyDescent="0.25">
      <c r="A655" s="64"/>
      <c r="B655" s="64"/>
      <c r="C655" s="65"/>
      <c r="D655" s="65"/>
      <c r="E655" s="65"/>
      <c r="F655" s="61"/>
      <c r="G655" s="61"/>
      <c r="H655" s="61"/>
      <c r="I655" s="61"/>
      <c r="J655" s="61"/>
      <c r="K655" s="3" t="str">
        <f t="shared" si="10"/>
        <v>fail</v>
      </c>
      <c r="L655" s="19" t="str">
        <f>IFERROR(IF(AND(MATCH(A655,Projection_classes,0),YEAR(current_date)=Projections!B655),"pass","fail"),"")</f>
        <v/>
      </c>
    </row>
    <row r="656" spans="1:12" x14ac:dyDescent="0.25">
      <c r="A656" s="64"/>
      <c r="B656" s="64"/>
      <c r="C656" s="65"/>
      <c r="D656" s="65"/>
      <c r="E656" s="65"/>
      <c r="F656" s="61"/>
      <c r="G656" s="61"/>
      <c r="H656" s="61"/>
      <c r="I656" s="61"/>
      <c r="J656" s="61"/>
      <c r="K656" s="3" t="str">
        <f t="shared" si="10"/>
        <v>fail</v>
      </c>
      <c r="L656" s="19" t="str">
        <f>IFERROR(IF(AND(MATCH(A656,Projection_classes,0),YEAR(current_date)=Projections!B656),"pass","fail"),"")</f>
        <v/>
      </c>
    </row>
    <row r="657" spans="1:12" x14ac:dyDescent="0.25">
      <c r="A657" s="64"/>
      <c r="B657" s="64"/>
      <c r="C657" s="65"/>
      <c r="D657" s="65"/>
      <c r="E657" s="65"/>
      <c r="F657" s="61"/>
      <c r="G657" s="61"/>
      <c r="H657" s="61"/>
      <c r="I657" s="61"/>
      <c r="J657" s="61"/>
      <c r="K657" s="3" t="str">
        <f t="shared" si="10"/>
        <v>fail</v>
      </c>
      <c r="L657" s="19" t="str">
        <f>IFERROR(IF(AND(MATCH(A657,Projection_classes,0),YEAR(current_date)=Projections!B657),"pass","fail"),"")</f>
        <v/>
      </c>
    </row>
    <row r="658" spans="1:12" x14ac:dyDescent="0.25">
      <c r="A658" s="64"/>
      <c r="B658" s="64"/>
      <c r="C658" s="65"/>
      <c r="D658" s="65"/>
      <c r="E658" s="65"/>
      <c r="F658" s="61"/>
      <c r="G658" s="61"/>
      <c r="H658" s="61"/>
      <c r="I658" s="61"/>
      <c r="J658" s="61"/>
      <c r="K658" s="3" t="str">
        <f t="shared" si="10"/>
        <v>fail</v>
      </c>
      <c r="L658" s="19" t="str">
        <f>IFERROR(IF(AND(MATCH(A658,Projection_classes,0),YEAR(current_date)=Projections!B658),"pass","fail"),"")</f>
        <v/>
      </c>
    </row>
    <row r="659" spans="1:12" x14ac:dyDescent="0.25">
      <c r="A659" s="64"/>
      <c r="B659" s="64"/>
      <c r="C659" s="65"/>
      <c r="D659" s="65"/>
      <c r="E659" s="65"/>
      <c r="F659" s="61"/>
      <c r="G659" s="61"/>
      <c r="H659" s="61"/>
      <c r="I659" s="61"/>
      <c r="J659" s="61"/>
      <c r="K659" s="3" t="str">
        <f t="shared" si="10"/>
        <v>fail</v>
      </c>
      <c r="L659" s="19" t="str">
        <f>IFERROR(IF(AND(MATCH(A659,Projection_classes,0),YEAR(current_date)=Projections!B659),"pass","fail"),"")</f>
        <v/>
      </c>
    </row>
    <row r="660" spans="1:12" x14ac:dyDescent="0.25">
      <c r="A660" s="64"/>
      <c r="B660" s="64"/>
      <c r="C660" s="65"/>
      <c r="D660" s="65"/>
      <c r="E660" s="65"/>
      <c r="F660" s="61"/>
      <c r="G660" s="61"/>
      <c r="H660" s="61"/>
      <c r="I660" s="61"/>
      <c r="J660" s="61"/>
      <c r="K660" s="3" t="str">
        <f t="shared" si="10"/>
        <v>fail</v>
      </c>
      <c r="L660" s="19" t="str">
        <f>IFERROR(IF(AND(MATCH(A660,Projection_classes,0),YEAR(current_date)=Projections!B660),"pass","fail"),"")</f>
        <v/>
      </c>
    </row>
    <row r="661" spans="1:12" x14ac:dyDescent="0.25">
      <c r="A661" s="64"/>
      <c r="B661" s="64"/>
      <c r="C661" s="65"/>
      <c r="D661" s="65"/>
      <c r="E661" s="65"/>
      <c r="F661" s="61"/>
      <c r="G661" s="61"/>
      <c r="H661" s="61"/>
      <c r="I661" s="61"/>
      <c r="J661" s="61"/>
      <c r="K661" s="3" t="str">
        <f t="shared" si="10"/>
        <v>fail</v>
      </c>
      <c r="L661" s="19" t="str">
        <f>IFERROR(IF(AND(MATCH(A661,Projection_classes,0),YEAR(current_date)=Projections!B661),"pass","fail"),"")</f>
        <v/>
      </c>
    </row>
    <row r="662" spans="1:12" x14ac:dyDescent="0.25">
      <c r="A662" s="64"/>
      <c r="B662" s="64"/>
      <c r="C662" s="65"/>
      <c r="D662" s="65"/>
      <c r="E662" s="65"/>
      <c r="F662" s="61"/>
      <c r="G662" s="61"/>
      <c r="H662" s="61"/>
      <c r="I662" s="61"/>
      <c r="J662" s="61"/>
      <c r="K662" s="3" t="str">
        <f t="shared" si="10"/>
        <v>fail</v>
      </c>
      <c r="L662" s="19" t="str">
        <f>IFERROR(IF(AND(MATCH(A662,Projection_classes,0),YEAR(current_date)=Projections!B662),"pass","fail"),"")</f>
        <v/>
      </c>
    </row>
    <row r="663" spans="1:12" x14ac:dyDescent="0.25">
      <c r="A663" s="64"/>
      <c r="B663" s="64"/>
      <c r="C663" s="65"/>
      <c r="D663" s="65"/>
      <c r="E663" s="65"/>
      <c r="F663" s="61"/>
      <c r="G663" s="61"/>
      <c r="H663" s="61"/>
      <c r="I663" s="61"/>
      <c r="J663" s="61"/>
      <c r="K663" s="3" t="str">
        <f t="shared" si="10"/>
        <v>fail</v>
      </c>
      <c r="L663" s="19" t="str">
        <f>IFERROR(IF(AND(MATCH(A663,Projection_classes,0),YEAR(current_date)=Projections!B663),"pass","fail"),"")</f>
        <v/>
      </c>
    </row>
    <row r="664" spans="1:12" x14ac:dyDescent="0.25">
      <c r="A664" s="64"/>
      <c r="B664" s="64"/>
      <c r="C664" s="65"/>
      <c r="D664" s="65"/>
      <c r="E664" s="65"/>
      <c r="F664" s="61"/>
      <c r="G664" s="61"/>
      <c r="H664" s="61"/>
      <c r="I664" s="61"/>
      <c r="J664" s="61"/>
      <c r="K664" s="3" t="str">
        <f t="shared" si="10"/>
        <v>fail</v>
      </c>
      <c r="L664" s="19" t="str">
        <f>IFERROR(IF(AND(MATCH(A664,Projection_classes,0),YEAR(current_date)=Projections!B664),"pass","fail"),"")</f>
        <v/>
      </c>
    </row>
    <row r="665" spans="1:12" x14ac:dyDescent="0.25">
      <c r="A665" s="64"/>
      <c r="B665" s="64"/>
      <c r="C665" s="65"/>
      <c r="D665" s="65"/>
      <c r="E665" s="65"/>
      <c r="F665" s="61"/>
      <c r="G665" s="61"/>
      <c r="H665" s="61"/>
      <c r="I665" s="61"/>
      <c r="J665" s="61"/>
      <c r="K665" s="3" t="str">
        <f t="shared" si="10"/>
        <v>fail</v>
      </c>
      <c r="L665" s="19" t="str">
        <f>IFERROR(IF(AND(MATCH(A665,Projection_classes,0),YEAR(current_date)=Projections!B665),"pass","fail"),"")</f>
        <v/>
      </c>
    </row>
    <row r="666" spans="1:12" x14ac:dyDescent="0.25">
      <c r="A666" s="64"/>
      <c r="B666" s="64"/>
      <c r="C666" s="65"/>
      <c r="D666" s="65"/>
      <c r="E666" s="65"/>
      <c r="F666" s="61"/>
      <c r="G666" s="61"/>
      <c r="H666" s="61"/>
      <c r="I666" s="61"/>
      <c r="J666" s="61"/>
      <c r="K666" s="3" t="str">
        <f t="shared" si="10"/>
        <v>fail</v>
      </c>
      <c r="L666" s="19" t="str">
        <f>IFERROR(IF(AND(MATCH(A666,Projection_classes,0),YEAR(current_date)=Projections!B666),"pass","fail"),"")</f>
        <v/>
      </c>
    </row>
    <row r="667" spans="1:12" x14ac:dyDescent="0.25">
      <c r="A667" s="64"/>
      <c r="B667" s="64"/>
      <c r="C667" s="65"/>
      <c r="D667" s="65"/>
      <c r="E667" s="65"/>
      <c r="F667" s="61"/>
      <c r="G667" s="61"/>
      <c r="H667" s="61"/>
      <c r="I667" s="61"/>
      <c r="J667" s="61"/>
      <c r="K667" s="3" t="str">
        <f t="shared" si="10"/>
        <v>fail</v>
      </c>
      <c r="L667" s="19" t="str">
        <f>IFERROR(IF(AND(MATCH(A667,Projection_classes,0),YEAR(current_date)=Projections!B667),"pass","fail"),"")</f>
        <v/>
      </c>
    </row>
    <row r="668" spans="1:12" x14ac:dyDescent="0.25">
      <c r="A668" s="64"/>
      <c r="B668" s="64"/>
      <c r="C668" s="65"/>
      <c r="D668" s="65"/>
      <c r="E668" s="65"/>
      <c r="F668" s="61"/>
      <c r="G668" s="61"/>
      <c r="H668" s="61"/>
      <c r="I668" s="61"/>
      <c r="J668" s="61"/>
      <c r="K668" s="3" t="str">
        <f t="shared" si="10"/>
        <v>fail</v>
      </c>
      <c r="L668" s="19" t="str">
        <f>IFERROR(IF(AND(MATCH(A668,Projection_classes,0),YEAR(current_date)=Projections!B668),"pass","fail"),"")</f>
        <v/>
      </c>
    </row>
    <row r="669" spans="1:12" x14ac:dyDescent="0.25">
      <c r="A669" s="64"/>
      <c r="B669" s="64"/>
      <c r="C669" s="65"/>
      <c r="D669" s="65"/>
      <c r="E669" s="65"/>
      <c r="F669" s="61"/>
      <c r="G669" s="61"/>
      <c r="H669" s="61"/>
      <c r="I669" s="61"/>
      <c r="J669" s="61"/>
      <c r="K669" s="3" t="str">
        <f t="shared" si="10"/>
        <v>fail</v>
      </c>
      <c r="L669" s="19" t="str">
        <f>IFERROR(IF(AND(MATCH(A669,Projection_classes,0),YEAR(current_date)=Projections!B669),"pass","fail"),"")</f>
        <v/>
      </c>
    </row>
    <row r="670" spans="1:12" x14ac:dyDescent="0.25">
      <c r="A670" s="64"/>
      <c r="B670" s="64"/>
      <c r="C670" s="65"/>
      <c r="D670" s="65"/>
      <c r="E670" s="65"/>
      <c r="F670" s="61"/>
      <c r="G670" s="61"/>
      <c r="H670" s="61"/>
      <c r="I670" s="61"/>
      <c r="J670" s="61"/>
      <c r="K670" s="3" t="str">
        <f t="shared" si="10"/>
        <v>fail</v>
      </c>
      <c r="L670" s="19" t="str">
        <f>IFERROR(IF(AND(MATCH(A670,Projection_classes,0),YEAR(current_date)=Projections!B670),"pass","fail"),"")</f>
        <v/>
      </c>
    </row>
    <row r="671" spans="1:12" x14ac:dyDescent="0.25">
      <c r="A671" s="64"/>
      <c r="B671" s="64"/>
      <c r="C671" s="65"/>
      <c r="D671" s="65"/>
      <c r="E671" s="65"/>
      <c r="F671" s="61"/>
      <c r="G671" s="61"/>
      <c r="H671" s="61"/>
      <c r="I671" s="61"/>
      <c r="J671" s="61"/>
      <c r="K671" s="3" t="str">
        <f t="shared" si="10"/>
        <v>fail</v>
      </c>
      <c r="L671" s="19" t="str">
        <f>IFERROR(IF(AND(MATCH(A671,Projection_classes,0),YEAR(current_date)=Projections!B671),"pass","fail"),"")</f>
        <v/>
      </c>
    </row>
    <row r="672" spans="1:12" x14ac:dyDescent="0.25">
      <c r="A672" s="64"/>
      <c r="B672" s="64"/>
      <c r="C672" s="65"/>
      <c r="D672" s="65"/>
      <c r="E672" s="65"/>
      <c r="F672" s="61"/>
      <c r="G672" s="61"/>
      <c r="H672" s="61"/>
      <c r="I672" s="61"/>
      <c r="J672" s="61"/>
      <c r="K672" s="3" t="str">
        <f t="shared" si="10"/>
        <v>fail</v>
      </c>
      <c r="L672" s="19" t="str">
        <f>IFERROR(IF(AND(MATCH(A672,Projection_classes,0),YEAR(current_date)=Projections!B672),"pass","fail"),"")</f>
        <v/>
      </c>
    </row>
    <row r="673" spans="1:12" x14ac:dyDescent="0.25">
      <c r="A673" s="64"/>
      <c r="B673" s="64"/>
      <c r="C673" s="65"/>
      <c r="D673" s="65"/>
      <c r="E673" s="65"/>
      <c r="F673" s="61"/>
      <c r="G673" s="61"/>
      <c r="H673" s="61"/>
      <c r="I673" s="61"/>
      <c r="J673" s="61"/>
      <c r="K673" s="3" t="str">
        <f t="shared" si="10"/>
        <v>fail</v>
      </c>
      <c r="L673" s="19" t="str">
        <f>IFERROR(IF(AND(MATCH(A673,Projection_classes,0),YEAR(current_date)=Projections!B673),"pass","fail"),"")</f>
        <v/>
      </c>
    </row>
    <row r="674" spans="1:12" x14ac:dyDescent="0.25">
      <c r="A674" s="64"/>
      <c r="B674" s="64"/>
      <c r="C674" s="65"/>
      <c r="D674" s="65"/>
      <c r="E674" s="65"/>
      <c r="F674" s="61"/>
      <c r="G674" s="61"/>
      <c r="H674" s="61"/>
      <c r="I674" s="61"/>
      <c r="J674" s="61"/>
      <c r="K674" s="3" t="str">
        <f t="shared" si="10"/>
        <v>fail</v>
      </c>
      <c r="L674" s="19" t="str">
        <f>IFERROR(IF(AND(MATCH(A674,Projection_classes,0),YEAR(current_date)=Projections!B674),"pass","fail"),"")</f>
        <v/>
      </c>
    </row>
    <row r="675" spans="1:12" x14ac:dyDescent="0.25">
      <c r="A675" s="64"/>
      <c r="B675" s="64"/>
      <c r="C675" s="65"/>
      <c r="D675" s="65"/>
      <c r="E675" s="65"/>
      <c r="F675" s="61"/>
      <c r="G675" s="61"/>
      <c r="H675" s="61"/>
      <c r="I675" s="61"/>
      <c r="J675" s="61"/>
      <c r="K675" s="3" t="str">
        <f t="shared" si="10"/>
        <v>fail</v>
      </c>
      <c r="L675" s="19" t="str">
        <f>IFERROR(IF(AND(MATCH(A675,Projection_classes,0),YEAR(current_date)=Projections!B675),"pass","fail"),"")</f>
        <v/>
      </c>
    </row>
    <row r="676" spans="1:12" x14ac:dyDescent="0.25">
      <c r="A676" s="64"/>
      <c r="B676" s="64"/>
      <c r="C676" s="65"/>
      <c r="D676" s="65"/>
      <c r="E676" s="65"/>
      <c r="F676" s="61"/>
      <c r="G676" s="61"/>
      <c r="H676" s="61"/>
      <c r="I676" s="61"/>
      <c r="J676" s="61"/>
      <c r="K676" s="3" t="str">
        <f t="shared" si="10"/>
        <v>fail</v>
      </c>
      <c r="L676" s="19" t="str">
        <f>IFERROR(IF(AND(MATCH(A676,Projection_classes,0),YEAR(current_date)=Projections!B676),"pass","fail"),"")</f>
        <v/>
      </c>
    </row>
    <row r="677" spans="1:12" x14ac:dyDescent="0.25">
      <c r="A677" s="64"/>
      <c r="B677" s="64"/>
      <c r="C677" s="65"/>
      <c r="D677" s="65"/>
      <c r="E677" s="65"/>
      <c r="F677" s="61"/>
      <c r="G677" s="61"/>
      <c r="H677" s="61"/>
      <c r="I677" s="61"/>
      <c r="J677" s="61"/>
      <c r="K677" s="3" t="str">
        <f t="shared" si="10"/>
        <v>fail</v>
      </c>
      <c r="L677" s="19" t="str">
        <f>IFERROR(IF(AND(MATCH(A677,Projection_classes,0),YEAR(current_date)=Projections!B677),"pass","fail"),"")</f>
        <v/>
      </c>
    </row>
    <row r="678" spans="1:12" x14ac:dyDescent="0.25">
      <c r="A678" s="64"/>
      <c r="B678" s="64"/>
      <c r="C678" s="65"/>
      <c r="D678" s="65"/>
      <c r="E678" s="65"/>
      <c r="F678" s="61"/>
      <c r="G678" s="61"/>
      <c r="H678" s="61"/>
      <c r="I678" s="61"/>
      <c r="J678" s="61"/>
      <c r="K678" s="3" t="str">
        <f t="shared" si="10"/>
        <v>fail</v>
      </c>
      <c r="L678" s="19" t="str">
        <f>IFERROR(IF(AND(MATCH(A678,Projection_classes,0),YEAR(current_date)=Projections!B678),"pass","fail"),"")</f>
        <v/>
      </c>
    </row>
    <row r="679" spans="1:12" x14ac:dyDescent="0.25">
      <c r="A679" s="64"/>
      <c r="B679" s="64"/>
      <c r="C679" s="65"/>
      <c r="D679" s="65"/>
      <c r="E679" s="65"/>
      <c r="F679" s="61"/>
      <c r="G679" s="61"/>
      <c r="H679" s="61"/>
      <c r="I679" s="61"/>
      <c r="J679" s="61"/>
      <c r="K679" s="3" t="str">
        <f t="shared" si="10"/>
        <v>fail</v>
      </c>
      <c r="L679" s="19" t="str">
        <f>IFERROR(IF(AND(MATCH(A679,Projection_classes,0),YEAR(current_date)=Projections!B679),"pass","fail"),"")</f>
        <v/>
      </c>
    </row>
    <row r="680" spans="1:12" x14ac:dyDescent="0.25">
      <c r="A680" s="64"/>
      <c r="B680" s="64"/>
      <c r="C680" s="65"/>
      <c r="D680" s="65"/>
      <c r="E680" s="65"/>
      <c r="F680" s="61"/>
      <c r="G680" s="61"/>
      <c r="H680" s="61"/>
      <c r="I680" s="61"/>
      <c r="J680" s="61"/>
      <c r="K680" s="3" t="str">
        <f t="shared" si="10"/>
        <v>fail</v>
      </c>
      <c r="L680" s="19" t="str">
        <f>IFERROR(IF(AND(MATCH(A680,Projection_classes,0),YEAR(current_date)=Projections!B680),"pass","fail"),"")</f>
        <v/>
      </c>
    </row>
    <row r="681" spans="1:12" x14ac:dyDescent="0.25">
      <c r="A681" s="64"/>
      <c r="B681" s="64"/>
      <c r="C681" s="65"/>
      <c r="D681" s="65"/>
      <c r="E681" s="65"/>
      <c r="F681" s="61"/>
      <c r="G681" s="61"/>
      <c r="H681" s="61"/>
      <c r="I681" s="61"/>
      <c r="J681" s="61"/>
      <c r="K681" s="3" t="str">
        <f t="shared" si="10"/>
        <v>fail</v>
      </c>
      <c r="L681" s="19" t="str">
        <f>IFERROR(IF(AND(MATCH(A681,Projection_classes,0),YEAR(current_date)=Projections!B681),"pass","fail"),"")</f>
        <v/>
      </c>
    </row>
    <row r="682" spans="1:12" x14ac:dyDescent="0.25">
      <c r="A682" s="64"/>
      <c r="B682" s="64"/>
      <c r="C682" s="65"/>
      <c r="D682" s="65"/>
      <c r="E682" s="65"/>
      <c r="F682" s="61"/>
      <c r="G682" s="61"/>
      <c r="H682" s="61"/>
      <c r="I682" s="61"/>
      <c r="J682" s="61"/>
      <c r="K682" s="3" t="str">
        <f t="shared" si="10"/>
        <v>fail</v>
      </c>
      <c r="L682" s="19" t="str">
        <f>IFERROR(IF(AND(MATCH(A682,Projection_classes,0),YEAR(current_date)=Projections!B682),"pass","fail"),"")</f>
        <v/>
      </c>
    </row>
    <row r="683" spans="1:12" x14ac:dyDescent="0.25">
      <c r="A683" s="64"/>
      <c r="B683" s="64"/>
      <c r="C683" s="65"/>
      <c r="D683" s="65"/>
      <c r="E683" s="65"/>
      <c r="F683" s="61"/>
      <c r="G683" s="61"/>
      <c r="H683" s="61"/>
      <c r="I683" s="61"/>
      <c r="J683" s="61"/>
      <c r="K683" s="3" t="str">
        <f t="shared" si="10"/>
        <v>fail</v>
      </c>
      <c r="L683" s="19" t="str">
        <f>IFERROR(IF(AND(MATCH(A683,Projection_classes,0),YEAR(current_date)=Projections!B683),"pass","fail"),"")</f>
        <v/>
      </c>
    </row>
    <row r="684" spans="1:12" x14ac:dyDescent="0.25">
      <c r="A684" s="64"/>
      <c r="B684" s="64"/>
      <c r="C684" s="65"/>
      <c r="D684" s="65"/>
      <c r="E684" s="65"/>
      <c r="F684" s="61"/>
      <c r="G684" s="61"/>
      <c r="H684" s="61"/>
      <c r="I684" s="61"/>
      <c r="J684" s="61"/>
      <c r="K684" s="3" t="str">
        <f t="shared" si="10"/>
        <v>fail</v>
      </c>
      <c r="L684" s="19" t="str">
        <f>IFERROR(IF(AND(MATCH(A684,Projection_classes,0),YEAR(current_date)=Projections!B684),"pass","fail"),"")</f>
        <v/>
      </c>
    </row>
    <row r="685" spans="1:12" x14ac:dyDescent="0.25">
      <c r="A685" s="64"/>
      <c r="B685" s="64"/>
      <c r="C685" s="65"/>
      <c r="D685" s="65"/>
      <c r="E685" s="65"/>
      <c r="F685" s="61"/>
      <c r="G685" s="61"/>
      <c r="H685" s="61"/>
      <c r="I685" s="61"/>
      <c r="J685" s="61"/>
      <c r="K685" s="3" t="str">
        <f t="shared" si="10"/>
        <v>fail</v>
      </c>
      <c r="L685" s="19" t="str">
        <f>IFERROR(IF(AND(MATCH(A685,Projection_classes,0),YEAR(current_date)=Projections!B685),"pass","fail"),"")</f>
        <v/>
      </c>
    </row>
    <row r="686" spans="1:12" x14ac:dyDescent="0.25">
      <c r="A686" s="64"/>
      <c r="B686" s="64"/>
      <c r="C686" s="65"/>
      <c r="D686" s="65"/>
      <c r="E686" s="65"/>
      <c r="F686" s="61"/>
      <c r="G686" s="61"/>
      <c r="H686" s="61"/>
      <c r="I686" s="61"/>
      <c r="J686" s="61"/>
      <c r="K686" s="3" t="str">
        <f t="shared" si="10"/>
        <v>fail</v>
      </c>
      <c r="L686" s="19" t="str">
        <f>IFERROR(IF(AND(MATCH(A686,Projection_classes,0),YEAR(current_date)=Projections!B686),"pass","fail"),"")</f>
        <v/>
      </c>
    </row>
    <row r="687" spans="1:12" x14ac:dyDescent="0.25">
      <c r="A687" s="64"/>
      <c r="B687" s="64"/>
      <c r="C687" s="65"/>
      <c r="D687" s="65"/>
      <c r="E687" s="65"/>
      <c r="F687" s="61"/>
      <c r="G687" s="61"/>
      <c r="H687" s="61"/>
      <c r="I687" s="61"/>
      <c r="J687" s="61"/>
      <c r="K687" s="3" t="str">
        <f t="shared" si="10"/>
        <v>fail</v>
      </c>
      <c r="L687" s="19" t="str">
        <f>IFERROR(IF(AND(MATCH(A687,Projection_classes,0),YEAR(current_date)=Projections!B687),"pass","fail"),"")</f>
        <v/>
      </c>
    </row>
    <row r="688" spans="1:12" x14ac:dyDescent="0.25">
      <c r="A688" s="64"/>
      <c r="B688" s="64"/>
      <c r="C688" s="65"/>
      <c r="D688" s="65"/>
      <c r="E688" s="65"/>
      <c r="F688" s="61"/>
      <c r="G688" s="61"/>
      <c r="H688" s="61"/>
      <c r="I688" s="61"/>
      <c r="J688" s="61"/>
      <c r="K688" s="3" t="str">
        <f t="shared" si="10"/>
        <v>fail</v>
      </c>
      <c r="L688" s="19" t="str">
        <f>IFERROR(IF(AND(MATCH(A688,Projection_classes,0),YEAR(current_date)=Projections!B688),"pass","fail"),"")</f>
        <v/>
      </c>
    </row>
    <row r="689" spans="1:12" x14ac:dyDescent="0.25">
      <c r="A689" s="64"/>
      <c r="B689" s="64"/>
      <c r="C689" s="65"/>
      <c r="D689" s="65"/>
      <c r="E689" s="65"/>
      <c r="F689" s="61"/>
      <c r="G689" s="61"/>
      <c r="H689" s="61"/>
      <c r="I689" s="61"/>
      <c r="J689" s="61"/>
      <c r="K689" s="3" t="str">
        <f t="shared" si="10"/>
        <v>fail</v>
      </c>
      <c r="L689" s="19" t="str">
        <f>IFERROR(IF(AND(MATCH(A689,Projection_classes,0),YEAR(current_date)=Projections!B689),"pass","fail"),"")</f>
        <v/>
      </c>
    </row>
    <row r="690" spans="1:12" x14ac:dyDescent="0.25">
      <c r="A690" s="64"/>
      <c r="B690" s="64"/>
      <c r="C690" s="65"/>
      <c r="D690" s="65"/>
      <c r="E690" s="65"/>
      <c r="F690" s="61"/>
      <c r="G690" s="61"/>
      <c r="H690" s="61"/>
      <c r="I690" s="61"/>
      <c r="J690" s="61"/>
      <c r="K690" s="3" t="str">
        <f t="shared" si="10"/>
        <v>fail</v>
      </c>
      <c r="L690" s="19" t="str">
        <f>IFERROR(IF(AND(MATCH(A690,Projection_classes,0),YEAR(current_date)=Projections!B690),"pass","fail"),"")</f>
        <v/>
      </c>
    </row>
    <row r="691" spans="1:12" x14ac:dyDescent="0.25">
      <c r="A691" s="64"/>
      <c r="B691" s="64"/>
      <c r="C691" s="65"/>
      <c r="D691" s="65"/>
      <c r="E691" s="65"/>
      <c r="F691" s="61"/>
      <c r="G691" s="61"/>
      <c r="H691" s="61"/>
      <c r="I691" s="61"/>
      <c r="J691" s="61"/>
      <c r="K691" s="3" t="str">
        <f t="shared" si="10"/>
        <v>fail</v>
      </c>
      <c r="L691" s="19" t="str">
        <f>IFERROR(IF(AND(MATCH(A691,Projection_classes,0),YEAR(current_date)=Projections!B691),"pass","fail"),"")</f>
        <v/>
      </c>
    </row>
    <row r="692" spans="1:12" x14ac:dyDescent="0.25">
      <c r="A692" s="64"/>
      <c r="B692" s="64"/>
      <c r="C692" s="65"/>
      <c r="D692" s="65"/>
      <c r="E692" s="65"/>
      <c r="F692" s="61"/>
      <c r="G692" s="61"/>
      <c r="H692" s="61"/>
      <c r="I692" s="61"/>
      <c r="J692" s="61"/>
      <c r="K692" s="3" t="str">
        <f t="shared" si="10"/>
        <v>fail</v>
      </c>
      <c r="L692" s="19" t="str">
        <f>IFERROR(IF(AND(MATCH(A692,Projection_classes,0),YEAR(current_date)=Projections!B692),"pass","fail"),"")</f>
        <v/>
      </c>
    </row>
    <row r="693" spans="1:12" x14ac:dyDescent="0.25">
      <c r="A693" s="64"/>
      <c r="B693" s="64"/>
      <c r="C693" s="65"/>
      <c r="D693" s="65"/>
      <c r="E693" s="65"/>
      <c r="F693" s="61"/>
      <c r="G693" s="61"/>
      <c r="H693" s="61"/>
      <c r="I693" s="61"/>
      <c r="J693" s="61"/>
      <c r="K693" s="3" t="str">
        <f t="shared" si="10"/>
        <v>fail</v>
      </c>
      <c r="L693" s="19" t="str">
        <f>IFERROR(IF(AND(MATCH(A693,Projection_classes,0),YEAR(current_date)=Projections!B693),"pass","fail"),"")</f>
        <v/>
      </c>
    </row>
    <row r="694" spans="1:12" x14ac:dyDescent="0.25">
      <c r="A694" s="64"/>
      <c r="B694" s="64"/>
      <c r="C694" s="65"/>
      <c r="D694" s="65"/>
      <c r="E694" s="65"/>
      <c r="F694" s="61"/>
      <c r="G694" s="61"/>
      <c r="H694" s="61"/>
      <c r="I694" s="61"/>
      <c r="J694" s="61"/>
      <c r="K694" s="3" t="str">
        <f t="shared" si="10"/>
        <v>fail</v>
      </c>
      <c r="L694" s="19" t="str">
        <f>IFERROR(IF(AND(MATCH(A694,Projection_classes,0),YEAR(current_date)=Projections!B694),"pass","fail"),"")</f>
        <v/>
      </c>
    </row>
    <row r="695" spans="1:12" x14ac:dyDescent="0.25">
      <c r="A695" s="64"/>
      <c r="B695" s="64"/>
      <c r="C695" s="65"/>
      <c r="D695" s="65"/>
      <c r="E695" s="65"/>
      <c r="F695" s="61"/>
      <c r="G695" s="61"/>
      <c r="H695" s="61"/>
      <c r="I695" s="61"/>
      <c r="J695" s="61"/>
      <c r="K695" s="3" t="str">
        <f t="shared" si="10"/>
        <v>fail</v>
      </c>
      <c r="L695" s="19" t="str">
        <f>IFERROR(IF(AND(MATCH(A695,Projection_classes,0),YEAR(current_date)=Projections!B695),"pass","fail"),"")</f>
        <v/>
      </c>
    </row>
    <row r="696" spans="1:12" x14ac:dyDescent="0.25">
      <c r="A696" s="64"/>
      <c r="B696" s="64"/>
      <c r="C696" s="65"/>
      <c r="D696" s="65"/>
      <c r="E696" s="65"/>
      <c r="F696" s="61"/>
      <c r="G696" s="61"/>
      <c r="H696" s="61"/>
      <c r="I696" s="61"/>
      <c r="J696" s="61"/>
      <c r="K696" s="3" t="str">
        <f t="shared" si="10"/>
        <v>fail</v>
      </c>
      <c r="L696" s="19" t="str">
        <f>IFERROR(IF(AND(MATCH(A696,Projection_classes,0),YEAR(current_date)=Projections!B696),"pass","fail"),"")</f>
        <v/>
      </c>
    </row>
    <row r="697" spans="1:12" x14ac:dyDescent="0.25">
      <c r="A697" s="64"/>
      <c r="B697" s="64"/>
      <c r="C697" s="65"/>
      <c r="D697" s="65"/>
      <c r="E697" s="65"/>
      <c r="F697" s="61"/>
      <c r="G697" s="61"/>
      <c r="H697" s="61"/>
      <c r="I697" s="61"/>
      <c r="J697" s="61"/>
      <c r="K697" s="3" t="str">
        <f t="shared" si="10"/>
        <v>fail</v>
      </c>
      <c r="L697" s="19" t="str">
        <f>IFERROR(IF(AND(MATCH(A697,Projection_classes,0),YEAR(current_date)=Projections!B697),"pass","fail"),"")</f>
        <v/>
      </c>
    </row>
    <row r="698" spans="1:12" x14ac:dyDescent="0.25">
      <c r="A698" s="64"/>
      <c r="B698" s="64"/>
      <c r="C698" s="65"/>
      <c r="D698" s="65"/>
      <c r="E698" s="65"/>
      <c r="F698" s="61"/>
      <c r="G698" s="61"/>
      <c r="H698" s="61"/>
      <c r="I698" s="61"/>
      <c r="J698" s="61"/>
      <c r="K698" s="3" t="str">
        <f t="shared" si="10"/>
        <v>fail</v>
      </c>
      <c r="L698" s="19" t="str">
        <f>IFERROR(IF(AND(MATCH(A698,Projection_classes,0),YEAR(current_date)=Projections!B698),"pass","fail"),"")</f>
        <v/>
      </c>
    </row>
    <row r="699" spans="1:12" x14ac:dyDescent="0.25">
      <c r="A699" s="64"/>
      <c r="B699" s="64"/>
      <c r="C699" s="65"/>
      <c r="D699" s="65"/>
      <c r="E699" s="65"/>
      <c r="F699" s="61"/>
      <c r="G699" s="61"/>
      <c r="H699" s="61"/>
      <c r="I699" s="61"/>
      <c r="J699" s="61"/>
      <c r="K699" s="3" t="str">
        <f t="shared" si="10"/>
        <v>fail</v>
      </c>
      <c r="L699" s="19" t="str">
        <f>IFERROR(IF(AND(MATCH(A699,Projection_classes,0),YEAR(current_date)=Projections!B699),"pass","fail"),"")</f>
        <v/>
      </c>
    </row>
    <row r="700" spans="1:12" x14ac:dyDescent="0.25">
      <c r="A700" s="64"/>
      <c r="B700" s="64"/>
      <c r="C700" s="65"/>
      <c r="D700" s="65"/>
      <c r="E700" s="65"/>
      <c r="F700" s="61"/>
      <c r="G700" s="61"/>
      <c r="H700" s="61"/>
      <c r="I700" s="61"/>
      <c r="J700" s="61"/>
      <c r="K700" s="3" t="str">
        <f t="shared" si="10"/>
        <v>fail</v>
      </c>
      <c r="L700" s="19" t="str">
        <f>IFERROR(IF(AND(MATCH(A700,Projection_classes,0),YEAR(current_date)=Projections!B700),"pass","fail"),"")</f>
        <v/>
      </c>
    </row>
    <row r="701" spans="1:12" x14ac:dyDescent="0.25">
      <c r="A701" s="64"/>
      <c r="B701" s="64"/>
      <c r="C701" s="65"/>
      <c r="D701" s="65"/>
      <c r="E701" s="65"/>
      <c r="F701" s="61"/>
      <c r="G701" s="61"/>
      <c r="H701" s="61"/>
      <c r="I701" s="61"/>
      <c r="J701" s="61"/>
      <c r="K701" s="3" t="str">
        <f t="shared" si="10"/>
        <v>fail</v>
      </c>
      <c r="L701" s="19" t="str">
        <f>IFERROR(IF(AND(MATCH(A701,Projection_classes,0),YEAR(current_date)=Projections!B701),"pass","fail"),"")</f>
        <v/>
      </c>
    </row>
    <row r="702" spans="1:12" x14ac:dyDescent="0.25">
      <c r="A702" s="64"/>
      <c r="B702" s="64"/>
      <c r="C702" s="65"/>
      <c r="D702" s="65"/>
      <c r="E702" s="65"/>
      <c r="F702" s="61"/>
      <c r="G702" s="61"/>
      <c r="H702" s="61"/>
      <c r="I702" s="61"/>
      <c r="J702" s="61"/>
      <c r="K702" s="3" t="str">
        <f t="shared" si="10"/>
        <v>fail</v>
      </c>
      <c r="L702" s="19" t="str">
        <f>IFERROR(IF(AND(MATCH(A702,Projection_classes,0),YEAR(current_date)=Projections!B702),"pass","fail"),"")</f>
        <v/>
      </c>
    </row>
    <row r="703" spans="1:12" x14ac:dyDescent="0.25">
      <c r="A703" s="64"/>
      <c r="B703" s="64"/>
      <c r="C703" s="65"/>
      <c r="D703" s="65"/>
      <c r="E703" s="65"/>
      <c r="F703" s="61"/>
      <c r="G703" s="61"/>
      <c r="H703" s="61"/>
      <c r="I703" s="61"/>
      <c r="J703" s="61"/>
      <c r="K703" s="3" t="str">
        <f t="shared" si="10"/>
        <v>fail</v>
      </c>
      <c r="L703" s="19" t="str">
        <f>IFERROR(IF(AND(MATCH(A703,Projection_classes,0),YEAR(current_date)=Projections!B703),"pass","fail"),"")</f>
        <v/>
      </c>
    </row>
    <row r="704" spans="1:12" x14ac:dyDescent="0.25">
      <c r="A704" s="64"/>
      <c r="B704" s="64"/>
      <c r="C704" s="65"/>
      <c r="D704" s="65"/>
      <c r="E704" s="65"/>
      <c r="F704" s="61"/>
      <c r="G704" s="61"/>
      <c r="H704" s="61"/>
      <c r="I704" s="61"/>
      <c r="J704" s="61"/>
      <c r="K704" s="3" t="str">
        <f t="shared" si="10"/>
        <v>fail</v>
      </c>
      <c r="L704" s="19" t="str">
        <f>IFERROR(IF(AND(MATCH(A704,Projection_classes,0),YEAR(current_date)=Projections!B704),"pass","fail"),"")</f>
        <v/>
      </c>
    </row>
    <row r="705" spans="1:12" x14ac:dyDescent="0.25">
      <c r="A705" s="64"/>
      <c r="B705" s="64"/>
      <c r="C705" s="65"/>
      <c r="D705" s="65"/>
      <c r="E705" s="65"/>
      <c r="F705" s="61"/>
      <c r="G705" s="61"/>
      <c r="H705" s="61"/>
      <c r="I705" s="61"/>
      <c r="J705" s="61"/>
      <c r="K705" s="3" t="str">
        <f t="shared" si="10"/>
        <v>fail</v>
      </c>
      <c r="L705" s="19" t="str">
        <f>IFERROR(IF(AND(MATCH(A705,Projection_classes,0),YEAR(current_date)=Projections!B705),"pass","fail"),"")</f>
        <v/>
      </c>
    </row>
    <row r="706" spans="1:12" x14ac:dyDescent="0.25">
      <c r="A706" s="64"/>
      <c r="B706" s="64"/>
      <c r="C706" s="65"/>
      <c r="D706" s="65"/>
      <c r="E706" s="65"/>
      <c r="F706" s="61"/>
      <c r="G706" s="61"/>
      <c r="H706" s="61"/>
      <c r="I706" s="61"/>
      <c r="J706" s="61"/>
      <c r="K706" s="3" t="str">
        <f t="shared" ref="K706:K769" si="11">IF(OR(B706&lt;$N$1,B706&gt;$P$1),"fail","pass")</f>
        <v>fail</v>
      </c>
      <c r="L706" s="19" t="str">
        <f>IFERROR(IF(AND(MATCH(A706,Projection_classes,0),YEAR(current_date)=Projections!B706),"pass","fail"),"")</f>
        <v/>
      </c>
    </row>
    <row r="707" spans="1:12" x14ac:dyDescent="0.25">
      <c r="A707" s="64"/>
      <c r="B707" s="64"/>
      <c r="C707" s="65"/>
      <c r="D707" s="65"/>
      <c r="E707" s="65"/>
      <c r="F707" s="61"/>
      <c r="G707" s="61"/>
      <c r="H707" s="61"/>
      <c r="I707" s="61"/>
      <c r="J707" s="61"/>
      <c r="K707" s="3" t="str">
        <f t="shared" si="11"/>
        <v>fail</v>
      </c>
      <c r="L707" s="19" t="str">
        <f>IFERROR(IF(AND(MATCH(A707,Projection_classes,0),YEAR(current_date)=Projections!B707),"pass","fail"),"")</f>
        <v/>
      </c>
    </row>
    <row r="708" spans="1:12" x14ac:dyDescent="0.25">
      <c r="A708" s="64"/>
      <c r="B708" s="64"/>
      <c r="C708" s="65"/>
      <c r="D708" s="65"/>
      <c r="E708" s="65"/>
      <c r="F708" s="61"/>
      <c r="G708" s="61"/>
      <c r="H708" s="61"/>
      <c r="I708" s="61"/>
      <c r="J708" s="61"/>
      <c r="K708" s="3" t="str">
        <f t="shared" si="11"/>
        <v>fail</v>
      </c>
      <c r="L708" s="19" t="str">
        <f>IFERROR(IF(AND(MATCH(A708,Projection_classes,0),YEAR(current_date)=Projections!B708),"pass","fail"),"")</f>
        <v/>
      </c>
    </row>
    <row r="709" spans="1:12" x14ac:dyDescent="0.25">
      <c r="A709" s="64"/>
      <c r="B709" s="64"/>
      <c r="C709" s="65"/>
      <c r="D709" s="65"/>
      <c r="E709" s="65"/>
      <c r="F709" s="61"/>
      <c r="G709" s="61"/>
      <c r="H709" s="61"/>
      <c r="I709" s="61"/>
      <c r="J709" s="61"/>
      <c r="K709" s="3" t="str">
        <f t="shared" si="11"/>
        <v>fail</v>
      </c>
      <c r="L709" s="19" t="str">
        <f>IFERROR(IF(AND(MATCH(A709,Projection_classes,0),YEAR(current_date)=Projections!B709),"pass","fail"),"")</f>
        <v/>
      </c>
    </row>
    <row r="710" spans="1:12" x14ac:dyDescent="0.25">
      <c r="A710" s="64"/>
      <c r="B710" s="64"/>
      <c r="C710" s="65"/>
      <c r="D710" s="65"/>
      <c r="E710" s="65"/>
      <c r="F710" s="61"/>
      <c r="G710" s="61"/>
      <c r="H710" s="61"/>
      <c r="I710" s="61"/>
      <c r="J710" s="61"/>
      <c r="K710" s="3" t="str">
        <f t="shared" si="11"/>
        <v>fail</v>
      </c>
      <c r="L710" s="19" t="str">
        <f>IFERROR(IF(AND(MATCH(A710,Projection_classes,0),YEAR(current_date)=Projections!B710),"pass","fail"),"")</f>
        <v/>
      </c>
    </row>
    <row r="711" spans="1:12" x14ac:dyDescent="0.25">
      <c r="A711" s="64"/>
      <c r="B711" s="64"/>
      <c r="C711" s="65"/>
      <c r="D711" s="65"/>
      <c r="E711" s="65"/>
      <c r="F711" s="61"/>
      <c r="G711" s="61"/>
      <c r="H711" s="61"/>
      <c r="I711" s="61"/>
      <c r="J711" s="61"/>
      <c r="K711" s="3" t="str">
        <f t="shared" si="11"/>
        <v>fail</v>
      </c>
      <c r="L711" s="19" t="str">
        <f>IFERROR(IF(AND(MATCH(A711,Projection_classes,0),YEAR(current_date)=Projections!B711),"pass","fail"),"")</f>
        <v/>
      </c>
    </row>
    <row r="712" spans="1:12" x14ac:dyDescent="0.25">
      <c r="A712" s="64"/>
      <c r="B712" s="64"/>
      <c r="C712" s="65"/>
      <c r="D712" s="65"/>
      <c r="E712" s="65"/>
      <c r="F712" s="61"/>
      <c r="G712" s="61"/>
      <c r="H712" s="61"/>
      <c r="I712" s="61"/>
      <c r="J712" s="61"/>
      <c r="K712" s="3" t="str">
        <f t="shared" si="11"/>
        <v>fail</v>
      </c>
      <c r="L712" s="19" t="str">
        <f>IFERROR(IF(AND(MATCH(A712,Projection_classes,0),YEAR(current_date)=Projections!B712),"pass","fail"),"")</f>
        <v/>
      </c>
    </row>
    <row r="713" spans="1:12" x14ac:dyDescent="0.25">
      <c r="A713" s="64"/>
      <c r="B713" s="64"/>
      <c r="C713" s="65"/>
      <c r="D713" s="65"/>
      <c r="E713" s="65"/>
      <c r="F713" s="61"/>
      <c r="G713" s="61"/>
      <c r="H713" s="61"/>
      <c r="I713" s="61"/>
      <c r="J713" s="61"/>
      <c r="K713" s="3" t="str">
        <f t="shared" si="11"/>
        <v>fail</v>
      </c>
      <c r="L713" s="19" t="str">
        <f>IFERROR(IF(AND(MATCH(A713,Projection_classes,0),YEAR(current_date)=Projections!B713),"pass","fail"),"")</f>
        <v/>
      </c>
    </row>
    <row r="714" spans="1:12" x14ac:dyDescent="0.25">
      <c r="A714" s="64"/>
      <c r="B714" s="64"/>
      <c r="C714" s="65"/>
      <c r="D714" s="65"/>
      <c r="E714" s="65"/>
      <c r="F714" s="61"/>
      <c r="G714" s="61"/>
      <c r="H714" s="61"/>
      <c r="I714" s="61"/>
      <c r="J714" s="61"/>
      <c r="K714" s="3" t="str">
        <f t="shared" si="11"/>
        <v>fail</v>
      </c>
      <c r="L714" s="19" t="str">
        <f>IFERROR(IF(AND(MATCH(A714,Projection_classes,0),YEAR(current_date)=Projections!B714),"pass","fail"),"")</f>
        <v/>
      </c>
    </row>
    <row r="715" spans="1:12" x14ac:dyDescent="0.25">
      <c r="A715" s="64"/>
      <c r="B715" s="64"/>
      <c r="C715" s="65"/>
      <c r="D715" s="65"/>
      <c r="E715" s="65"/>
      <c r="F715" s="61"/>
      <c r="G715" s="61"/>
      <c r="H715" s="61"/>
      <c r="I715" s="61"/>
      <c r="J715" s="61"/>
      <c r="K715" s="3" t="str">
        <f t="shared" si="11"/>
        <v>fail</v>
      </c>
      <c r="L715" s="19" t="str">
        <f>IFERROR(IF(AND(MATCH(A715,Projection_classes,0),YEAR(current_date)=Projections!B715),"pass","fail"),"")</f>
        <v/>
      </c>
    </row>
    <row r="716" spans="1:12" x14ac:dyDescent="0.25">
      <c r="A716" s="64"/>
      <c r="B716" s="64"/>
      <c r="C716" s="65"/>
      <c r="D716" s="65"/>
      <c r="E716" s="65"/>
      <c r="F716" s="61"/>
      <c r="G716" s="61"/>
      <c r="H716" s="61"/>
      <c r="I716" s="61"/>
      <c r="J716" s="61"/>
      <c r="K716" s="3" t="str">
        <f t="shared" si="11"/>
        <v>fail</v>
      </c>
      <c r="L716" s="19" t="str">
        <f>IFERROR(IF(AND(MATCH(A716,Projection_classes,0),YEAR(current_date)=Projections!B716),"pass","fail"),"")</f>
        <v/>
      </c>
    </row>
    <row r="717" spans="1:12" x14ac:dyDescent="0.25">
      <c r="A717" s="64"/>
      <c r="B717" s="64"/>
      <c r="C717" s="65"/>
      <c r="D717" s="65"/>
      <c r="E717" s="65"/>
      <c r="F717" s="61"/>
      <c r="G717" s="61"/>
      <c r="H717" s="61"/>
      <c r="I717" s="61"/>
      <c r="J717" s="61"/>
      <c r="K717" s="3" t="str">
        <f t="shared" si="11"/>
        <v>fail</v>
      </c>
      <c r="L717" s="19" t="str">
        <f>IFERROR(IF(AND(MATCH(A717,Projection_classes,0),YEAR(current_date)=Projections!B717),"pass","fail"),"")</f>
        <v/>
      </c>
    </row>
    <row r="718" spans="1:12" x14ac:dyDescent="0.25">
      <c r="A718" s="64"/>
      <c r="B718" s="64"/>
      <c r="C718" s="65"/>
      <c r="D718" s="65"/>
      <c r="E718" s="65"/>
      <c r="F718" s="61"/>
      <c r="G718" s="61"/>
      <c r="H718" s="61"/>
      <c r="I718" s="61"/>
      <c r="J718" s="61"/>
      <c r="K718" s="3" t="str">
        <f t="shared" si="11"/>
        <v>fail</v>
      </c>
      <c r="L718" s="19" t="str">
        <f>IFERROR(IF(AND(MATCH(A718,Projection_classes,0),YEAR(current_date)=Projections!B718),"pass","fail"),"")</f>
        <v/>
      </c>
    </row>
    <row r="719" spans="1:12" x14ac:dyDescent="0.25">
      <c r="A719" s="64"/>
      <c r="B719" s="64"/>
      <c r="C719" s="65"/>
      <c r="D719" s="65"/>
      <c r="E719" s="65"/>
      <c r="F719" s="61"/>
      <c r="G719" s="61"/>
      <c r="H719" s="61"/>
      <c r="I719" s="61"/>
      <c r="J719" s="61"/>
      <c r="K719" s="3" t="str">
        <f t="shared" si="11"/>
        <v>fail</v>
      </c>
      <c r="L719" s="19" t="str">
        <f>IFERROR(IF(AND(MATCH(A719,Projection_classes,0),YEAR(current_date)=Projections!B719),"pass","fail"),"")</f>
        <v/>
      </c>
    </row>
    <row r="720" spans="1:12" x14ac:dyDescent="0.25">
      <c r="A720" s="64"/>
      <c r="B720" s="64"/>
      <c r="C720" s="65"/>
      <c r="D720" s="65"/>
      <c r="E720" s="65"/>
      <c r="F720" s="61"/>
      <c r="G720" s="61"/>
      <c r="H720" s="61"/>
      <c r="I720" s="61"/>
      <c r="J720" s="61"/>
      <c r="K720" s="3" t="str">
        <f t="shared" si="11"/>
        <v>fail</v>
      </c>
      <c r="L720" s="19" t="str">
        <f>IFERROR(IF(AND(MATCH(A720,Projection_classes,0),YEAR(current_date)=Projections!B720),"pass","fail"),"")</f>
        <v/>
      </c>
    </row>
    <row r="721" spans="1:12" x14ac:dyDescent="0.25">
      <c r="A721" s="64"/>
      <c r="B721" s="64"/>
      <c r="C721" s="65"/>
      <c r="D721" s="65"/>
      <c r="E721" s="65"/>
      <c r="F721" s="61"/>
      <c r="G721" s="61"/>
      <c r="H721" s="61"/>
      <c r="I721" s="61"/>
      <c r="J721" s="61"/>
      <c r="K721" s="3" t="str">
        <f t="shared" si="11"/>
        <v>fail</v>
      </c>
      <c r="L721" s="19" t="str">
        <f>IFERROR(IF(AND(MATCH(A721,Projection_classes,0),YEAR(current_date)=Projections!B721),"pass","fail"),"")</f>
        <v/>
      </c>
    </row>
    <row r="722" spans="1:12" x14ac:dyDescent="0.25">
      <c r="A722" s="64"/>
      <c r="B722" s="64"/>
      <c r="C722" s="65"/>
      <c r="D722" s="65"/>
      <c r="E722" s="65"/>
      <c r="F722" s="61"/>
      <c r="G722" s="61"/>
      <c r="H722" s="61"/>
      <c r="I722" s="61"/>
      <c r="J722" s="61"/>
      <c r="K722" s="3" t="str">
        <f t="shared" si="11"/>
        <v>fail</v>
      </c>
      <c r="L722" s="19" t="str">
        <f>IFERROR(IF(AND(MATCH(A722,Projection_classes,0),YEAR(current_date)=Projections!B722),"pass","fail"),"")</f>
        <v/>
      </c>
    </row>
    <row r="723" spans="1:12" x14ac:dyDescent="0.25">
      <c r="A723" s="64"/>
      <c r="B723" s="64"/>
      <c r="C723" s="65"/>
      <c r="D723" s="65"/>
      <c r="E723" s="65"/>
      <c r="F723" s="61"/>
      <c r="G723" s="61"/>
      <c r="H723" s="61"/>
      <c r="I723" s="61"/>
      <c r="J723" s="61"/>
      <c r="K723" s="3" t="str">
        <f t="shared" si="11"/>
        <v>fail</v>
      </c>
      <c r="L723" s="19" t="str">
        <f>IFERROR(IF(AND(MATCH(A723,Projection_classes,0),YEAR(current_date)=Projections!B723),"pass","fail"),"")</f>
        <v/>
      </c>
    </row>
    <row r="724" spans="1:12" x14ac:dyDescent="0.25">
      <c r="A724" s="64"/>
      <c r="B724" s="64"/>
      <c r="C724" s="65"/>
      <c r="D724" s="65"/>
      <c r="E724" s="65"/>
      <c r="F724" s="61"/>
      <c r="G724" s="61"/>
      <c r="H724" s="61"/>
      <c r="I724" s="61"/>
      <c r="J724" s="61"/>
      <c r="K724" s="3" t="str">
        <f t="shared" si="11"/>
        <v>fail</v>
      </c>
      <c r="L724" s="19" t="str">
        <f>IFERROR(IF(AND(MATCH(A724,Projection_classes,0),YEAR(current_date)=Projections!B724),"pass","fail"),"")</f>
        <v/>
      </c>
    </row>
    <row r="725" spans="1:12" x14ac:dyDescent="0.25">
      <c r="A725" s="64"/>
      <c r="B725" s="64"/>
      <c r="C725" s="65"/>
      <c r="D725" s="65"/>
      <c r="E725" s="65"/>
      <c r="F725" s="61"/>
      <c r="G725" s="61"/>
      <c r="H725" s="61"/>
      <c r="I725" s="61"/>
      <c r="J725" s="61"/>
      <c r="K725" s="3" t="str">
        <f t="shared" si="11"/>
        <v>fail</v>
      </c>
      <c r="L725" s="19" t="str">
        <f>IFERROR(IF(AND(MATCH(A725,Projection_classes,0),YEAR(current_date)=Projections!B725),"pass","fail"),"")</f>
        <v/>
      </c>
    </row>
    <row r="726" spans="1:12" x14ac:dyDescent="0.25">
      <c r="A726" s="64"/>
      <c r="B726" s="64"/>
      <c r="C726" s="65"/>
      <c r="D726" s="65"/>
      <c r="E726" s="65"/>
      <c r="F726" s="61"/>
      <c r="G726" s="61"/>
      <c r="H726" s="61"/>
      <c r="I726" s="61"/>
      <c r="J726" s="61"/>
      <c r="K726" s="3" t="str">
        <f t="shared" si="11"/>
        <v>fail</v>
      </c>
      <c r="L726" s="19" t="str">
        <f>IFERROR(IF(AND(MATCH(A726,Projection_classes,0),YEAR(current_date)=Projections!B726),"pass","fail"),"")</f>
        <v/>
      </c>
    </row>
    <row r="727" spans="1:12" x14ac:dyDescent="0.25">
      <c r="A727" s="64"/>
      <c r="B727" s="64"/>
      <c r="C727" s="65"/>
      <c r="D727" s="65"/>
      <c r="E727" s="65"/>
      <c r="F727" s="61"/>
      <c r="G727" s="61"/>
      <c r="H727" s="61"/>
      <c r="I727" s="61"/>
      <c r="J727" s="61"/>
      <c r="K727" s="3" t="str">
        <f t="shared" si="11"/>
        <v>fail</v>
      </c>
      <c r="L727" s="19" t="str">
        <f>IFERROR(IF(AND(MATCH(A727,Projection_classes,0),YEAR(current_date)=Projections!B727),"pass","fail"),"")</f>
        <v/>
      </c>
    </row>
    <row r="728" spans="1:12" x14ac:dyDescent="0.25">
      <c r="A728" s="64"/>
      <c r="B728" s="64"/>
      <c r="C728" s="65"/>
      <c r="D728" s="65"/>
      <c r="E728" s="65"/>
      <c r="F728" s="61"/>
      <c r="G728" s="61"/>
      <c r="H728" s="61"/>
      <c r="I728" s="61"/>
      <c r="J728" s="61"/>
      <c r="K728" s="3" t="str">
        <f t="shared" si="11"/>
        <v>fail</v>
      </c>
      <c r="L728" s="19" t="str">
        <f>IFERROR(IF(AND(MATCH(A728,Projection_classes,0),YEAR(current_date)=Projections!B728),"pass","fail"),"")</f>
        <v/>
      </c>
    </row>
    <row r="729" spans="1:12" x14ac:dyDescent="0.25">
      <c r="A729" s="64"/>
      <c r="B729" s="64"/>
      <c r="C729" s="65"/>
      <c r="D729" s="65"/>
      <c r="E729" s="65"/>
      <c r="F729" s="61"/>
      <c r="G729" s="61"/>
      <c r="H729" s="61"/>
      <c r="I729" s="61"/>
      <c r="J729" s="61"/>
      <c r="K729" s="3" t="str">
        <f t="shared" si="11"/>
        <v>fail</v>
      </c>
      <c r="L729" s="19" t="str">
        <f>IFERROR(IF(AND(MATCH(A729,Projection_classes,0),YEAR(current_date)=Projections!B729),"pass","fail"),"")</f>
        <v/>
      </c>
    </row>
    <row r="730" spans="1:12" x14ac:dyDescent="0.25">
      <c r="A730" s="64"/>
      <c r="B730" s="64"/>
      <c r="C730" s="65"/>
      <c r="D730" s="65"/>
      <c r="E730" s="65"/>
      <c r="F730" s="61"/>
      <c r="G730" s="61"/>
      <c r="H730" s="61"/>
      <c r="I730" s="61"/>
      <c r="J730" s="61"/>
      <c r="K730" s="3" t="str">
        <f t="shared" si="11"/>
        <v>fail</v>
      </c>
      <c r="L730" s="19" t="str">
        <f>IFERROR(IF(AND(MATCH(A730,Projection_classes,0),YEAR(current_date)=Projections!B730),"pass","fail"),"")</f>
        <v/>
      </c>
    </row>
    <row r="731" spans="1:12" x14ac:dyDescent="0.25">
      <c r="A731" s="64"/>
      <c r="B731" s="64"/>
      <c r="C731" s="65"/>
      <c r="D731" s="65"/>
      <c r="E731" s="65"/>
      <c r="F731" s="61"/>
      <c r="G731" s="61"/>
      <c r="H731" s="61"/>
      <c r="I731" s="61"/>
      <c r="J731" s="61"/>
      <c r="K731" s="3" t="str">
        <f t="shared" si="11"/>
        <v>fail</v>
      </c>
      <c r="L731" s="19" t="str">
        <f>IFERROR(IF(AND(MATCH(A731,Projection_classes,0),YEAR(current_date)=Projections!B731),"pass","fail"),"")</f>
        <v/>
      </c>
    </row>
    <row r="732" spans="1:12" x14ac:dyDescent="0.25">
      <c r="A732" s="64"/>
      <c r="B732" s="64"/>
      <c r="C732" s="65"/>
      <c r="D732" s="65"/>
      <c r="E732" s="65"/>
      <c r="F732" s="61"/>
      <c r="G732" s="61"/>
      <c r="H732" s="61"/>
      <c r="I732" s="61"/>
      <c r="J732" s="61"/>
      <c r="K732" s="3" t="str">
        <f t="shared" si="11"/>
        <v>fail</v>
      </c>
      <c r="L732" s="19" t="str">
        <f>IFERROR(IF(AND(MATCH(A732,Projection_classes,0),YEAR(current_date)=Projections!B732),"pass","fail"),"")</f>
        <v/>
      </c>
    </row>
    <row r="733" spans="1:12" x14ac:dyDescent="0.25">
      <c r="A733" s="64"/>
      <c r="B733" s="64"/>
      <c r="C733" s="65"/>
      <c r="D733" s="65"/>
      <c r="E733" s="65"/>
      <c r="F733" s="61"/>
      <c r="G733" s="61"/>
      <c r="H733" s="61"/>
      <c r="I733" s="61"/>
      <c r="J733" s="61"/>
      <c r="K733" s="3" t="str">
        <f t="shared" si="11"/>
        <v>fail</v>
      </c>
      <c r="L733" s="19" t="str">
        <f>IFERROR(IF(AND(MATCH(A733,Projection_classes,0),YEAR(current_date)=Projections!B733),"pass","fail"),"")</f>
        <v/>
      </c>
    </row>
    <row r="734" spans="1:12" x14ac:dyDescent="0.25">
      <c r="A734" s="64"/>
      <c r="B734" s="64"/>
      <c r="C734" s="65"/>
      <c r="D734" s="65"/>
      <c r="E734" s="65"/>
      <c r="F734" s="61"/>
      <c r="G734" s="61"/>
      <c r="H734" s="61"/>
      <c r="I734" s="61"/>
      <c r="J734" s="61"/>
      <c r="K734" s="3" t="str">
        <f t="shared" si="11"/>
        <v>fail</v>
      </c>
      <c r="L734" s="19" t="str">
        <f>IFERROR(IF(AND(MATCH(A734,Projection_classes,0),YEAR(current_date)=Projections!B734),"pass","fail"),"")</f>
        <v/>
      </c>
    </row>
    <row r="735" spans="1:12" x14ac:dyDescent="0.25">
      <c r="A735" s="64"/>
      <c r="B735" s="64"/>
      <c r="C735" s="65"/>
      <c r="D735" s="65"/>
      <c r="E735" s="65"/>
      <c r="F735" s="61"/>
      <c r="G735" s="61"/>
      <c r="H735" s="61"/>
      <c r="I735" s="61"/>
      <c r="J735" s="61"/>
      <c r="K735" s="3" t="str">
        <f t="shared" si="11"/>
        <v>fail</v>
      </c>
      <c r="L735" s="19" t="str">
        <f>IFERROR(IF(AND(MATCH(A735,Projection_classes,0),YEAR(current_date)=Projections!B735),"pass","fail"),"")</f>
        <v/>
      </c>
    </row>
    <row r="736" spans="1:12" x14ac:dyDescent="0.25">
      <c r="A736" s="64"/>
      <c r="B736" s="64"/>
      <c r="C736" s="65"/>
      <c r="D736" s="65"/>
      <c r="E736" s="65"/>
      <c r="F736" s="61"/>
      <c r="G736" s="61"/>
      <c r="H736" s="61"/>
      <c r="I736" s="61"/>
      <c r="J736" s="61"/>
      <c r="K736" s="3" t="str">
        <f t="shared" si="11"/>
        <v>fail</v>
      </c>
      <c r="L736" s="19" t="str">
        <f>IFERROR(IF(AND(MATCH(A736,Projection_classes,0),YEAR(current_date)=Projections!B736),"pass","fail"),"")</f>
        <v/>
      </c>
    </row>
    <row r="737" spans="1:12" x14ac:dyDescent="0.25">
      <c r="A737" s="64"/>
      <c r="B737" s="64"/>
      <c r="C737" s="65"/>
      <c r="D737" s="65"/>
      <c r="E737" s="65"/>
      <c r="F737" s="61"/>
      <c r="G737" s="61"/>
      <c r="H737" s="61"/>
      <c r="I737" s="61"/>
      <c r="J737" s="61"/>
      <c r="K737" s="3" t="str">
        <f t="shared" si="11"/>
        <v>fail</v>
      </c>
      <c r="L737" s="19" t="str">
        <f>IFERROR(IF(AND(MATCH(A737,Projection_classes,0),YEAR(current_date)=Projections!B737),"pass","fail"),"")</f>
        <v/>
      </c>
    </row>
    <row r="738" spans="1:12" x14ac:dyDescent="0.25">
      <c r="A738" s="64"/>
      <c r="B738" s="64"/>
      <c r="C738" s="65"/>
      <c r="D738" s="65"/>
      <c r="E738" s="65"/>
      <c r="F738" s="61"/>
      <c r="G738" s="61"/>
      <c r="H738" s="61"/>
      <c r="I738" s="61"/>
      <c r="J738" s="61"/>
      <c r="K738" s="3" t="str">
        <f t="shared" si="11"/>
        <v>fail</v>
      </c>
      <c r="L738" s="19" t="str">
        <f>IFERROR(IF(AND(MATCH(A738,Projection_classes,0),YEAR(current_date)=Projections!B738),"pass","fail"),"")</f>
        <v/>
      </c>
    </row>
    <row r="739" spans="1:12" x14ac:dyDescent="0.25">
      <c r="A739" s="64"/>
      <c r="B739" s="64"/>
      <c r="C739" s="65"/>
      <c r="D739" s="65"/>
      <c r="E739" s="65"/>
      <c r="F739" s="61"/>
      <c r="G739" s="61"/>
      <c r="H739" s="61"/>
      <c r="I739" s="61"/>
      <c r="J739" s="61"/>
      <c r="K739" s="3" t="str">
        <f t="shared" si="11"/>
        <v>fail</v>
      </c>
      <c r="L739" s="19" t="str">
        <f>IFERROR(IF(AND(MATCH(A739,Projection_classes,0),YEAR(current_date)=Projections!B739),"pass","fail"),"")</f>
        <v/>
      </c>
    </row>
    <row r="740" spans="1:12" x14ac:dyDescent="0.25">
      <c r="A740" s="64"/>
      <c r="B740" s="64"/>
      <c r="C740" s="65"/>
      <c r="D740" s="65"/>
      <c r="E740" s="65"/>
      <c r="F740" s="61"/>
      <c r="G740" s="61"/>
      <c r="H740" s="61"/>
      <c r="I740" s="61"/>
      <c r="J740" s="61"/>
      <c r="K740" s="3" t="str">
        <f t="shared" si="11"/>
        <v>fail</v>
      </c>
      <c r="L740" s="19" t="str">
        <f>IFERROR(IF(AND(MATCH(A740,Projection_classes,0),YEAR(current_date)=Projections!B740),"pass","fail"),"")</f>
        <v/>
      </c>
    </row>
    <row r="741" spans="1:12" x14ac:dyDescent="0.25">
      <c r="A741" s="64"/>
      <c r="B741" s="64"/>
      <c r="C741" s="65"/>
      <c r="D741" s="65"/>
      <c r="E741" s="65"/>
      <c r="F741" s="61"/>
      <c r="G741" s="61"/>
      <c r="H741" s="61"/>
      <c r="I741" s="61"/>
      <c r="J741" s="61"/>
      <c r="K741" s="3" t="str">
        <f t="shared" si="11"/>
        <v>fail</v>
      </c>
      <c r="L741" s="19" t="str">
        <f>IFERROR(IF(AND(MATCH(A741,Projection_classes,0),YEAR(current_date)=Projections!B741),"pass","fail"),"")</f>
        <v/>
      </c>
    </row>
    <row r="742" spans="1:12" x14ac:dyDescent="0.25">
      <c r="A742" s="64"/>
      <c r="B742" s="64"/>
      <c r="C742" s="65"/>
      <c r="D742" s="65"/>
      <c r="E742" s="65"/>
      <c r="F742" s="61"/>
      <c r="G742" s="61"/>
      <c r="H742" s="61"/>
      <c r="I742" s="61"/>
      <c r="J742" s="61"/>
      <c r="K742" s="3" t="str">
        <f t="shared" si="11"/>
        <v>fail</v>
      </c>
      <c r="L742" s="19" t="str">
        <f>IFERROR(IF(AND(MATCH(A742,Projection_classes,0),YEAR(current_date)=Projections!B742),"pass","fail"),"")</f>
        <v/>
      </c>
    </row>
    <row r="743" spans="1:12" x14ac:dyDescent="0.25">
      <c r="A743" s="64"/>
      <c r="B743" s="64"/>
      <c r="C743" s="65"/>
      <c r="D743" s="65"/>
      <c r="E743" s="65"/>
      <c r="F743" s="61"/>
      <c r="G743" s="61"/>
      <c r="H743" s="61"/>
      <c r="I743" s="61"/>
      <c r="J743" s="61"/>
      <c r="K743" s="3" t="str">
        <f t="shared" si="11"/>
        <v>fail</v>
      </c>
      <c r="L743" s="19" t="str">
        <f>IFERROR(IF(AND(MATCH(A743,Projection_classes,0),YEAR(current_date)=Projections!B743),"pass","fail"),"")</f>
        <v/>
      </c>
    </row>
    <row r="744" spans="1:12" x14ac:dyDescent="0.25">
      <c r="A744" s="64"/>
      <c r="B744" s="64"/>
      <c r="C744" s="65"/>
      <c r="D744" s="65"/>
      <c r="E744" s="65"/>
      <c r="F744" s="61"/>
      <c r="G744" s="61"/>
      <c r="H744" s="61"/>
      <c r="I744" s="61"/>
      <c r="J744" s="61"/>
      <c r="K744" s="3" t="str">
        <f t="shared" si="11"/>
        <v>fail</v>
      </c>
      <c r="L744" s="19" t="str">
        <f>IFERROR(IF(AND(MATCH(A744,Projection_classes,0),YEAR(current_date)=Projections!B744),"pass","fail"),"")</f>
        <v/>
      </c>
    </row>
    <row r="745" spans="1:12" x14ac:dyDescent="0.25">
      <c r="A745" s="64"/>
      <c r="B745" s="64"/>
      <c r="C745" s="65"/>
      <c r="D745" s="65"/>
      <c r="E745" s="65"/>
      <c r="F745" s="61"/>
      <c r="G745" s="61"/>
      <c r="H745" s="61"/>
      <c r="I745" s="61"/>
      <c r="J745" s="61"/>
      <c r="K745" s="3" t="str">
        <f t="shared" si="11"/>
        <v>fail</v>
      </c>
      <c r="L745" s="19" t="str">
        <f>IFERROR(IF(AND(MATCH(A745,Projection_classes,0),YEAR(current_date)=Projections!B745),"pass","fail"),"")</f>
        <v/>
      </c>
    </row>
    <row r="746" spans="1:12" x14ac:dyDescent="0.25">
      <c r="A746" s="64"/>
      <c r="B746" s="64"/>
      <c r="C746" s="65"/>
      <c r="D746" s="65"/>
      <c r="E746" s="65"/>
      <c r="F746" s="61"/>
      <c r="G746" s="61"/>
      <c r="H746" s="61"/>
      <c r="I746" s="61"/>
      <c r="J746" s="61"/>
      <c r="K746" s="3" t="str">
        <f t="shared" si="11"/>
        <v>fail</v>
      </c>
      <c r="L746" s="19" t="str">
        <f>IFERROR(IF(AND(MATCH(A746,Projection_classes,0),YEAR(current_date)=Projections!B746),"pass","fail"),"")</f>
        <v/>
      </c>
    </row>
    <row r="747" spans="1:12" x14ac:dyDescent="0.25">
      <c r="A747" s="64"/>
      <c r="B747" s="64"/>
      <c r="C747" s="65"/>
      <c r="D747" s="65"/>
      <c r="E747" s="65"/>
      <c r="F747" s="61"/>
      <c r="G747" s="61"/>
      <c r="H747" s="61"/>
      <c r="I747" s="61"/>
      <c r="J747" s="61"/>
      <c r="K747" s="3" t="str">
        <f t="shared" si="11"/>
        <v>fail</v>
      </c>
      <c r="L747" s="19" t="str">
        <f>IFERROR(IF(AND(MATCH(A747,Projection_classes,0),YEAR(current_date)=Projections!B747),"pass","fail"),"")</f>
        <v/>
      </c>
    </row>
    <row r="748" spans="1:12" x14ac:dyDescent="0.25">
      <c r="A748" s="64"/>
      <c r="B748" s="64"/>
      <c r="C748" s="65"/>
      <c r="D748" s="65"/>
      <c r="E748" s="65"/>
      <c r="F748" s="61"/>
      <c r="G748" s="61"/>
      <c r="H748" s="61"/>
      <c r="I748" s="61"/>
      <c r="J748" s="61"/>
      <c r="K748" s="3" t="str">
        <f t="shared" si="11"/>
        <v>fail</v>
      </c>
      <c r="L748" s="19" t="str">
        <f>IFERROR(IF(AND(MATCH(A748,Projection_classes,0),YEAR(current_date)=Projections!B748),"pass","fail"),"")</f>
        <v/>
      </c>
    </row>
    <row r="749" spans="1:12" x14ac:dyDescent="0.25">
      <c r="A749" s="64"/>
      <c r="B749" s="64"/>
      <c r="C749" s="65"/>
      <c r="D749" s="65"/>
      <c r="E749" s="65"/>
      <c r="F749" s="61"/>
      <c r="G749" s="61"/>
      <c r="H749" s="61"/>
      <c r="I749" s="61"/>
      <c r="J749" s="61"/>
      <c r="K749" s="3" t="str">
        <f t="shared" si="11"/>
        <v>fail</v>
      </c>
      <c r="L749" s="19" t="str">
        <f>IFERROR(IF(AND(MATCH(A749,Projection_classes,0),YEAR(current_date)=Projections!B749),"pass","fail"),"")</f>
        <v/>
      </c>
    </row>
    <row r="750" spans="1:12" x14ac:dyDescent="0.25">
      <c r="A750" s="64"/>
      <c r="B750" s="64"/>
      <c r="C750" s="65"/>
      <c r="D750" s="65"/>
      <c r="E750" s="65"/>
      <c r="F750" s="61"/>
      <c r="G750" s="61"/>
      <c r="H750" s="61"/>
      <c r="I750" s="61"/>
      <c r="J750" s="61"/>
      <c r="K750" s="3" t="str">
        <f t="shared" si="11"/>
        <v>fail</v>
      </c>
      <c r="L750" s="19" t="str">
        <f>IFERROR(IF(AND(MATCH(A750,Projection_classes,0),YEAR(current_date)=Projections!B750),"pass","fail"),"")</f>
        <v/>
      </c>
    </row>
    <row r="751" spans="1:12" x14ac:dyDescent="0.25">
      <c r="A751" s="64"/>
      <c r="B751" s="64"/>
      <c r="C751" s="65"/>
      <c r="D751" s="65"/>
      <c r="E751" s="65"/>
      <c r="F751" s="61"/>
      <c r="G751" s="61"/>
      <c r="H751" s="61"/>
      <c r="I751" s="61"/>
      <c r="J751" s="61"/>
      <c r="K751" s="3" t="str">
        <f t="shared" si="11"/>
        <v>fail</v>
      </c>
      <c r="L751" s="19" t="str">
        <f>IFERROR(IF(AND(MATCH(A751,Projection_classes,0),YEAR(current_date)=Projections!B751),"pass","fail"),"")</f>
        <v/>
      </c>
    </row>
    <row r="752" spans="1:12" x14ac:dyDescent="0.25">
      <c r="A752" s="64"/>
      <c r="B752" s="64"/>
      <c r="C752" s="65"/>
      <c r="D752" s="65"/>
      <c r="E752" s="65"/>
      <c r="F752" s="61"/>
      <c r="G752" s="61"/>
      <c r="H752" s="61"/>
      <c r="I752" s="61"/>
      <c r="J752" s="61"/>
      <c r="K752" s="3" t="str">
        <f t="shared" si="11"/>
        <v>fail</v>
      </c>
      <c r="L752" s="19" t="str">
        <f>IFERROR(IF(AND(MATCH(A752,Projection_classes,0),YEAR(current_date)=Projections!B752),"pass","fail"),"")</f>
        <v/>
      </c>
    </row>
    <row r="753" spans="1:12" x14ac:dyDescent="0.25">
      <c r="A753" s="64"/>
      <c r="B753" s="64"/>
      <c r="C753" s="65"/>
      <c r="D753" s="65"/>
      <c r="E753" s="65"/>
      <c r="F753" s="61"/>
      <c r="G753" s="61"/>
      <c r="H753" s="61"/>
      <c r="I753" s="61"/>
      <c r="J753" s="61"/>
      <c r="K753" s="3" t="str">
        <f t="shared" si="11"/>
        <v>fail</v>
      </c>
      <c r="L753" s="19" t="str">
        <f>IFERROR(IF(AND(MATCH(A753,Projection_classes,0),YEAR(current_date)=Projections!B753),"pass","fail"),"")</f>
        <v/>
      </c>
    </row>
    <row r="754" spans="1:12" x14ac:dyDescent="0.25">
      <c r="A754" s="64"/>
      <c r="B754" s="64"/>
      <c r="C754" s="65"/>
      <c r="D754" s="65"/>
      <c r="E754" s="65"/>
      <c r="F754" s="61"/>
      <c r="G754" s="61"/>
      <c r="H754" s="61"/>
      <c r="I754" s="61"/>
      <c r="J754" s="61"/>
      <c r="K754" s="3" t="str">
        <f t="shared" si="11"/>
        <v>fail</v>
      </c>
      <c r="L754" s="19" t="str">
        <f>IFERROR(IF(AND(MATCH(A754,Projection_classes,0),YEAR(current_date)=Projections!B754),"pass","fail"),"")</f>
        <v/>
      </c>
    </row>
    <row r="755" spans="1:12" x14ac:dyDescent="0.25">
      <c r="A755" s="64"/>
      <c r="B755" s="64"/>
      <c r="C755" s="65"/>
      <c r="D755" s="65"/>
      <c r="E755" s="65"/>
      <c r="F755" s="61"/>
      <c r="G755" s="61"/>
      <c r="H755" s="61"/>
      <c r="I755" s="61"/>
      <c r="J755" s="61"/>
      <c r="K755" s="3" t="str">
        <f t="shared" si="11"/>
        <v>fail</v>
      </c>
      <c r="L755" s="19" t="str">
        <f>IFERROR(IF(AND(MATCH(A755,Projection_classes,0),YEAR(current_date)=Projections!B755),"pass","fail"),"")</f>
        <v/>
      </c>
    </row>
    <row r="756" spans="1:12" x14ac:dyDescent="0.25">
      <c r="A756" s="64"/>
      <c r="B756" s="64"/>
      <c r="C756" s="65"/>
      <c r="D756" s="65"/>
      <c r="E756" s="65"/>
      <c r="F756" s="61"/>
      <c r="G756" s="61"/>
      <c r="H756" s="61"/>
      <c r="I756" s="61"/>
      <c r="J756" s="61"/>
      <c r="K756" s="3" t="str">
        <f t="shared" si="11"/>
        <v>fail</v>
      </c>
      <c r="L756" s="19" t="str">
        <f>IFERROR(IF(AND(MATCH(A756,Projection_classes,0),YEAR(current_date)=Projections!B756),"pass","fail"),"")</f>
        <v/>
      </c>
    </row>
    <row r="757" spans="1:12" x14ac:dyDescent="0.25">
      <c r="A757" s="64"/>
      <c r="B757" s="64"/>
      <c r="C757" s="65"/>
      <c r="D757" s="65"/>
      <c r="E757" s="65"/>
      <c r="F757" s="61"/>
      <c r="G757" s="61"/>
      <c r="H757" s="61"/>
      <c r="I757" s="61"/>
      <c r="J757" s="61"/>
      <c r="K757" s="3" t="str">
        <f t="shared" si="11"/>
        <v>fail</v>
      </c>
      <c r="L757" s="19" t="str">
        <f>IFERROR(IF(AND(MATCH(A757,Projection_classes,0),YEAR(current_date)=Projections!B757),"pass","fail"),"")</f>
        <v/>
      </c>
    </row>
    <row r="758" spans="1:12" x14ac:dyDescent="0.25">
      <c r="A758" s="64"/>
      <c r="B758" s="64"/>
      <c r="C758" s="65"/>
      <c r="D758" s="65"/>
      <c r="E758" s="65"/>
      <c r="F758" s="61"/>
      <c r="G758" s="61"/>
      <c r="H758" s="61"/>
      <c r="I758" s="61"/>
      <c r="J758" s="61"/>
      <c r="K758" s="3" t="str">
        <f t="shared" si="11"/>
        <v>fail</v>
      </c>
      <c r="L758" s="19" t="str">
        <f>IFERROR(IF(AND(MATCH(A758,Projection_classes,0),YEAR(current_date)=Projections!B758),"pass","fail"),"")</f>
        <v/>
      </c>
    </row>
    <row r="759" spans="1:12" x14ac:dyDescent="0.25">
      <c r="A759" s="64"/>
      <c r="B759" s="64"/>
      <c r="C759" s="65"/>
      <c r="D759" s="65"/>
      <c r="E759" s="65"/>
      <c r="F759" s="61"/>
      <c r="G759" s="61"/>
      <c r="H759" s="61"/>
      <c r="I759" s="61"/>
      <c r="J759" s="61"/>
      <c r="K759" s="3" t="str">
        <f t="shared" si="11"/>
        <v>fail</v>
      </c>
      <c r="L759" s="19" t="str">
        <f>IFERROR(IF(AND(MATCH(A759,Projection_classes,0),YEAR(current_date)=Projections!B759),"pass","fail"),"")</f>
        <v/>
      </c>
    </row>
    <row r="760" spans="1:12" x14ac:dyDescent="0.25">
      <c r="A760" s="64"/>
      <c r="B760" s="64"/>
      <c r="C760" s="65"/>
      <c r="D760" s="65"/>
      <c r="E760" s="65"/>
      <c r="F760" s="61"/>
      <c r="G760" s="61"/>
      <c r="H760" s="61"/>
      <c r="I760" s="61"/>
      <c r="J760" s="61"/>
      <c r="K760" s="3" t="str">
        <f t="shared" si="11"/>
        <v>fail</v>
      </c>
      <c r="L760" s="19" t="str">
        <f>IFERROR(IF(AND(MATCH(A760,Projection_classes,0),YEAR(current_date)=Projections!B760),"pass","fail"),"")</f>
        <v/>
      </c>
    </row>
    <row r="761" spans="1:12" x14ac:dyDescent="0.25">
      <c r="A761" s="64"/>
      <c r="B761" s="64"/>
      <c r="C761" s="65"/>
      <c r="D761" s="65"/>
      <c r="E761" s="65"/>
      <c r="F761" s="61"/>
      <c r="G761" s="61"/>
      <c r="H761" s="61"/>
      <c r="I761" s="61"/>
      <c r="J761" s="61"/>
      <c r="K761" s="3" t="str">
        <f t="shared" si="11"/>
        <v>fail</v>
      </c>
      <c r="L761" s="19" t="str">
        <f>IFERROR(IF(AND(MATCH(A761,Projection_classes,0),YEAR(current_date)=Projections!B761),"pass","fail"),"")</f>
        <v/>
      </c>
    </row>
    <row r="762" spans="1:12" x14ac:dyDescent="0.25">
      <c r="A762" s="64"/>
      <c r="B762" s="64"/>
      <c r="C762" s="65"/>
      <c r="D762" s="65"/>
      <c r="E762" s="65"/>
      <c r="F762" s="61"/>
      <c r="G762" s="61"/>
      <c r="H762" s="61"/>
      <c r="I762" s="61"/>
      <c r="J762" s="61"/>
      <c r="K762" s="3" t="str">
        <f t="shared" si="11"/>
        <v>fail</v>
      </c>
      <c r="L762" s="19" t="str">
        <f>IFERROR(IF(AND(MATCH(A762,Projection_classes,0),YEAR(current_date)=Projections!B762),"pass","fail"),"")</f>
        <v/>
      </c>
    </row>
    <row r="763" spans="1:12" x14ac:dyDescent="0.25">
      <c r="A763" s="64"/>
      <c r="B763" s="64"/>
      <c r="C763" s="65"/>
      <c r="D763" s="65"/>
      <c r="E763" s="65"/>
      <c r="F763" s="61"/>
      <c r="G763" s="61"/>
      <c r="H763" s="61"/>
      <c r="I763" s="61"/>
      <c r="J763" s="61"/>
      <c r="K763" s="3" t="str">
        <f t="shared" si="11"/>
        <v>fail</v>
      </c>
      <c r="L763" s="19" t="str">
        <f>IFERROR(IF(AND(MATCH(A763,Projection_classes,0),YEAR(current_date)=Projections!B763),"pass","fail"),"")</f>
        <v/>
      </c>
    </row>
    <row r="764" spans="1:12" x14ac:dyDescent="0.25">
      <c r="A764" s="64"/>
      <c r="B764" s="64"/>
      <c r="C764" s="65"/>
      <c r="D764" s="65"/>
      <c r="E764" s="65"/>
      <c r="F764" s="61"/>
      <c r="G764" s="61"/>
      <c r="H764" s="61"/>
      <c r="I764" s="61"/>
      <c r="J764" s="61"/>
      <c r="K764" s="3" t="str">
        <f t="shared" si="11"/>
        <v>fail</v>
      </c>
      <c r="L764" s="19" t="str">
        <f>IFERROR(IF(AND(MATCH(A764,Projection_classes,0),YEAR(current_date)=Projections!B764),"pass","fail"),"")</f>
        <v/>
      </c>
    </row>
    <row r="765" spans="1:12" x14ac:dyDescent="0.25">
      <c r="A765" s="64"/>
      <c r="B765" s="64"/>
      <c r="C765" s="65"/>
      <c r="D765" s="65"/>
      <c r="E765" s="65"/>
      <c r="F765" s="61"/>
      <c r="G765" s="61"/>
      <c r="H765" s="61"/>
      <c r="I765" s="61"/>
      <c r="J765" s="61"/>
      <c r="K765" s="3" t="str">
        <f t="shared" si="11"/>
        <v>fail</v>
      </c>
      <c r="L765" s="19" t="str">
        <f>IFERROR(IF(AND(MATCH(A765,Projection_classes,0),YEAR(current_date)=Projections!B765),"pass","fail"),"")</f>
        <v/>
      </c>
    </row>
    <row r="766" spans="1:12" x14ac:dyDescent="0.25">
      <c r="A766" s="64"/>
      <c r="B766" s="64"/>
      <c r="C766" s="65"/>
      <c r="D766" s="65"/>
      <c r="E766" s="65"/>
      <c r="F766" s="61"/>
      <c r="G766" s="61"/>
      <c r="H766" s="61"/>
      <c r="I766" s="61"/>
      <c r="J766" s="61"/>
      <c r="K766" s="3" t="str">
        <f t="shared" si="11"/>
        <v>fail</v>
      </c>
      <c r="L766" s="19" t="str">
        <f>IFERROR(IF(AND(MATCH(A766,Projection_classes,0),YEAR(current_date)=Projections!B766),"pass","fail"),"")</f>
        <v/>
      </c>
    </row>
    <row r="767" spans="1:12" x14ac:dyDescent="0.25">
      <c r="A767" s="64"/>
      <c r="B767" s="64"/>
      <c r="C767" s="65"/>
      <c r="D767" s="65"/>
      <c r="E767" s="65"/>
      <c r="F767" s="61"/>
      <c r="G767" s="61"/>
      <c r="H767" s="61"/>
      <c r="I767" s="61"/>
      <c r="J767" s="61"/>
      <c r="K767" s="3" t="str">
        <f t="shared" si="11"/>
        <v>fail</v>
      </c>
      <c r="L767" s="19" t="str">
        <f>IFERROR(IF(AND(MATCH(A767,Projection_classes,0),YEAR(current_date)=Projections!B767),"pass","fail"),"")</f>
        <v/>
      </c>
    </row>
    <row r="768" spans="1:12" x14ac:dyDescent="0.25">
      <c r="A768" s="64"/>
      <c r="B768" s="64"/>
      <c r="C768" s="65"/>
      <c r="D768" s="65"/>
      <c r="E768" s="65"/>
      <c r="F768" s="61"/>
      <c r="G768" s="61"/>
      <c r="H768" s="61"/>
      <c r="I768" s="61"/>
      <c r="J768" s="61"/>
      <c r="K768" s="3" t="str">
        <f t="shared" si="11"/>
        <v>fail</v>
      </c>
      <c r="L768" s="19" t="str">
        <f>IFERROR(IF(AND(MATCH(A768,Projection_classes,0),YEAR(current_date)=Projections!B768),"pass","fail"),"")</f>
        <v/>
      </c>
    </row>
    <row r="769" spans="1:12" x14ac:dyDescent="0.25">
      <c r="A769" s="64"/>
      <c r="B769" s="64"/>
      <c r="C769" s="65"/>
      <c r="D769" s="65"/>
      <c r="E769" s="65"/>
      <c r="F769" s="61"/>
      <c r="G769" s="61"/>
      <c r="H769" s="61"/>
      <c r="I769" s="61"/>
      <c r="J769" s="61"/>
      <c r="K769" s="3" t="str">
        <f t="shared" si="11"/>
        <v>fail</v>
      </c>
      <c r="L769" s="19" t="str">
        <f>IFERROR(IF(AND(MATCH(A769,Projection_classes,0),YEAR(current_date)=Projections!B769),"pass","fail"),"")</f>
        <v/>
      </c>
    </row>
    <row r="770" spans="1:12" x14ac:dyDescent="0.25">
      <c r="A770" s="64"/>
      <c r="B770" s="64"/>
      <c r="C770" s="65"/>
      <c r="D770" s="65"/>
      <c r="E770" s="65"/>
      <c r="F770" s="61"/>
      <c r="G770" s="61"/>
      <c r="H770" s="61"/>
      <c r="I770" s="61"/>
      <c r="J770" s="61"/>
      <c r="K770" s="3" t="str">
        <f t="shared" ref="K770:K833" si="12">IF(OR(B770&lt;$N$1,B770&gt;$P$1),"fail","pass")</f>
        <v>fail</v>
      </c>
      <c r="L770" s="19" t="str">
        <f>IFERROR(IF(AND(MATCH(A770,Projection_classes,0),YEAR(current_date)=Projections!B770),"pass","fail"),"")</f>
        <v/>
      </c>
    </row>
    <row r="771" spans="1:12" x14ac:dyDescent="0.25">
      <c r="A771" s="64"/>
      <c r="B771" s="64"/>
      <c r="C771" s="65"/>
      <c r="D771" s="65"/>
      <c r="E771" s="65"/>
      <c r="F771" s="61"/>
      <c r="G771" s="61"/>
      <c r="H771" s="61"/>
      <c r="I771" s="61"/>
      <c r="J771" s="61"/>
      <c r="K771" s="3" t="str">
        <f t="shared" si="12"/>
        <v>fail</v>
      </c>
      <c r="L771" s="19" t="str">
        <f>IFERROR(IF(AND(MATCH(A771,Projection_classes,0),YEAR(current_date)=Projections!B771),"pass","fail"),"")</f>
        <v/>
      </c>
    </row>
    <row r="772" spans="1:12" x14ac:dyDescent="0.25">
      <c r="A772" s="64"/>
      <c r="B772" s="64"/>
      <c r="C772" s="65"/>
      <c r="D772" s="65"/>
      <c r="E772" s="65"/>
      <c r="F772" s="61"/>
      <c r="G772" s="61"/>
      <c r="H772" s="61"/>
      <c r="I772" s="61"/>
      <c r="J772" s="61"/>
      <c r="K772" s="3" t="str">
        <f t="shared" si="12"/>
        <v>fail</v>
      </c>
      <c r="L772" s="19" t="str">
        <f>IFERROR(IF(AND(MATCH(A772,Projection_classes,0),YEAR(current_date)=Projections!B772),"pass","fail"),"")</f>
        <v/>
      </c>
    </row>
    <row r="773" spans="1:12" x14ac:dyDescent="0.25">
      <c r="A773" s="64"/>
      <c r="B773" s="64"/>
      <c r="C773" s="65"/>
      <c r="D773" s="65"/>
      <c r="E773" s="65"/>
      <c r="F773" s="61"/>
      <c r="G773" s="61"/>
      <c r="H773" s="61"/>
      <c r="I773" s="61"/>
      <c r="J773" s="61"/>
      <c r="K773" s="3" t="str">
        <f t="shared" si="12"/>
        <v>fail</v>
      </c>
      <c r="L773" s="19" t="str">
        <f>IFERROR(IF(AND(MATCH(A773,Projection_classes,0),YEAR(current_date)=Projections!B773),"pass","fail"),"")</f>
        <v/>
      </c>
    </row>
    <row r="774" spans="1:12" x14ac:dyDescent="0.25">
      <c r="A774" s="64"/>
      <c r="B774" s="64"/>
      <c r="C774" s="65"/>
      <c r="D774" s="65"/>
      <c r="E774" s="65"/>
      <c r="F774" s="61"/>
      <c r="G774" s="61"/>
      <c r="H774" s="61"/>
      <c r="I774" s="61"/>
      <c r="J774" s="61"/>
      <c r="K774" s="3" t="str">
        <f t="shared" si="12"/>
        <v>fail</v>
      </c>
      <c r="L774" s="19" t="str">
        <f>IFERROR(IF(AND(MATCH(A774,Projection_classes,0),YEAR(current_date)=Projections!B774),"pass","fail"),"")</f>
        <v/>
      </c>
    </row>
    <row r="775" spans="1:12" x14ac:dyDescent="0.25">
      <c r="A775" s="64"/>
      <c r="B775" s="64"/>
      <c r="C775" s="65"/>
      <c r="D775" s="65"/>
      <c r="E775" s="65"/>
      <c r="F775" s="61"/>
      <c r="G775" s="61"/>
      <c r="H775" s="61"/>
      <c r="I775" s="61"/>
      <c r="J775" s="61"/>
      <c r="K775" s="3" t="str">
        <f t="shared" si="12"/>
        <v>fail</v>
      </c>
      <c r="L775" s="19" t="str">
        <f>IFERROR(IF(AND(MATCH(A775,Projection_classes,0),YEAR(current_date)=Projections!B775),"pass","fail"),"")</f>
        <v/>
      </c>
    </row>
    <row r="776" spans="1:12" x14ac:dyDescent="0.25">
      <c r="A776" s="64"/>
      <c r="B776" s="64"/>
      <c r="C776" s="65"/>
      <c r="D776" s="65"/>
      <c r="E776" s="65"/>
      <c r="F776" s="61"/>
      <c r="G776" s="61"/>
      <c r="H776" s="61"/>
      <c r="I776" s="61"/>
      <c r="J776" s="61"/>
      <c r="K776" s="3" t="str">
        <f t="shared" si="12"/>
        <v>fail</v>
      </c>
      <c r="L776" s="19" t="str">
        <f>IFERROR(IF(AND(MATCH(A776,Projection_classes,0),YEAR(current_date)=Projections!B776),"pass","fail"),"")</f>
        <v/>
      </c>
    </row>
    <row r="777" spans="1:12" x14ac:dyDescent="0.25">
      <c r="A777" s="64"/>
      <c r="B777" s="64"/>
      <c r="C777" s="65"/>
      <c r="D777" s="65"/>
      <c r="E777" s="65"/>
      <c r="F777" s="61"/>
      <c r="G777" s="61"/>
      <c r="H777" s="61"/>
      <c r="I777" s="61"/>
      <c r="J777" s="61"/>
      <c r="K777" s="3" t="str">
        <f t="shared" si="12"/>
        <v>fail</v>
      </c>
      <c r="L777" s="19" t="str">
        <f>IFERROR(IF(AND(MATCH(A777,Projection_classes,0),YEAR(current_date)=Projections!B777),"pass","fail"),"")</f>
        <v/>
      </c>
    </row>
    <row r="778" spans="1:12" x14ac:dyDescent="0.25">
      <c r="A778" s="64"/>
      <c r="B778" s="64"/>
      <c r="C778" s="65"/>
      <c r="D778" s="65"/>
      <c r="E778" s="65"/>
      <c r="F778" s="61"/>
      <c r="G778" s="61"/>
      <c r="H778" s="61"/>
      <c r="I778" s="61"/>
      <c r="J778" s="61"/>
      <c r="K778" s="3" t="str">
        <f t="shared" si="12"/>
        <v>fail</v>
      </c>
      <c r="L778" s="19" t="str">
        <f>IFERROR(IF(AND(MATCH(A778,Projection_classes,0),YEAR(current_date)=Projections!B778),"pass","fail"),"")</f>
        <v/>
      </c>
    </row>
    <row r="779" spans="1:12" x14ac:dyDescent="0.25">
      <c r="A779" s="64"/>
      <c r="B779" s="64"/>
      <c r="C779" s="65"/>
      <c r="D779" s="65"/>
      <c r="E779" s="65"/>
      <c r="F779" s="61"/>
      <c r="G779" s="61"/>
      <c r="H779" s="61"/>
      <c r="I779" s="61"/>
      <c r="J779" s="61"/>
      <c r="K779" s="3" t="str">
        <f t="shared" si="12"/>
        <v>fail</v>
      </c>
      <c r="L779" s="19" t="str">
        <f>IFERROR(IF(AND(MATCH(A779,Projection_classes,0),YEAR(current_date)=Projections!B779),"pass","fail"),"")</f>
        <v/>
      </c>
    </row>
    <row r="780" spans="1:12" x14ac:dyDescent="0.25">
      <c r="A780" s="64"/>
      <c r="B780" s="64"/>
      <c r="C780" s="65"/>
      <c r="D780" s="65"/>
      <c r="E780" s="65"/>
      <c r="F780" s="61"/>
      <c r="G780" s="61"/>
      <c r="H780" s="61"/>
      <c r="I780" s="61"/>
      <c r="J780" s="61"/>
      <c r="K780" s="3" t="str">
        <f t="shared" si="12"/>
        <v>fail</v>
      </c>
      <c r="L780" s="19" t="str">
        <f>IFERROR(IF(AND(MATCH(A780,Projection_classes,0),YEAR(current_date)=Projections!B780),"pass","fail"),"")</f>
        <v/>
      </c>
    </row>
    <row r="781" spans="1:12" x14ac:dyDescent="0.25">
      <c r="A781" s="64"/>
      <c r="B781" s="64"/>
      <c r="C781" s="65"/>
      <c r="D781" s="65"/>
      <c r="E781" s="65"/>
      <c r="F781" s="61"/>
      <c r="G781" s="61"/>
      <c r="H781" s="61"/>
      <c r="I781" s="61"/>
      <c r="J781" s="61"/>
      <c r="K781" s="3" t="str">
        <f t="shared" si="12"/>
        <v>fail</v>
      </c>
      <c r="L781" s="19" t="str">
        <f>IFERROR(IF(AND(MATCH(A781,Projection_classes,0),YEAR(current_date)=Projections!B781),"pass","fail"),"")</f>
        <v/>
      </c>
    </row>
    <row r="782" spans="1:12" x14ac:dyDescent="0.25">
      <c r="A782" s="64"/>
      <c r="B782" s="64"/>
      <c r="C782" s="65"/>
      <c r="D782" s="65"/>
      <c r="E782" s="65"/>
      <c r="F782" s="61"/>
      <c r="G782" s="61"/>
      <c r="H782" s="61"/>
      <c r="I782" s="61"/>
      <c r="J782" s="61"/>
      <c r="K782" s="3" t="str">
        <f t="shared" si="12"/>
        <v>fail</v>
      </c>
      <c r="L782" s="19" t="str">
        <f>IFERROR(IF(AND(MATCH(A782,Projection_classes,0),YEAR(current_date)=Projections!B782),"pass","fail"),"")</f>
        <v/>
      </c>
    </row>
    <row r="783" spans="1:12" x14ac:dyDescent="0.25">
      <c r="A783" s="64"/>
      <c r="B783" s="64"/>
      <c r="C783" s="65"/>
      <c r="D783" s="65"/>
      <c r="E783" s="65"/>
      <c r="F783" s="61"/>
      <c r="G783" s="61"/>
      <c r="H783" s="61"/>
      <c r="I783" s="61"/>
      <c r="J783" s="61"/>
      <c r="K783" s="3" t="str">
        <f t="shared" si="12"/>
        <v>fail</v>
      </c>
      <c r="L783" s="19" t="str">
        <f>IFERROR(IF(AND(MATCH(A783,Projection_classes,0),YEAR(current_date)=Projections!B783),"pass","fail"),"")</f>
        <v/>
      </c>
    </row>
    <row r="784" spans="1:12" x14ac:dyDescent="0.25">
      <c r="A784" s="64"/>
      <c r="B784" s="64"/>
      <c r="C784" s="65"/>
      <c r="D784" s="65"/>
      <c r="E784" s="65"/>
      <c r="F784" s="61"/>
      <c r="G784" s="61"/>
      <c r="H784" s="61"/>
      <c r="I784" s="61"/>
      <c r="J784" s="61"/>
      <c r="K784" s="3" t="str">
        <f t="shared" si="12"/>
        <v>fail</v>
      </c>
      <c r="L784" s="19" t="str">
        <f>IFERROR(IF(AND(MATCH(A784,Projection_classes,0),YEAR(current_date)=Projections!B784),"pass","fail"),"")</f>
        <v/>
      </c>
    </row>
    <row r="785" spans="1:12" x14ac:dyDescent="0.25">
      <c r="A785" s="64"/>
      <c r="B785" s="64"/>
      <c r="C785" s="65"/>
      <c r="D785" s="65"/>
      <c r="E785" s="65"/>
      <c r="F785" s="61"/>
      <c r="G785" s="61"/>
      <c r="H785" s="61"/>
      <c r="I785" s="61"/>
      <c r="J785" s="61"/>
      <c r="K785" s="3" t="str">
        <f t="shared" si="12"/>
        <v>fail</v>
      </c>
      <c r="L785" s="19" t="str">
        <f>IFERROR(IF(AND(MATCH(A785,Projection_classes,0),YEAR(current_date)=Projections!B785),"pass","fail"),"")</f>
        <v/>
      </c>
    </row>
    <row r="786" spans="1:12" x14ac:dyDescent="0.25">
      <c r="A786" s="64"/>
      <c r="B786" s="64"/>
      <c r="C786" s="65"/>
      <c r="D786" s="65"/>
      <c r="E786" s="65"/>
      <c r="F786" s="61"/>
      <c r="G786" s="61"/>
      <c r="H786" s="61"/>
      <c r="I786" s="61"/>
      <c r="J786" s="61"/>
      <c r="K786" s="3" t="str">
        <f t="shared" si="12"/>
        <v>fail</v>
      </c>
      <c r="L786" s="19" t="str">
        <f>IFERROR(IF(AND(MATCH(A786,Projection_classes,0),YEAR(current_date)=Projections!B786),"pass","fail"),"")</f>
        <v/>
      </c>
    </row>
    <row r="787" spans="1:12" x14ac:dyDescent="0.25">
      <c r="A787" s="64"/>
      <c r="B787" s="64"/>
      <c r="C787" s="65"/>
      <c r="D787" s="65"/>
      <c r="E787" s="65"/>
      <c r="F787" s="61"/>
      <c r="G787" s="61"/>
      <c r="H787" s="61"/>
      <c r="I787" s="61"/>
      <c r="J787" s="61"/>
      <c r="K787" s="3" t="str">
        <f t="shared" si="12"/>
        <v>fail</v>
      </c>
      <c r="L787" s="19" t="str">
        <f>IFERROR(IF(AND(MATCH(A787,Projection_classes,0),YEAR(current_date)=Projections!B787),"pass","fail"),"")</f>
        <v/>
      </c>
    </row>
    <row r="788" spans="1:12" x14ac:dyDescent="0.25">
      <c r="A788" s="64"/>
      <c r="B788" s="64"/>
      <c r="C788" s="65"/>
      <c r="D788" s="65"/>
      <c r="E788" s="65"/>
      <c r="F788" s="61"/>
      <c r="G788" s="61"/>
      <c r="H788" s="61"/>
      <c r="I788" s="61"/>
      <c r="J788" s="61"/>
      <c r="K788" s="3" t="str">
        <f t="shared" si="12"/>
        <v>fail</v>
      </c>
      <c r="L788" s="19" t="str">
        <f>IFERROR(IF(AND(MATCH(A788,Projection_classes,0),YEAR(current_date)=Projections!B788),"pass","fail"),"")</f>
        <v/>
      </c>
    </row>
    <row r="789" spans="1:12" x14ac:dyDescent="0.25">
      <c r="A789" s="64"/>
      <c r="B789" s="64"/>
      <c r="C789" s="65"/>
      <c r="D789" s="65"/>
      <c r="E789" s="65"/>
      <c r="F789" s="61"/>
      <c r="G789" s="61"/>
      <c r="H789" s="61"/>
      <c r="I789" s="61"/>
      <c r="J789" s="61"/>
      <c r="K789" s="3" t="str">
        <f t="shared" si="12"/>
        <v>fail</v>
      </c>
      <c r="L789" s="19" t="str">
        <f>IFERROR(IF(AND(MATCH(A789,Projection_classes,0),YEAR(current_date)=Projections!B789),"pass","fail"),"")</f>
        <v/>
      </c>
    </row>
    <row r="790" spans="1:12" x14ac:dyDescent="0.25">
      <c r="A790" s="64"/>
      <c r="B790" s="64"/>
      <c r="C790" s="65"/>
      <c r="D790" s="65"/>
      <c r="E790" s="65"/>
      <c r="F790" s="61"/>
      <c r="G790" s="61"/>
      <c r="H790" s="61"/>
      <c r="I790" s="61"/>
      <c r="J790" s="61"/>
      <c r="K790" s="3" t="str">
        <f t="shared" si="12"/>
        <v>fail</v>
      </c>
      <c r="L790" s="19" t="str">
        <f>IFERROR(IF(AND(MATCH(A790,Projection_classes,0),YEAR(current_date)=Projections!B790),"pass","fail"),"")</f>
        <v/>
      </c>
    </row>
    <row r="791" spans="1:12" x14ac:dyDescent="0.25">
      <c r="A791" s="64"/>
      <c r="B791" s="64"/>
      <c r="C791" s="65"/>
      <c r="D791" s="65"/>
      <c r="E791" s="65"/>
      <c r="F791" s="61"/>
      <c r="G791" s="61"/>
      <c r="H791" s="61"/>
      <c r="I791" s="61"/>
      <c r="J791" s="61"/>
      <c r="K791" s="3" t="str">
        <f t="shared" si="12"/>
        <v>fail</v>
      </c>
      <c r="L791" s="19" t="str">
        <f>IFERROR(IF(AND(MATCH(A791,Projection_classes,0),YEAR(current_date)=Projections!B791),"pass","fail"),"")</f>
        <v/>
      </c>
    </row>
    <row r="792" spans="1:12" x14ac:dyDescent="0.25">
      <c r="A792" s="64"/>
      <c r="B792" s="64"/>
      <c r="C792" s="65"/>
      <c r="D792" s="65"/>
      <c r="E792" s="65"/>
      <c r="F792" s="61"/>
      <c r="G792" s="61"/>
      <c r="H792" s="61"/>
      <c r="I792" s="61"/>
      <c r="J792" s="61"/>
      <c r="K792" s="3" t="str">
        <f t="shared" si="12"/>
        <v>fail</v>
      </c>
      <c r="L792" s="19" t="str">
        <f>IFERROR(IF(AND(MATCH(A792,Projection_classes,0),YEAR(current_date)=Projections!B792),"pass","fail"),"")</f>
        <v/>
      </c>
    </row>
    <row r="793" spans="1:12" x14ac:dyDescent="0.25">
      <c r="A793" s="64"/>
      <c r="B793" s="64"/>
      <c r="C793" s="65"/>
      <c r="D793" s="65"/>
      <c r="E793" s="65"/>
      <c r="F793" s="61"/>
      <c r="G793" s="61"/>
      <c r="H793" s="61"/>
      <c r="I793" s="61"/>
      <c r="J793" s="61"/>
      <c r="K793" s="3" t="str">
        <f t="shared" si="12"/>
        <v>fail</v>
      </c>
      <c r="L793" s="19" t="str">
        <f>IFERROR(IF(AND(MATCH(A793,Projection_classes,0),YEAR(current_date)=Projections!B793),"pass","fail"),"")</f>
        <v/>
      </c>
    </row>
    <row r="794" spans="1:12" x14ac:dyDescent="0.25">
      <c r="A794" s="64"/>
      <c r="B794" s="64"/>
      <c r="C794" s="65"/>
      <c r="D794" s="65"/>
      <c r="E794" s="65"/>
      <c r="F794" s="61"/>
      <c r="G794" s="61"/>
      <c r="H794" s="61"/>
      <c r="I794" s="61"/>
      <c r="J794" s="61"/>
      <c r="K794" s="3" t="str">
        <f t="shared" si="12"/>
        <v>fail</v>
      </c>
      <c r="L794" s="19" t="str">
        <f>IFERROR(IF(AND(MATCH(A794,Projection_classes,0),YEAR(current_date)=Projections!B794),"pass","fail"),"")</f>
        <v/>
      </c>
    </row>
    <row r="795" spans="1:12" x14ac:dyDescent="0.25">
      <c r="A795" s="64"/>
      <c r="B795" s="64"/>
      <c r="C795" s="65"/>
      <c r="D795" s="65"/>
      <c r="E795" s="65"/>
      <c r="F795" s="61"/>
      <c r="G795" s="61"/>
      <c r="H795" s="61"/>
      <c r="I795" s="61"/>
      <c r="J795" s="61"/>
      <c r="K795" s="3" t="str">
        <f t="shared" si="12"/>
        <v>fail</v>
      </c>
      <c r="L795" s="19" t="str">
        <f>IFERROR(IF(AND(MATCH(A795,Projection_classes,0),YEAR(current_date)=Projections!B795),"pass","fail"),"")</f>
        <v/>
      </c>
    </row>
    <row r="796" spans="1:12" x14ac:dyDescent="0.25">
      <c r="A796" s="64"/>
      <c r="B796" s="64"/>
      <c r="C796" s="65"/>
      <c r="D796" s="65"/>
      <c r="E796" s="65"/>
      <c r="F796" s="61"/>
      <c r="G796" s="61"/>
      <c r="H796" s="61"/>
      <c r="I796" s="61"/>
      <c r="J796" s="61"/>
      <c r="K796" s="3" t="str">
        <f t="shared" si="12"/>
        <v>fail</v>
      </c>
      <c r="L796" s="19" t="str">
        <f>IFERROR(IF(AND(MATCH(A796,Projection_classes,0),YEAR(current_date)=Projections!B796),"pass","fail"),"")</f>
        <v/>
      </c>
    </row>
    <row r="797" spans="1:12" x14ac:dyDescent="0.25">
      <c r="A797" s="64"/>
      <c r="B797" s="64"/>
      <c r="C797" s="65"/>
      <c r="D797" s="65"/>
      <c r="E797" s="65"/>
      <c r="F797" s="61"/>
      <c r="G797" s="61"/>
      <c r="H797" s="61"/>
      <c r="I797" s="61"/>
      <c r="J797" s="61"/>
      <c r="K797" s="3" t="str">
        <f t="shared" si="12"/>
        <v>fail</v>
      </c>
      <c r="L797" s="19" t="str">
        <f>IFERROR(IF(AND(MATCH(A797,Projection_classes,0),YEAR(current_date)=Projections!B797),"pass","fail"),"")</f>
        <v/>
      </c>
    </row>
    <row r="798" spans="1:12" x14ac:dyDescent="0.25">
      <c r="A798" s="64"/>
      <c r="B798" s="64"/>
      <c r="C798" s="65"/>
      <c r="D798" s="65"/>
      <c r="E798" s="65"/>
      <c r="F798" s="61"/>
      <c r="G798" s="61"/>
      <c r="H798" s="61"/>
      <c r="I798" s="61"/>
      <c r="J798" s="61"/>
      <c r="K798" s="3" t="str">
        <f t="shared" si="12"/>
        <v>fail</v>
      </c>
      <c r="L798" s="19" t="str">
        <f>IFERROR(IF(AND(MATCH(A798,Projection_classes,0),YEAR(current_date)=Projections!B798),"pass","fail"),"")</f>
        <v/>
      </c>
    </row>
    <row r="799" spans="1:12" x14ac:dyDescent="0.25">
      <c r="A799" s="64"/>
      <c r="B799" s="64"/>
      <c r="C799" s="65"/>
      <c r="D799" s="65"/>
      <c r="E799" s="65"/>
      <c r="F799" s="61"/>
      <c r="G799" s="61"/>
      <c r="H799" s="61"/>
      <c r="I799" s="61"/>
      <c r="J799" s="61"/>
      <c r="K799" s="3" t="str">
        <f t="shared" si="12"/>
        <v>fail</v>
      </c>
      <c r="L799" s="19" t="str">
        <f>IFERROR(IF(AND(MATCH(A799,Projection_classes,0),YEAR(current_date)=Projections!B799),"pass","fail"),"")</f>
        <v/>
      </c>
    </row>
    <row r="800" spans="1:12" x14ac:dyDescent="0.25">
      <c r="A800" s="64"/>
      <c r="B800" s="64"/>
      <c r="C800" s="65"/>
      <c r="D800" s="65"/>
      <c r="E800" s="65"/>
      <c r="F800" s="61"/>
      <c r="G800" s="61"/>
      <c r="H800" s="61"/>
      <c r="I800" s="61"/>
      <c r="J800" s="61"/>
      <c r="K800" s="3" t="str">
        <f t="shared" si="12"/>
        <v>fail</v>
      </c>
      <c r="L800" s="19" t="str">
        <f>IFERROR(IF(AND(MATCH(A800,Projection_classes,0),YEAR(current_date)=Projections!B800),"pass","fail"),"")</f>
        <v/>
      </c>
    </row>
    <row r="801" spans="1:12" x14ac:dyDescent="0.25">
      <c r="A801" s="64"/>
      <c r="B801" s="64"/>
      <c r="C801" s="65"/>
      <c r="D801" s="65"/>
      <c r="E801" s="65"/>
      <c r="F801" s="61"/>
      <c r="G801" s="61"/>
      <c r="H801" s="61"/>
      <c r="I801" s="61"/>
      <c r="J801" s="61"/>
      <c r="K801" s="3" t="str">
        <f t="shared" si="12"/>
        <v>fail</v>
      </c>
      <c r="L801" s="19" t="str">
        <f>IFERROR(IF(AND(MATCH(A801,Projection_classes,0),YEAR(current_date)=Projections!B801),"pass","fail"),"")</f>
        <v/>
      </c>
    </row>
    <row r="802" spans="1:12" x14ac:dyDescent="0.25">
      <c r="A802" s="64"/>
      <c r="B802" s="64"/>
      <c r="C802" s="65"/>
      <c r="D802" s="65"/>
      <c r="E802" s="65"/>
      <c r="F802" s="61"/>
      <c r="G802" s="61"/>
      <c r="H802" s="61"/>
      <c r="I802" s="61"/>
      <c r="J802" s="61"/>
      <c r="K802" s="3" t="str">
        <f t="shared" si="12"/>
        <v>fail</v>
      </c>
      <c r="L802" s="19" t="str">
        <f>IFERROR(IF(AND(MATCH(A802,Projection_classes,0),YEAR(current_date)=Projections!B802),"pass","fail"),"")</f>
        <v/>
      </c>
    </row>
    <row r="803" spans="1:12" x14ac:dyDescent="0.25">
      <c r="A803" s="64"/>
      <c r="B803" s="64"/>
      <c r="C803" s="65"/>
      <c r="D803" s="65"/>
      <c r="E803" s="65"/>
      <c r="F803" s="61"/>
      <c r="G803" s="61"/>
      <c r="H803" s="61"/>
      <c r="I803" s="61"/>
      <c r="J803" s="61"/>
      <c r="K803" s="3" t="str">
        <f t="shared" si="12"/>
        <v>fail</v>
      </c>
      <c r="L803" s="19" t="str">
        <f>IFERROR(IF(AND(MATCH(A803,Projection_classes,0),YEAR(current_date)=Projections!B803),"pass","fail"),"")</f>
        <v/>
      </c>
    </row>
    <row r="804" spans="1:12" x14ac:dyDescent="0.25">
      <c r="A804" s="64"/>
      <c r="B804" s="64"/>
      <c r="C804" s="65"/>
      <c r="D804" s="65"/>
      <c r="E804" s="65"/>
      <c r="F804" s="61"/>
      <c r="G804" s="61"/>
      <c r="H804" s="61"/>
      <c r="I804" s="61"/>
      <c r="J804" s="61"/>
      <c r="K804" s="3" t="str">
        <f t="shared" si="12"/>
        <v>fail</v>
      </c>
      <c r="L804" s="19" t="str">
        <f>IFERROR(IF(AND(MATCH(A804,Projection_classes,0),YEAR(current_date)=Projections!B804),"pass","fail"),"")</f>
        <v/>
      </c>
    </row>
    <row r="805" spans="1:12" x14ac:dyDescent="0.25">
      <c r="A805" s="64"/>
      <c r="B805" s="64"/>
      <c r="C805" s="65"/>
      <c r="D805" s="65"/>
      <c r="E805" s="65"/>
      <c r="F805" s="61"/>
      <c r="G805" s="61"/>
      <c r="H805" s="61"/>
      <c r="I805" s="61"/>
      <c r="J805" s="61"/>
      <c r="K805" s="3" t="str">
        <f t="shared" si="12"/>
        <v>fail</v>
      </c>
      <c r="L805" s="19" t="str">
        <f>IFERROR(IF(AND(MATCH(A805,Projection_classes,0),YEAR(current_date)=Projections!B805),"pass","fail"),"")</f>
        <v/>
      </c>
    </row>
    <row r="806" spans="1:12" x14ac:dyDescent="0.25">
      <c r="A806" s="64"/>
      <c r="B806" s="64"/>
      <c r="C806" s="65"/>
      <c r="D806" s="65"/>
      <c r="E806" s="65"/>
      <c r="F806" s="61"/>
      <c r="G806" s="61"/>
      <c r="H806" s="61"/>
      <c r="I806" s="61"/>
      <c r="J806" s="61"/>
      <c r="K806" s="3" t="str">
        <f t="shared" si="12"/>
        <v>fail</v>
      </c>
      <c r="L806" s="19" t="str">
        <f>IFERROR(IF(AND(MATCH(A806,Projection_classes,0),YEAR(current_date)=Projections!B806),"pass","fail"),"")</f>
        <v/>
      </c>
    </row>
    <row r="807" spans="1:12" x14ac:dyDescent="0.25">
      <c r="A807" s="64"/>
      <c r="B807" s="64"/>
      <c r="C807" s="65"/>
      <c r="D807" s="65"/>
      <c r="E807" s="65"/>
      <c r="F807" s="61"/>
      <c r="G807" s="61"/>
      <c r="H807" s="61"/>
      <c r="I807" s="61"/>
      <c r="J807" s="61"/>
      <c r="K807" s="3" t="str">
        <f t="shared" si="12"/>
        <v>fail</v>
      </c>
      <c r="L807" s="19" t="str">
        <f>IFERROR(IF(AND(MATCH(A807,Projection_classes,0),YEAR(current_date)=Projections!B807),"pass","fail"),"")</f>
        <v/>
      </c>
    </row>
    <row r="808" spans="1:12" x14ac:dyDescent="0.25">
      <c r="A808" s="64"/>
      <c r="B808" s="64"/>
      <c r="C808" s="65"/>
      <c r="D808" s="65"/>
      <c r="E808" s="65"/>
      <c r="F808" s="61"/>
      <c r="G808" s="61"/>
      <c r="H808" s="61"/>
      <c r="I808" s="61"/>
      <c r="J808" s="61"/>
      <c r="K808" s="3" t="str">
        <f t="shared" si="12"/>
        <v>fail</v>
      </c>
      <c r="L808" s="19" t="str">
        <f>IFERROR(IF(AND(MATCH(A808,Projection_classes,0),YEAR(current_date)=Projections!B808),"pass","fail"),"")</f>
        <v/>
      </c>
    </row>
    <row r="809" spans="1:12" x14ac:dyDescent="0.25">
      <c r="A809" s="64"/>
      <c r="B809" s="64"/>
      <c r="C809" s="65"/>
      <c r="D809" s="65"/>
      <c r="E809" s="65"/>
      <c r="F809" s="61"/>
      <c r="G809" s="61"/>
      <c r="H809" s="61"/>
      <c r="I809" s="61"/>
      <c r="J809" s="61"/>
      <c r="K809" s="3" t="str">
        <f t="shared" si="12"/>
        <v>fail</v>
      </c>
      <c r="L809" s="19" t="str">
        <f>IFERROR(IF(AND(MATCH(A809,Projection_classes,0),YEAR(current_date)=Projections!B809),"pass","fail"),"")</f>
        <v/>
      </c>
    </row>
    <row r="810" spans="1:12" x14ac:dyDescent="0.25">
      <c r="A810" s="64"/>
      <c r="B810" s="64"/>
      <c r="C810" s="65"/>
      <c r="D810" s="65"/>
      <c r="E810" s="65"/>
      <c r="F810" s="61"/>
      <c r="G810" s="61"/>
      <c r="H810" s="61"/>
      <c r="I810" s="61"/>
      <c r="J810" s="61"/>
      <c r="K810" s="3" t="str">
        <f t="shared" si="12"/>
        <v>fail</v>
      </c>
      <c r="L810" s="19" t="str">
        <f>IFERROR(IF(AND(MATCH(A810,Projection_classes,0),YEAR(current_date)=Projections!B810),"pass","fail"),"")</f>
        <v/>
      </c>
    </row>
    <row r="811" spans="1:12" x14ac:dyDescent="0.25">
      <c r="A811" s="64"/>
      <c r="B811" s="64"/>
      <c r="C811" s="65"/>
      <c r="D811" s="65"/>
      <c r="E811" s="65"/>
      <c r="F811" s="61"/>
      <c r="G811" s="61"/>
      <c r="H811" s="61"/>
      <c r="I811" s="61"/>
      <c r="J811" s="61"/>
      <c r="K811" s="3" t="str">
        <f t="shared" si="12"/>
        <v>fail</v>
      </c>
      <c r="L811" s="19" t="str">
        <f>IFERROR(IF(AND(MATCH(A811,Projection_classes,0),YEAR(current_date)=Projections!B811),"pass","fail"),"")</f>
        <v/>
      </c>
    </row>
    <row r="812" spans="1:12" x14ac:dyDescent="0.25">
      <c r="A812" s="64"/>
      <c r="B812" s="64"/>
      <c r="C812" s="65"/>
      <c r="D812" s="65"/>
      <c r="E812" s="65"/>
      <c r="F812" s="61"/>
      <c r="G812" s="61"/>
      <c r="H812" s="61"/>
      <c r="I812" s="61"/>
      <c r="J812" s="61"/>
      <c r="K812" s="3" t="str">
        <f t="shared" si="12"/>
        <v>fail</v>
      </c>
      <c r="L812" s="19" t="str">
        <f>IFERROR(IF(AND(MATCH(A812,Projection_classes,0),YEAR(current_date)=Projections!B812),"pass","fail"),"")</f>
        <v/>
      </c>
    </row>
    <row r="813" spans="1:12" x14ac:dyDescent="0.25">
      <c r="A813" s="64"/>
      <c r="B813" s="64"/>
      <c r="C813" s="65"/>
      <c r="D813" s="65"/>
      <c r="E813" s="65"/>
      <c r="F813" s="61"/>
      <c r="G813" s="61"/>
      <c r="H813" s="61"/>
      <c r="I813" s="61"/>
      <c r="J813" s="61"/>
      <c r="K813" s="3" t="str">
        <f t="shared" si="12"/>
        <v>fail</v>
      </c>
      <c r="L813" s="19" t="str">
        <f>IFERROR(IF(AND(MATCH(A813,Projection_classes,0),YEAR(current_date)=Projections!B813),"pass","fail"),"")</f>
        <v/>
      </c>
    </row>
    <row r="814" spans="1:12" x14ac:dyDescent="0.25">
      <c r="A814" s="64"/>
      <c r="B814" s="64"/>
      <c r="C814" s="65"/>
      <c r="D814" s="65"/>
      <c r="E814" s="65"/>
      <c r="F814" s="61"/>
      <c r="G814" s="61"/>
      <c r="H814" s="61"/>
      <c r="I814" s="61"/>
      <c r="J814" s="61"/>
      <c r="K814" s="3" t="str">
        <f t="shared" si="12"/>
        <v>fail</v>
      </c>
      <c r="L814" s="19" t="str">
        <f>IFERROR(IF(AND(MATCH(A814,Projection_classes,0),YEAR(current_date)=Projections!B814),"pass","fail"),"")</f>
        <v/>
      </c>
    </row>
    <row r="815" spans="1:12" x14ac:dyDescent="0.25">
      <c r="A815" s="64"/>
      <c r="B815" s="64"/>
      <c r="C815" s="65"/>
      <c r="D815" s="65"/>
      <c r="E815" s="65"/>
      <c r="F815" s="61"/>
      <c r="G815" s="61"/>
      <c r="H815" s="61"/>
      <c r="I815" s="61"/>
      <c r="J815" s="61"/>
      <c r="K815" s="3" t="str">
        <f t="shared" si="12"/>
        <v>fail</v>
      </c>
      <c r="L815" s="19" t="str">
        <f>IFERROR(IF(AND(MATCH(A815,Projection_classes,0),YEAR(current_date)=Projections!B815),"pass","fail"),"")</f>
        <v/>
      </c>
    </row>
    <row r="816" spans="1:12" x14ac:dyDescent="0.25">
      <c r="A816" s="64"/>
      <c r="B816" s="64"/>
      <c r="C816" s="65"/>
      <c r="D816" s="65"/>
      <c r="E816" s="65"/>
      <c r="F816" s="61"/>
      <c r="G816" s="61"/>
      <c r="H816" s="61"/>
      <c r="I816" s="61"/>
      <c r="J816" s="61"/>
      <c r="K816" s="3" t="str">
        <f t="shared" si="12"/>
        <v>fail</v>
      </c>
      <c r="L816" s="19" t="str">
        <f>IFERROR(IF(AND(MATCH(A816,Projection_classes,0),YEAR(current_date)=Projections!B816),"pass","fail"),"")</f>
        <v/>
      </c>
    </row>
    <row r="817" spans="1:12" x14ac:dyDescent="0.25">
      <c r="A817" s="64"/>
      <c r="B817" s="64"/>
      <c r="C817" s="65"/>
      <c r="D817" s="65"/>
      <c r="E817" s="65"/>
      <c r="F817" s="61"/>
      <c r="G817" s="61"/>
      <c r="H817" s="61"/>
      <c r="I817" s="61"/>
      <c r="J817" s="61"/>
      <c r="K817" s="3" t="str">
        <f t="shared" si="12"/>
        <v>fail</v>
      </c>
      <c r="L817" s="19" t="str">
        <f>IFERROR(IF(AND(MATCH(A817,Projection_classes,0),YEAR(current_date)=Projections!B817),"pass","fail"),"")</f>
        <v/>
      </c>
    </row>
    <row r="818" spans="1:12" x14ac:dyDescent="0.25">
      <c r="A818" s="64"/>
      <c r="B818" s="64"/>
      <c r="C818" s="65"/>
      <c r="D818" s="65"/>
      <c r="E818" s="65"/>
      <c r="F818" s="61"/>
      <c r="G818" s="61"/>
      <c r="H818" s="61"/>
      <c r="I818" s="61"/>
      <c r="J818" s="61"/>
      <c r="K818" s="3" t="str">
        <f t="shared" si="12"/>
        <v>fail</v>
      </c>
      <c r="L818" s="19" t="str">
        <f>IFERROR(IF(AND(MATCH(A818,Projection_classes,0),YEAR(current_date)=Projections!B818),"pass","fail"),"")</f>
        <v/>
      </c>
    </row>
    <row r="819" spans="1:12" x14ac:dyDescent="0.25">
      <c r="A819" s="64"/>
      <c r="B819" s="64"/>
      <c r="C819" s="65"/>
      <c r="D819" s="65"/>
      <c r="E819" s="65"/>
      <c r="F819" s="61"/>
      <c r="G819" s="61"/>
      <c r="H819" s="61"/>
      <c r="I819" s="61"/>
      <c r="J819" s="61"/>
      <c r="K819" s="3" t="str">
        <f t="shared" si="12"/>
        <v>fail</v>
      </c>
      <c r="L819" s="19" t="str">
        <f>IFERROR(IF(AND(MATCH(A819,Projection_classes,0),YEAR(current_date)=Projections!B819),"pass","fail"),"")</f>
        <v/>
      </c>
    </row>
    <row r="820" spans="1:12" x14ac:dyDescent="0.25">
      <c r="A820" s="64"/>
      <c r="B820" s="64"/>
      <c r="C820" s="65"/>
      <c r="D820" s="65"/>
      <c r="E820" s="65"/>
      <c r="F820" s="61"/>
      <c r="G820" s="61"/>
      <c r="H820" s="61"/>
      <c r="I820" s="61"/>
      <c r="J820" s="61"/>
      <c r="K820" s="3" t="str">
        <f t="shared" si="12"/>
        <v>fail</v>
      </c>
      <c r="L820" s="19" t="str">
        <f>IFERROR(IF(AND(MATCH(A820,Projection_classes,0),YEAR(current_date)=Projections!B820),"pass","fail"),"")</f>
        <v/>
      </c>
    </row>
    <row r="821" spans="1:12" x14ac:dyDescent="0.25">
      <c r="A821" s="64"/>
      <c r="B821" s="64"/>
      <c r="C821" s="65"/>
      <c r="D821" s="65"/>
      <c r="E821" s="65"/>
      <c r="F821" s="61"/>
      <c r="G821" s="61"/>
      <c r="H821" s="61"/>
      <c r="I821" s="61"/>
      <c r="J821" s="61"/>
      <c r="K821" s="3" t="str">
        <f t="shared" si="12"/>
        <v>fail</v>
      </c>
      <c r="L821" s="19" t="str">
        <f>IFERROR(IF(AND(MATCH(A821,Projection_classes,0),YEAR(current_date)=Projections!B821),"pass","fail"),"")</f>
        <v/>
      </c>
    </row>
    <row r="822" spans="1:12" x14ac:dyDescent="0.25">
      <c r="A822" s="64"/>
      <c r="B822" s="64"/>
      <c r="C822" s="65"/>
      <c r="D822" s="65"/>
      <c r="E822" s="65"/>
      <c r="F822" s="61"/>
      <c r="G822" s="61"/>
      <c r="H822" s="61"/>
      <c r="I822" s="61"/>
      <c r="J822" s="61"/>
      <c r="K822" s="3" t="str">
        <f t="shared" si="12"/>
        <v>fail</v>
      </c>
      <c r="L822" s="19" t="str">
        <f>IFERROR(IF(AND(MATCH(A822,Projection_classes,0),YEAR(current_date)=Projections!B822),"pass","fail"),"")</f>
        <v/>
      </c>
    </row>
    <row r="823" spans="1:12" x14ac:dyDescent="0.25">
      <c r="A823" s="64"/>
      <c r="B823" s="64"/>
      <c r="C823" s="65"/>
      <c r="D823" s="65"/>
      <c r="E823" s="65"/>
      <c r="F823" s="61"/>
      <c r="G823" s="61"/>
      <c r="H823" s="61"/>
      <c r="I823" s="61"/>
      <c r="J823" s="61"/>
      <c r="K823" s="3" t="str">
        <f t="shared" si="12"/>
        <v>fail</v>
      </c>
      <c r="L823" s="19" t="str">
        <f>IFERROR(IF(AND(MATCH(A823,Projection_classes,0),YEAR(current_date)=Projections!B823),"pass","fail"),"")</f>
        <v/>
      </c>
    </row>
    <row r="824" spans="1:12" x14ac:dyDescent="0.25">
      <c r="A824" s="64"/>
      <c r="B824" s="64"/>
      <c r="C824" s="65"/>
      <c r="D824" s="65"/>
      <c r="E824" s="65"/>
      <c r="F824" s="61"/>
      <c r="G824" s="61"/>
      <c r="H824" s="61"/>
      <c r="I824" s="61"/>
      <c r="J824" s="61"/>
      <c r="K824" s="3" t="str">
        <f t="shared" si="12"/>
        <v>fail</v>
      </c>
      <c r="L824" s="19" t="str">
        <f>IFERROR(IF(AND(MATCH(A824,Projection_classes,0),YEAR(current_date)=Projections!B824),"pass","fail"),"")</f>
        <v/>
      </c>
    </row>
    <row r="825" spans="1:12" x14ac:dyDescent="0.25">
      <c r="A825" s="64"/>
      <c r="B825" s="64"/>
      <c r="C825" s="65"/>
      <c r="D825" s="65"/>
      <c r="E825" s="65"/>
      <c r="F825" s="61"/>
      <c r="G825" s="61"/>
      <c r="H825" s="61"/>
      <c r="I825" s="61"/>
      <c r="J825" s="61"/>
      <c r="K825" s="3" t="str">
        <f t="shared" si="12"/>
        <v>fail</v>
      </c>
      <c r="L825" s="19" t="str">
        <f>IFERROR(IF(AND(MATCH(A825,Projection_classes,0),YEAR(current_date)=Projections!B825),"pass","fail"),"")</f>
        <v/>
      </c>
    </row>
    <row r="826" spans="1:12" x14ac:dyDescent="0.25">
      <c r="A826" s="64"/>
      <c r="B826" s="64"/>
      <c r="C826" s="65"/>
      <c r="D826" s="65"/>
      <c r="E826" s="65"/>
      <c r="F826" s="61"/>
      <c r="G826" s="61"/>
      <c r="H826" s="61"/>
      <c r="I826" s="61"/>
      <c r="J826" s="61"/>
      <c r="K826" s="3" t="str">
        <f t="shared" si="12"/>
        <v>fail</v>
      </c>
      <c r="L826" s="19" t="str">
        <f>IFERROR(IF(AND(MATCH(A826,Projection_classes,0),YEAR(current_date)=Projections!B826),"pass","fail"),"")</f>
        <v/>
      </c>
    </row>
    <row r="827" spans="1:12" x14ac:dyDescent="0.25">
      <c r="A827" s="64"/>
      <c r="B827" s="64"/>
      <c r="C827" s="65"/>
      <c r="D827" s="65"/>
      <c r="E827" s="65"/>
      <c r="F827" s="61"/>
      <c r="G827" s="61"/>
      <c r="H827" s="61"/>
      <c r="I827" s="61"/>
      <c r="J827" s="61"/>
      <c r="K827" s="3" t="str">
        <f t="shared" si="12"/>
        <v>fail</v>
      </c>
      <c r="L827" s="19" t="str">
        <f>IFERROR(IF(AND(MATCH(A827,Projection_classes,0),YEAR(current_date)=Projections!B827),"pass","fail"),"")</f>
        <v/>
      </c>
    </row>
    <row r="828" spans="1:12" x14ac:dyDescent="0.25">
      <c r="A828" s="64"/>
      <c r="B828" s="64"/>
      <c r="C828" s="65"/>
      <c r="D828" s="65"/>
      <c r="E828" s="65"/>
      <c r="F828" s="61"/>
      <c r="G828" s="61"/>
      <c r="H828" s="61"/>
      <c r="I828" s="61"/>
      <c r="J828" s="61"/>
      <c r="K828" s="3" t="str">
        <f t="shared" si="12"/>
        <v>fail</v>
      </c>
      <c r="L828" s="19" t="str">
        <f>IFERROR(IF(AND(MATCH(A828,Projection_classes,0),YEAR(current_date)=Projections!B828),"pass","fail"),"")</f>
        <v/>
      </c>
    </row>
    <row r="829" spans="1:12" x14ac:dyDescent="0.25">
      <c r="A829" s="64"/>
      <c r="B829" s="64"/>
      <c r="C829" s="65"/>
      <c r="D829" s="65"/>
      <c r="E829" s="65"/>
      <c r="F829" s="61"/>
      <c r="G829" s="61"/>
      <c r="H829" s="61"/>
      <c r="I829" s="61"/>
      <c r="J829" s="61"/>
      <c r="K829" s="3" t="str">
        <f t="shared" si="12"/>
        <v>fail</v>
      </c>
      <c r="L829" s="19" t="str">
        <f>IFERROR(IF(AND(MATCH(A829,Projection_classes,0),YEAR(current_date)=Projections!B829),"pass","fail"),"")</f>
        <v/>
      </c>
    </row>
    <row r="830" spans="1:12" x14ac:dyDescent="0.25">
      <c r="A830" s="64"/>
      <c r="B830" s="64"/>
      <c r="C830" s="65"/>
      <c r="D830" s="65"/>
      <c r="E830" s="65"/>
      <c r="F830" s="61"/>
      <c r="G830" s="61"/>
      <c r="H830" s="61"/>
      <c r="I830" s="61"/>
      <c r="J830" s="61"/>
      <c r="K830" s="3" t="str">
        <f t="shared" si="12"/>
        <v>fail</v>
      </c>
      <c r="L830" s="19" t="str">
        <f>IFERROR(IF(AND(MATCH(A830,Projection_classes,0),YEAR(current_date)=Projections!B830),"pass","fail"),"")</f>
        <v/>
      </c>
    </row>
    <row r="831" spans="1:12" x14ac:dyDescent="0.25">
      <c r="A831" s="64"/>
      <c r="B831" s="64"/>
      <c r="C831" s="65"/>
      <c r="D831" s="65"/>
      <c r="E831" s="65"/>
      <c r="F831" s="61"/>
      <c r="G831" s="61"/>
      <c r="H831" s="61"/>
      <c r="I831" s="61"/>
      <c r="J831" s="61"/>
      <c r="K831" s="3" t="str">
        <f t="shared" si="12"/>
        <v>fail</v>
      </c>
      <c r="L831" s="19" t="str">
        <f>IFERROR(IF(AND(MATCH(A831,Projection_classes,0),YEAR(current_date)=Projections!B831),"pass","fail"),"")</f>
        <v/>
      </c>
    </row>
    <row r="832" spans="1:12" x14ac:dyDescent="0.25">
      <c r="A832" s="64"/>
      <c r="B832" s="64"/>
      <c r="C832" s="65"/>
      <c r="D832" s="65"/>
      <c r="E832" s="65"/>
      <c r="F832" s="61"/>
      <c r="G832" s="61"/>
      <c r="H832" s="61"/>
      <c r="I832" s="61"/>
      <c r="J832" s="61"/>
      <c r="K832" s="3" t="str">
        <f t="shared" si="12"/>
        <v>fail</v>
      </c>
      <c r="L832" s="19" t="str">
        <f>IFERROR(IF(AND(MATCH(A832,Projection_classes,0),YEAR(current_date)=Projections!B832),"pass","fail"),"")</f>
        <v/>
      </c>
    </row>
    <row r="833" spans="1:12" x14ac:dyDescent="0.25">
      <c r="A833" s="64"/>
      <c r="B833" s="64"/>
      <c r="C833" s="65"/>
      <c r="D833" s="65"/>
      <c r="E833" s="65"/>
      <c r="F833" s="61"/>
      <c r="G833" s="61"/>
      <c r="H833" s="61"/>
      <c r="I833" s="61"/>
      <c r="J833" s="61"/>
      <c r="K833" s="3" t="str">
        <f t="shared" si="12"/>
        <v>fail</v>
      </c>
      <c r="L833" s="19" t="str">
        <f>IFERROR(IF(AND(MATCH(A833,Projection_classes,0),YEAR(current_date)=Projections!B833),"pass","fail"),"")</f>
        <v/>
      </c>
    </row>
    <row r="834" spans="1:12" x14ac:dyDescent="0.25">
      <c r="A834" s="64"/>
      <c r="B834" s="64"/>
      <c r="C834" s="65"/>
      <c r="D834" s="65"/>
      <c r="E834" s="65"/>
      <c r="F834" s="61"/>
      <c r="G834" s="61"/>
      <c r="H834" s="61"/>
      <c r="I834" s="61"/>
      <c r="J834" s="61"/>
      <c r="K834" s="3" t="str">
        <f t="shared" ref="K834:K897" si="13">IF(OR(B834&lt;$N$1,B834&gt;$P$1),"fail","pass")</f>
        <v>fail</v>
      </c>
      <c r="L834" s="19" t="str">
        <f>IFERROR(IF(AND(MATCH(A834,Projection_classes,0),YEAR(current_date)=Projections!B834),"pass","fail"),"")</f>
        <v/>
      </c>
    </row>
    <row r="835" spans="1:12" x14ac:dyDescent="0.25">
      <c r="A835" s="64"/>
      <c r="B835" s="64"/>
      <c r="C835" s="65"/>
      <c r="D835" s="65"/>
      <c r="E835" s="65"/>
      <c r="F835" s="61"/>
      <c r="G835" s="61"/>
      <c r="H835" s="61"/>
      <c r="I835" s="61"/>
      <c r="J835" s="61"/>
      <c r="K835" s="3" t="str">
        <f t="shared" si="13"/>
        <v>fail</v>
      </c>
      <c r="L835" s="19" t="str">
        <f>IFERROR(IF(AND(MATCH(A835,Projection_classes,0),YEAR(current_date)=Projections!B835),"pass","fail"),"")</f>
        <v/>
      </c>
    </row>
    <row r="836" spans="1:12" x14ac:dyDescent="0.25">
      <c r="A836" s="64"/>
      <c r="B836" s="64"/>
      <c r="C836" s="65"/>
      <c r="D836" s="65"/>
      <c r="E836" s="65"/>
      <c r="F836" s="61"/>
      <c r="G836" s="61"/>
      <c r="H836" s="61"/>
      <c r="I836" s="61"/>
      <c r="J836" s="61"/>
      <c r="K836" s="3" t="str">
        <f t="shared" si="13"/>
        <v>fail</v>
      </c>
      <c r="L836" s="19" t="str">
        <f>IFERROR(IF(AND(MATCH(A836,Projection_classes,0),YEAR(current_date)=Projections!B836),"pass","fail"),"")</f>
        <v/>
      </c>
    </row>
    <row r="837" spans="1:12" x14ac:dyDescent="0.25">
      <c r="A837" s="64"/>
      <c r="B837" s="64"/>
      <c r="C837" s="65"/>
      <c r="D837" s="65"/>
      <c r="E837" s="65"/>
      <c r="F837" s="61"/>
      <c r="G837" s="61"/>
      <c r="H837" s="61"/>
      <c r="I837" s="61"/>
      <c r="J837" s="61"/>
      <c r="K837" s="3" t="str">
        <f t="shared" si="13"/>
        <v>fail</v>
      </c>
      <c r="L837" s="19" t="str">
        <f>IFERROR(IF(AND(MATCH(A837,Projection_classes,0),YEAR(current_date)=Projections!B837),"pass","fail"),"")</f>
        <v/>
      </c>
    </row>
    <row r="838" spans="1:12" x14ac:dyDescent="0.25">
      <c r="A838" s="64"/>
      <c r="B838" s="64"/>
      <c r="C838" s="65"/>
      <c r="D838" s="65"/>
      <c r="E838" s="65"/>
      <c r="F838" s="61"/>
      <c r="G838" s="61"/>
      <c r="H838" s="61"/>
      <c r="I838" s="61"/>
      <c r="J838" s="61"/>
      <c r="K838" s="3" t="str">
        <f t="shared" si="13"/>
        <v>fail</v>
      </c>
      <c r="L838" s="19" t="str">
        <f>IFERROR(IF(AND(MATCH(A838,Projection_classes,0),YEAR(current_date)=Projections!B838),"pass","fail"),"")</f>
        <v/>
      </c>
    </row>
    <row r="839" spans="1:12" x14ac:dyDescent="0.25">
      <c r="A839" s="64"/>
      <c r="B839" s="64"/>
      <c r="C839" s="65"/>
      <c r="D839" s="65"/>
      <c r="E839" s="65"/>
      <c r="F839" s="61"/>
      <c r="G839" s="61"/>
      <c r="H839" s="61"/>
      <c r="I839" s="61"/>
      <c r="J839" s="61"/>
      <c r="K839" s="3" t="str">
        <f t="shared" si="13"/>
        <v>fail</v>
      </c>
      <c r="L839" s="19" t="str">
        <f>IFERROR(IF(AND(MATCH(A839,Projection_classes,0),YEAR(current_date)=Projections!B839),"pass","fail"),"")</f>
        <v/>
      </c>
    </row>
    <row r="840" spans="1:12" x14ac:dyDescent="0.25">
      <c r="A840" s="64"/>
      <c r="B840" s="64"/>
      <c r="C840" s="65"/>
      <c r="D840" s="65"/>
      <c r="E840" s="65"/>
      <c r="F840" s="61"/>
      <c r="G840" s="61"/>
      <c r="H840" s="61"/>
      <c r="I840" s="61"/>
      <c r="J840" s="61"/>
      <c r="K840" s="3" t="str">
        <f t="shared" si="13"/>
        <v>fail</v>
      </c>
      <c r="L840" s="19" t="str">
        <f>IFERROR(IF(AND(MATCH(A840,Projection_classes,0),YEAR(current_date)=Projections!B840),"pass","fail"),"")</f>
        <v/>
      </c>
    </row>
    <row r="841" spans="1:12" x14ac:dyDescent="0.25">
      <c r="A841" s="64"/>
      <c r="B841" s="64"/>
      <c r="C841" s="65"/>
      <c r="D841" s="65"/>
      <c r="E841" s="65"/>
      <c r="F841" s="61"/>
      <c r="G841" s="61"/>
      <c r="H841" s="61"/>
      <c r="I841" s="61"/>
      <c r="J841" s="61"/>
      <c r="K841" s="3" t="str">
        <f t="shared" si="13"/>
        <v>fail</v>
      </c>
      <c r="L841" s="19" t="str">
        <f>IFERROR(IF(AND(MATCH(A841,Projection_classes,0),YEAR(current_date)=Projections!B841),"pass","fail"),"")</f>
        <v/>
      </c>
    </row>
    <row r="842" spans="1:12" x14ac:dyDescent="0.25">
      <c r="A842" s="64"/>
      <c r="B842" s="64"/>
      <c r="C842" s="65"/>
      <c r="D842" s="65"/>
      <c r="E842" s="65"/>
      <c r="F842" s="61"/>
      <c r="G842" s="61"/>
      <c r="H842" s="61"/>
      <c r="I842" s="61"/>
      <c r="J842" s="61"/>
      <c r="K842" s="3" t="str">
        <f t="shared" si="13"/>
        <v>fail</v>
      </c>
      <c r="L842" s="19" t="str">
        <f>IFERROR(IF(AND(MATCH(A842,Projection_classes,0),YEAR(current_date)=Projections!B842),"pass","fail"),"")</f>
        <v/>
      </c>
    </row>
    <row r="843" spans="1:12" x14ac:dyDescent="0.25">
      <c r="A843" s="64"/>
      <c r="B843" s="64"/>
      <c r="C843" s="65"/>
      <c r="D843" s="65"/>
      <c r="E843" s="65"/>
      <c r="F843" s="61"/>
      <c r="G843" s="61"/>
      <c r="H843" s="61"/>
      <c r="I843" s="61"/>
      <c r="J843" s="61"/>
      <c r="K843" s="3" t="str">
        <f t="shared" si="13"/>
        <v>fail</v>
      </c>
      <c r="L843" s="19" t="str">
        <f>IFERROR(IF(AND(MATCH(A843,Projection_classes,0),YEAR(current_date)=Projections!B843),"pass","fail"),"")</f>
        <v/>
      </c>
    </row>
    <row r="844" spans="1:12" x14ac:dyDescent="0.25">
      <c r="A844" s="64"/>
      <c r="B844" s="64"/>
      <c r="C844" s="65"/>
      <c r="D844" s="65"/>
      <c r="E844" s="65"/>
      <c r="F844" s="61"/>
      <c r="G844" s="61"/>
      <c r="H844" s="61"/>
      <c r="I844" s="61"/>
      <c r="J844" s="61"/>
      <c r="K844" s="3" t="str">
        <f t="shared" si="13"/>
        <v>fail</v>
      </c>
      <c r="L844" s="19" t="str">
        <f>IFERROR(IF(AND(MATCH(A844,Projection_classes,0),YEAR(current_date)=Projections!B844),"pass","fail"),"")</f>
        <v/>
      </c>
    </row>
    <row r="845" spans="1:12" x14ac:dyDescent="0.25">
      <c r="A845" s="64"/>
      <c r="B845" s="64"/>
      <c r="C845" s="65"/>
      <c r="D845" s="65"/>
      <c r="E845" s="65"/>
      <c r="F845" s="61"/>
      <c r="G845" s="61"/>
      <c r="H845" s="61"/>
      <c r="I845" s="61"/>
      <c r="J845" s="61"/>
      <c r="K845" s="3" t="str">
        <f t="shared" si="13"/>
        <v>fail</v>
      </c>
      <c r="L845" s="19" t="str">
        <f>IFERROR(IF(AND(MATCH(A845,Projection_classes,0),YEAR(current_date)=Projections!B845),"pass","fail"),"")</f>
        <v/>
      </c>
    </row>
    <row r="846" spans="1:12" x14ac:dyDescent="0.25">
      <c r="A846" s="64"/>
      <c r="B846" s="64"/>
      <c r="C846" s="65"/>
      <c r="D846" s="65"/>
      <c r="E846" s="65"/>
      <c r="F846" s="61"/>
      <c r="G846" s="61"/>
      <c r="H846" s="61"/>
      <c r="I846" s="61"/>
      <c r="J846" s="61"/>
      <c r="K846" s="3" t="str">
        <f t="shared" si="13"/>
        <v>fail</v>
      </c>
      <c r="L846" s="19" t="str">
        <f>IFERROR(IF(AND(MATCH(A846,Projection_classes,0),YEAR(current_date)=Projections!B846),"pass","fail"),"")</f>
        <v/>
      </c>
    </row>
    <row r="847" spans="1:12" x14ac:dyDescent="0.25">
      <c r="A847" s="64"/>
      <c r="B847" s="64"/>
      <c r="C847" s="65"/>
      <c r="D847" s="65"/>
      <c r="E847" s="65"/>
      <c r="F847" s="61"/>
      <c r="G847" s="61"/>
      <c r="H847" s="61"/>
      <c r="I847" s="61"/>
      <c r="J847" s="61"/>
      <c r="K847" s="3" t="str">
        <f t="shared" si="13"/>
        <v>fail</v>
      </c>
      <c r="L847" s="19" t="str">
        <f>IFERROR(IF(AND(MATCH(A847,Projection_classes,0),YEAR(current_date)=Projections!B847),"pass","fail"),"")</f>
        <v/>
      </c>
    </row>
    <row r="848" spans="1:12" x14ac:dyDescent="0.25">
      <c r="A848" s="64"/>
      <c r="B848" s="64"/>
      <c r="C848" s="65"/>
      <c r="D848" s="65"/>
      <c r="E848" s="65"/>
      <c r="F848" s="61"/>
      <c r="G848" s="61"/>
      <c r="H848" s="61"/>
      <c r="I848" s="61"/>
      <c r="J848" s="61"/>
      <c r="K848" s="3" t="str">
        <f t="shared" si="13"/>
        <v>fail</v>
      </c>
      <c r="L848" s="19" t="str">
        <f>IFERROR(IF(AND(MATCH(A848,Projection_classes,0),YEAR(current_date)=Projections!B848),"pass","fail"),"")</f>
        <v/>
      </c>
    </row>
    <row r="849" spans="1:12" x14ac:dyDescent="0.25">
      <c r="A849" s="64"/>
      <c r="B849" s="64"/>
      <c r="C849" s="65"/>
      <c r="D849" s="65"/>
      <c r="E849" s="65"/>
      <c r="F849" s="61"/>
      <c r="G849" s="61"/>
      <c r="H849" s="61"/>
      <c r="I849" s="61"/>
      <c r="J849" s="61"/>
      <c r="K849" s="3" t="str">
        <f t="shared" si="13"/>
        <v>fail</v>
      </c>
      <c r="L849" s="19" t="str">
        <f>IFERROR(IF(AND(MATCH(A849,Projection_classes,0),YEAR(current_date)=Projections!B849),"pass","fail"),"")</f>
        <v/>
      </c>
    </row>
    <row r="850" spans="1:12" x14ac:dyDescent="0.25">
      <c r="A850" s="64"/>
      <c r="B850" s="64"/>
      <c r="C850" s="65"/>
      <c r="D850" s="65"/>
      <c r="E850" s="65"/>
      <c r="F850" s="61"/>
      <c r="G850" s="61"/>
      <c r="H850" s="61"/>
      <c r="I850" s="61"/>
      <c r="J850" s="61"/>
      <c r="K850" s="3" t="str">
        <f t="shared" si="13"/>
        <v>fail</v>
      </c>
      <c r="L850" s="19" t="str">
        <f>IFERROR(IF(AND(MATCH(A850,Projection_classes,0),YEAR(current_date)=Projections!B850),"pass","fail"),"")</f>
        <v/>
      </c>
    </row>
    <row r="851" spans="1:12" x14ac:dyDescent="0.25">
      <c r="A851" s="64"/>
      <c r="B851" s="64"/>
      <c r="C851" s="65"/>
      <c r="D851" s="65"/>
      <c r="E851" s="65"/>
      <c r="F851" s="61"/>
      <c r="G851" s="61"/>
      <c r="H851" s="61"/>
      <c r="I851" s="61"/>
      <c r="J851" s="61"/>
      <c r="K851" s="3" t="str">
        <f t="shared" si="13"/>
        <v>fail</v>
      </c>
      <c r="L851" s="19" t="str">
        <f>IFERROR(IF(AND(MATCH(A851,Projection_classes,0),YEAR(current_date)=Projections!B851),"pass","fail"),"")</f>
        <v/>
      </c>
    </row>
    <row r="852" spans="1:12" x14ac:dyDescent="0.25">
      <c r="A852" s="64"/>
      <c r="B852" s="64"/>
      <c r="C852" s="65"/>
      <c r="D852" s="65"/>
      <c r="E852" s="65"/>
      <c r="F852" s="61"/>
      <c r="G852" s="61"/>
      <c r="H852" s="61"/>
      <c r="I852" s="61"/>
      <c r="J852" s="61"/>
      <c r="K852" s="3" t="str">
        <f t="shared" si="13"/>
        <v>fail</v>
      </c>
      <c r="L852" s="19" t="str">
        <f>IFERROR(IF(AND(MATCH(A852,Projection_classes,0),YEAR(current_date)=Projections!B852),"pass","fail"),"")</f>
        <v/>
      </c>
    </row>
    <row r="853" spans="1:12" x14ac:dyDescent="0.25">
      <c r="A853" s="64"/>
      <c r="B853" s="64"/>
      <c r="C853" s="65"/>
      <c r="D853" s="65"/>
      <c r="E853" s="65"/>
      <c r="F853" s="61"/>
      <c r="G853" s="61"/>
      <c r="H853" s="61"/>
      <c r="I853" s="61"/>
      <c r="J853" s="61"/>
      <c r="K853" s="3" t="str">
        <f t="shared" si="13"/>
        <v>fail</v>
      </c>
      <c r="L853" s="19" t="str">
        <f>IFERROR(IF(AND(MATCH(A853,Projection_classes,0),YEAR(current_date)=Projections!B853),"pass","fail"),"")</f>
        <v/>
      </c>
    </row>
    <row r="854" spans="1:12" x14ac:dyDescent="0.25">
      <c r="A854" s="64"/>
      <c r="B854" s="64"/>
      <c r="C854" s="65"/>
      <c r="D854" s="65"/>
      <c r="E854" s="65"/>
      <c r="F854" s="61"/>
      <c r="G854" s="61"/>
      <c r="H854" s="61"/>
      <c r="I854" s="61"/>
      <c r="J854" s="61"/>
      <c r="K854" s="3" t="str">
        <f t="shared" si="13"/>
        <v>fail</v>
      </c>
      <c r="L854" s="19" t="str">
        <f>IFERROR(IF(AND(MATCH(A854,Projection_classes,0),YEAR(current_date)=Projections!B854),"pass","fail"),"")</f>
        <v/>
      </c>
    </row>
    <row r="855" spans="1:12" x14ac:dyDescent="0.25">
      <c r="A855" s="64"/>
      <c r="B855" s="64"/>
      <c r="C855" s="65"/>
      <c r="D855" s="65"/>
      <c r="E855" s="65"/>
      <c r="F855" s="61"/>
      <c r="G855" s="61"/>
      <c r="H855" s="61"/>
      <c r="I855" s="61"/>
      <c r="J855" s="61"/>
      <c r="K855" s="3" t="str">
        <f t="shared" si="13"/>
        <v>fail</v>
      </c>
      <c r="L855" s="19" t="str">
        <f>IFERROR(IF(AND(MATCH(A855,Projection_classes,0),YEAR(current_date)=Projections!B855),"pass","fail"),"")</f>
        <v/>
      </c>
    </row>
    <row r="856" spans="1:12" x14ac:dyDescent="0.25">
      <c r="A856" s="64"/>
      <c r="B856" s="64"/>
      <c r="C856" s="65"/>
      <c r="D856" s="65"/>
      <c r="E856" s="65"/>
      <c r="F856" s="61"/>
      <c r="G856" s="61"/>
      <c r="H856" s="61"/>
      <c r="I856" s="61"/>
      <c r="J856" s="61"/>
      <c r="K856" s="3" t="str">
        <f t="shared" si="13"/>
        <v>fail</v>
      </c>
      <c r="L856" s="19" t="str">
        <f>IFERROR(IF(AND(MATCH(A856,Projection_classes,0),YEAR(current_date)=Projections!B856),"pass","fail"),"")</f>
        <v/>
      </c>
    </row>
    <row r="857" spans="1:12" x14ac:dyDescent="0.25">
      <c r="A857" s="64"/>
      <c r="B857" s="64"/>
      <c r="C857" s="65"/>
      <c r="D857" s="65"/>
      <c r="E857" s="65"/>
      <c r="F857" s="61"/>
      <c r="G857" s="61"/>
      <c r="H857" s="61"/>
      <c r="I857" s="61"/>
      <c r="J857" s="61"/>
      <c r="K857" s="3" t="str">
        <f t="shared" si="13"/>
        <v>fail</v>
      </c>
      <c r="L857" s="19" t="str">
        <f>IFERROR(IF(AND(MATCH(A857,Projection_classes,0),YEAR(current_date)=Projections!B857),"pass","fail"),"")</f>
        <v/>
      </c>
    </row>
    <row r="858" spans="1:12" x14ac:dyDescent="0.25">
      <c r="A858" s="64"/>
      <c r="B858" s="64"/>
      <c r="C858" s="65"/>
      <c r="D858" s="65"/>
      <c r="E858" s="65"/>
      <c r="F858" s="61"/>
      <c r="G858" s="61"/>
      <c r="H858" s="61"/>
      <c r="I858" s="61"/>
      <c r="J858" s="61"/>
      <c r="K858" s="3" t="str">
        <f t="shared" si="13"/>
        <v>fail</v>
      </c>
      <c r="L858" s="19" t="str">
        <f>IFERROR(IF(AND(MATCH(A858,Projection_classes,0),YEAR(current_date)=Projections!B858),"pass","fail"),"")</f>
        <v/>
      </c>
    </row>
    <row r="859" spans="1:12" x14ac:dyDescent="0.25">
      <c r="A859" s="64"/>
      <c r="B859" s="64"/>
      <c r="C859" s="65"/>
      <c r="D859" s="65"/>
      <c r="E859" s="65"/>
      <c r="F859" s="61"/>
      <c r="G859" s="61"/>
      <c r="H859" s="61"/>
      <c r="I859" s="61"/>
      <c r="J859" s="61"/>
      <c r="K859" s="3" t="str">
        <f t="shared" si="13"/>
        <v>fail</v>
      </c>
      <c r="L859" s="19" t="str">
        <f>IFERROR(IF(AND(MATCH(A859,Projection_classes,0),YEAR(current_date)=Projections!B859),"pass","fail"),"")</f>
        <v/>
      </c>
    </row>
    <row r="860" spans="1:12" x14ac:dyDescent="0.25">
      <c r="A860" s="64"/>
      <c r="B860" s="64"/>
      <c r="C860" s="65"/>
      <c r="D860" s="65"/>
      <c r="E860" s="65"/>
      <c r="F860" s="61"/>
      <c r="G860" s="61"/>
      <c r="H860" s="61"/>
      <c r="I860" s="61"/>
      <c r="J860" s="61"/>
      <c r="K860" s="3" t="str">
        <f t="shared" si="13"/>
        <v>fail</v>
      </c>
      <c r="L860" s="19" t="str">
        <f>IFERROR(IF(AND(MATCH(A860,Projection_classes,0),YEAR(current_date)=Projections!B860),"pass","fail"),"")</f>
        <v/>
      </c>
    </row>
    <row r="861" spans="1:12" x14ac:dyDescent="0.25">
      <c r="A861" s="64"/>
      <c r="B861" s="64"/>
      <c r="C861" s="65"/>
      <c r="D861" s="65"/>
      <c r="E861" s="65"/>
      <c r="F861" s="61"/>
      <c r="G861" s="61"/>
      <c r="H861" s="61"/>
      <c r="I861" s="61"/>
      <c r="J861" s="61"/>
      <c r="K861" s="3" t="str">
        <f t="shared" si="13"/>
        <v>fail</v>
      </c>
      <c r="L861" s="19" t="str">
        <f>IFERROR(IF(AND(MATCH(A861,Projection_classes,0),YEAR(current_date)=Projections!B861),"pass","fail"),"")</f>
        <v/>
      </c>
    </row>
    <row r="862" spans="1:12" x14ac:dyDescent="0.25">
      <c r="A862" s="64"/>
      <c r="B862" s="64"/>
      <c r="C862" s="65"/>
      <c r="D862" s="65"/>
      <c r="E862" s="65"/>
      <c r="F862" s="61"/>
      <c r="G862" s="61"/>
      <c r="H862" s="61"/>
      <c r="I862" s="61"/>
      <c r="J862" s="61"/>
      <c r="K862" s="3" t="str">
        <f t="shared" si="13"/>
        <v>fail</v>
      </c>
      <c r="L862" s="19" t="str">
        <f>IFERROR(IF(AND(MATCH(A862,Projection_classes,0),YEAR(current_date)=Projections!B862),"pass","fail"),"")</f>
        <v/>
      </c>
    </row>
    <row r="863" spans="1:12" x14ac:dyDescent="0.25">
      <c r="A863" s="64"/>
      <c r="B863" s="64"/>
      <c r="C863" s="65"/>
      <c r="D863" s="65"/>
      <c r="E863" s="65"/>
      <c r="F863" s="61"/>
      <c r="G863" s="61"/>
      <c r="H863" s="61"/>
      <c r="I863" s="61"/>
      <c r="J863" s="61"/>
      <c r="K863" s="3" t="str">
        <f t="shared" si="13"/>
        <v>fail</v>
      </c>
      <c r="L863" s="19" t="str">
        <f>IFERROR(IF(AND(MATCH(A863,Projection_classes,0),YEAR(current_date)=Projections!B863),"pass","fail"),"")</f>
        <v/>
      </c>
    </row>
    <row r="864" spans="1:12" x14ac:dyDescent="0.25">
      <c r="A864" s="64"/>
      <c r="B864" s="64"/>
      <c r="C864" s="65"/>
      <c r="D864" s="65"/>
      <c r="E864" s="65"/>
      <c r="F864" s="61"/>
      <c r="G864" s="61"/>
      <c r="H864" s="61"/>
      <c r="I864" s="61"/>
      <c r="J864" s="61"/>
      <c r="K864" s="3" t="str">
        <f t="shared" si="13"/>
        <v>fail</v>
      </c>
      <c r="L864" s="19" t="str">
        <f>IFERROR(IF(AND(MATCH(A864,Projection_classes,0),YEAR(current_date)=Projections!B864),"pass","fail"),"")</f>
        <v/>
      </c>
    </row>
    <row r="865" spans="1:12" x14ac:dyDescent="0.25">
      <c r="A865" s="64"/>
      <c r="B865" s="64"/>
      <c r="C865" s="65"/>
      <c r="D865" s="65"/>
      <c r="E865" s="65"/>
      <c r="F865" s="61"/>
      <c r="G865" s="61"/>
      <c r="H865" s="61"/>
      <c r="I865" s="61"/>
      <c r="J865" s="61"/>
      <c r="K865" s="3" t="str">
        <f t="shared" si="13"/>
        <v>fail</v>
      </c>
      <c r="L865" s="19" t="str">
        <f>IFERROR(IF(AND(MATCH(A865,Projection_classes,0),YEAR(current_date)=Projections!B865),"pass","fail"),"")</f>
        <v/>
      </c>
    </row>
    <row r="866" spans="1:12" x14ac:dyDescent="0.25">
      <c r="A866" s="64"/>
      <c r="B866" s="64"/>
      <c r="C866" s="65"/>
      <c r="D866" s="65"/>
      <c r="E866" s="65"/>
      <c r="F866" s="61"/>
      <c r="G866" s="61"/>
      <c r="H866" s="61"/>
      <c r="I866" s="61"/>
      <c r="J866" s="61"/>
      <c r="K866" s="3" t="str">
        <f t="shared" si="13"/>
        <v>fail</v>
      </c>
      <c r="L866" s="19" t="str">
        <f>IFERROR(IF(AND(MATCH(A866,Projection_classes,0),YEAR(current_date)=Projections!B866),"pass","fail"),"")</f>
        <v/>
      </c>
    </row>
    <row r="867" spans="1:12" x14ac:dyDescent="0.25">
      <c r="A867" s="64"/>
      <c r="B867" s="64"/>
      <c r="C867" s="65"/>
      <c r="D867" s="65"/>
      <c r="E867" s="65"/>
      <c r="F867" s="61"/>
      <c r="G867" s="61"/>
      <c r="H867" s="61"/>
      <c r="I867" s="61"/>
      <c r="J867" s="61"/>
      <c r="K867" s="3" t="str">
        <f t="shared" si="13"/>
        <v>fail</v>
      </c>
      <c r="L867" s="19" t="str">
        <f>IFERROR(IF(AND(MATCH(A867,Projection_classes,0),YEAR(current_date)=Projections!B867),"pass","fail"),"")</f>
        <v/>
      </c>
    </row>
    <row r="868" spans="1:12" x14ac:dyDescent="0.25">
      <c r="A868" s="64"/>
      <c r="B868" s="64"/>
      <c r="C868" s="65"/>
      <c r="D868" s="65"/>
      <c r="E868" s="65"/>
      <c r="F868" s="61"/>
      <c r="G868" s="61"/>
      <c r="H868" s="61"/>
      <c r="I868" s="61"/>
      <c r="J868" s="61"/>
      <c r="K868" s="3" t="str">
        <f t="shared" si="13"/>
        <v>fail</v>
      </c>
      <c r="L868" s="19" t="str">
        <f>IFERROR(IF(AND(MATCH(A868,Projection_classes,0),YEAR(current_date)=Projections!B868),"pass","fail"),"")</f>
        <v/>
      </c>
    </row>
    <row r="869" spans="1:12" x14ac:dyDescent="0.25">
      <c r="A869" s="64"/>
      <c r="B869" s="64"/>
      <c r="C869" s="65"/>
      <c r="D869" s="65"/>
      <c r="E869" s="65"/>
      <c r="F869" s="61"/>
      <c r="G869" s="61"/>
      <c r="H869" s="61"/>
      <c r="I869" s="61"/>
      <c r="J869" s="61"/>
      <c r="K869" s="3" t="str">
        <f t="shared" si="13"/>
        <v>fail</v>
      </c>
      <c r="L869" s="19" t="str">
        <f>IFERROR(IF(AND(MATCH(A869,Projection_classes,0),YEAR(current_date)=Projections!B869),"pass","fail"),"")</f>
        <v/>
      </c>
    </row>
    <row r="870" spans="1:12" x14ac:dyDescent="0.25">
      <c r="A870" s="64"/>
      <c r="B870" s="64"/>
      <c r="C870" s="65"/>
      <c r="D870" s="65"/>
      <c r="E870" s="65"/>
      <c r="F870" s="61"/>
      <c r="G870" s="61"/>
      <c r="H870" s="61"/>
      <c r="I870" s="61"/>
      <c r="J870" s="61"/>
      <c r="K870" s="3" t="str">
        <f t="shared" si="13"/>
        <v>fail</v>
      </c>
      <c r="L870" s="19" t="str">
        <f>IFERROR(IF(AND(MATCH(A870,Projection_classes,0),YEAR(current_date)=Projections!B870),"pass","fail"),"")</f>
        <v/>
      </c>
    </row>
    <row r="871" spans="1:12" x14ac:dyDescent="0.25">
      <c r="A871" s="64"/>
      <c r="B871" s="64"/>
      <c r="C871" s="65"/>
      <c r="D871" s="65"/>
      <c r="E871" s="65"/>
      <c r="F871" s="61"/>
      <c r="G871" s="61"/>
      <c r="H871" s="61"/>
      <c r="I871" s="61"/>
      <c r="J871" s="61"/>
      <c r="K871" s="3" t="str">
        <f t="shared" si="13"/>
        <v>fail</v>
      </c>
      <c r="L871" s="19" t="str">
        <f>IFERROR(IF(AND(MATCH(A871,Projection_classes,0),YEAR(current_date)=Projections!B871),"pass","fail"),"")</f>
        <v/>
      </c>
    </row>
    <row r="872" spans="1:12" x14ac:dyDescent="0.25">
      <c r="A872" s="64"/>
      <c r="B872" s="64"/>
      <c r="C872" s="65"/>
      <c r="D872" s="65"/>
      <c r="E872" s="65"/>
      <c r="F872" s="61"/>
      <c r="G872" s="61"/>
      <c r="H872" s="61"/>
      <c r="I872" s="61"/>
      <c r="J872" s="61"/>
      <c r="K872" s="3" t="str">
        <f t="shared" si="13"/>
        <v>fail</v>
      </c>
      <c r="L872" s="19" t="str">
        <f>IFERROR(IF(AND(MATCH(A872,Projection_classes,0),YEAR(current_date)=Projections!B872),"pass","fail"),"")</f>
        <v/>
      </c>
    </row>
    <row r="873" spans="1:12" x14ac:dyDescent="0.25">
      <c r="A873" s="64"/>
      <c r="B873" s="64"/>
      <c r="C873" s="65"/>
      <c r="D873" s="65"/>
      <c r="E873" s="65"/>
      <c r="F873" s="61"/>
      <c r="G873" s="61"/>
      <c r="H873" s="61"/>
      <c r="I873" s="61"/>
      <c r="J873" s="61"/>
      <c r="K873" s="3" t="str">
        <f t="shared" si="13"/>
        <v>fail</v>
      </c>
      <c r="L873" s="19" t="str">
        <f>IFERROR(IF(AND(MATCH(A873,Projection_classes,0),YEAR(current_date)=Projections!B873),"pass","fail"),"")</f>
        <v/>
      </c>
    </row>
    <row r="874" spans="1:12" x14ac:dyDescent="0.25">
      <c r="A874" s="64"/>
      <c r="B874" s="64"/>
      <c r="C874" s="65"/>
      <c r="D874" s="65"/>
      <c r="E874" s="65"/>
      <c r="F874" s="61"/>
      <c r="G874" s="61"/>
      <c r="H874" s="61"/>
      <c r="I874" s="61"/>
      <c r="J874" s="61"/>
      <c r="K874" s="3" t="str">
        <f t="shared" si="13"/>
        <v>fail</v>
      </c>
      <c r="L874" s="19" t="str">
        <f>IFERROR(IF(AND(MATCH(A874,Projection_classes,0),YEAR(current_date)=Projections!B874),"pass","fail"),"")</f>
        <v/>
      </c>
    </row>
    <row r="875" spans="1:12" x14ac:dyDescent="0.25">
      <c r="A875" s="64"/>
      <c r="B875" s="64"/>
      <c r="C875" s="65"/>
      <c r="D875" s="65"/>
      <c r="E875" s="65"/>
      <c r="F875" s="61"/>
      <c r="G875" s="61"/>
      <c r="H875" s="61"/>
      <c r="I875" s="61"/>
      <c r="J875" s="61"/>
      <c r="K875" s="3" t="str">
        <f t="shared" si="13"/>
        <v>fail</v>
      </c>
      <c r="L875" s="19" t="str">
        <f>IFERROR(IF(AND(MATCH(A875,Projection_classes,0),YEAR(current_date)=Projections!B875),"pass","fail"),"")</f>
        <v/>
      </c>
    </row>
    <row r="876" spans="1:12" x14ac:dyDescent="0.25">
      <c r="A876" s="64"/>
      <c r="B876" s="64"/>
      <c r="C876" s="65"/>
      <c r="D876" s="65"/>
      <c r="E876" s="65"/>
      <c r="F876" s="61"/>
      <c r="G876" s="61"/>
      <c r="H876" s="61"/>
      <c r="I876" s="61"/>
      <c r="J876" s="61"/>
      <c r="K876" s="3" t="str">
        <f t="shared" si="13"/>
        <v>fail</v>
      </c>
      <c r="L876" s="19" t="str">
        <f>IFERROR(IF(AND(MATCH(A876,Projection_classes,0),YEAR(current_date)=Projections!B876),"pass","fail"),"")</f>
        <v/>
      </c>
    </row>
    <row r="877" spans="1:12" x14ac:dyDescent="0.25">
      <c r="A877" s="64"/>
      <c r="B877" s="64"/>
      <c r="C877" s="65"/>
      <c r="D877" s="65"/>
      <c r="E877" s="65"/>
      <c r="F877" s="61"/>
      <c r="G877" s="61"/>
      <c r="H877" s="61"/>
      <c r="I877" s="61"/>
      <c r="J877" s="61"/>
      <c r="K877" s="3" t="str">
        <f t="shared" si="13"/>
        <v>fail</v>
      </c>
      <c r="L877" s="19" t="str">
        <f>IFERROR(IF(AND(MATCH(A877,Projection_classes,0),YEAR(current_date)=Projections!B877),"pass","fail"),"")</f>
        <v/>
      </c>
    </row>
    <row r="878" spans="1:12" x14ac:dyDescent="0.25">
      <c r="A878" s="64"/>
      <c r="B878" s="64"/>
      <c r="C878" s="65"/>
      <c r="D878" s="65"/>
      <c r="E878" s="65"/>
      <c r="F878" s="61"/>
      <c r="G878" s="61"/>
      <c r="H878" s="61"/>
      <c r="I878" s="61"/>
      <c r="J878" s="61"/>
      <c r="K878" s="3" t="str">
        <f t="shared" si="13"/>
        <v>fail</v>
      </c>
      <c r="L878" s="19" t="str">
        <f>IFERROR(IF(AND(MATCH(A878,Projection_classes,0),YEAR(current_date)=Projections!B878),"pass","fail"),"")</f>
        <v/>
      </c>
    </row>
    <row r="879" spans="1:12" x14ac:dyDescent="0.25">
      <c r="A879" s="64"/>
      <c r="B879" s="64"/>
      <c r="C879" s="65"/>
      <c r="D879" s="65"/>
      <c r="E879" s="65"/>
      <c r="F879" s="61"/>
      <c r="G879" s="61"/>
      <c r="H879" s="61"/>
      <c r="I879" s="61"/>
      <c r="J879" s="61"/>
      <c r="K879" s="3" t="str">
        <f t="shared" si="13"/>
        <v>fail</v>
      </c>
      <c r="L879" s="19" t="str">
        <f>IFERROR(IF(AND(MATCH(A879,Projection_classes,0),YEAR(current_date)=Projections!B879),"pass","fail"),"")</f>
        <v/>
      </c>
    </row>
    <row r="880" spans="1:12" x14ac:dyDescent="0.25">
      <c r="A880" s="64"/>
      <c r="B880" s="64"/>
      <c r="C880" s="65"/>
      <c r="D880" s="65"/>
      <c r="E880" s="65"/>
      <c r="F880" s="61"/>
      <c r="G880" s="61"/>
      <c r="H880" s="61"/>
      <c r="I880" s="61"/>
      <c r="J880" s="61"/>
      <c r="K880" s="3" t="str">
        <f t="shared" si="13"/>
        <v>fail</v>
      </c>
      <c r="L880" s="19" t="str">
        <f>IFERROR(IF(AND(MATCH(A880,Projection_classes,0),YEAR(current_date)=Projections!B880),"pass","fail"),"")</f>
        <v/>
      </c>
    </row>
    <row r="881" spans="1:12" x14ac:dyDescent="0.25">
      <c r="A881" s="64"/>
      <c r="B881" s="64"/>
      <c r="C881" s="65"/>
      <c r="D881" s="65"/>
      <c r="E881" s="65"/>
      <c r="F881" s="61"/>
      <c r="G881" s="61"/>
      <c r="H881" s="61"/>
      <c r="I881" s="61"/>
      <c r="J881" s="61"/>
      <c r="K881" s="3" t="str">
        <f t="shared" si="13"/>
        <v>fail</v>
      </c>
      <c r="L881" s="19" t="str">
        <f>IFERROR(IF(AND(MATCH(A881,Projection_classes,0),YEAR(current_date)=Projections!B881),"pass","fail"),"")</f>
        <v/>
      </c>
    </row>
    <row r="882" spans="1:12" x14ac:dyDescent="0.25">
      <c r="A882" s="64"/>
      <c r="B882" s="64"/>
      <c r="C882" s="65"/>
      <c r="D882" s="65"/>
      <c r="E882" s="65"/>
      <c r="F882" s="61"/>
      <c r="G882" s="61"/>
      <c r="H882" s="61"/>
      <c r="I882" s="61"/>
      <c r="J882" s="61"/>
      <c r="K882" s="3" t="str">
        <f t="shared" si="13"/>
        <v>fail</v>
      </c>
      <c r="L882" s="19" t="str">
        <f>IFERROR(IF(AND(MATCH(A882,Projection_classes,0),YEAR(current_date)=Projections!B882),"pass","fail"),"")</f>
        <v/>
      </c>
    </row>
    <row r="883" spans="1:12" x14ac:dyDescent="0.25">
      <c r="A883" s="64"/>
      <c r="B883" s="64"/>
      <c r="C883" s="65"/>
      <c r="D883" s="65"/>
      <c r="E883" s="65"/>
      <c r="F883" s="61"/>
      <c r="G883" s="61"/>
      <c r="H883" s="61"/>
      <c r="I883" s="61"/>
      <c r="J883" s="61"/>
      <c r="K883" s="3" t="str">
        <f t="shared" si="13"/>
        <v>fail</v>
      </c>
      <c r="L883" s="19" t="str">
        <f>IFERROR(IF(AND(MATCH(A883,Projection_classes,0),YEAR(current_date)=Projections!B883),"pass","fail"),"")</f>
        <v/>
      </c>
    </row>
    <row r="884" spans="1:12" x14ac:dyDescent="0.25">
      <c r="A884" s="64"/>
      <c r="B884" s="64"/>
      <c r="C884" s="65"/>
      <c r="D884" s="65"/>
      <c r="E884" s="65"/>
      <c r="F884" s="61"/>
      <c r="G884" s="61"/>
      <c r="H884" s="61"/>
      <c r="I884" s="61"/>
      <c r="J884" s="61"/>
      <c r="K884" s="3" t="str">
        <f t="shared" si="13"/>
        <v>fail</v>
      </c>
      <c r="L884" s="19" t="str">
        <f>IFERROR(IF(AND(MATCH(A884,Projection_classes,0),YEAR(current_date)=Projections!B884),"pass","fail"),"")</f>
        <v/>
      </c>
    </row>
    <row r="885" spans="1:12" x14ac:dyDescent="0.25">
      <c r="A885" s="64"/>
      <c r="B885" s="64"/>
      <c r="C885" s="65"/>
      <c r="D885" s="65"/>
      <c r="E885" s="65"/>
      <c r="F885" s="61"/>
      <c r="G885" s="61"/>
      <c r="H885" s="61"/>
      <c r="I885" s="61"/>
      <c r="J885" s="61"/>
      <c r="K885" s="3" t="str">
        <f t="shared" si="13"/>
        <v>fail</v>
      </c>
      <c r="L885" s="19" t="str">
        <f>IFERROR(IF(AND(MATCH(A885,Projection_classes,0),YEAR(current_date)=Projections!B885),"pass","fail"),"")</f>
        <v/>
      </c>
    </row>
    <row r="886" spans="1:12" x14ac:dyDescent="0.25">
      <c r="A886" s="64"/>
      <c r="B886" s="64"/>
      <c r="C886" s="65"/>
      <c r="D886" s="65"/>
      <c r="E886" s="65"/>
      <c r="F886" s="61"/>
      <c r="G886" s="61"/>
      <c r="H886" s="61"/>
      <c r="I886" s="61"/>
      <c r="J886" s="61"/>
      <c r="K886" s="3" t="str">
        <f t="shared" si="13"/>
        <v>fail</v>
      </c>
      <c r="L886" s="19" t="str">
        <f>IFERROR(IF(AND(MATCH(A886,Projection_classes,0),YEAR(current_date)=Projections!B886),"pass","fail"),"")</f>
        <v/>
      </c>
    </row>
    <row r="887" spans="1:12" x14ac:dyDescent="0.25">
      <c r="A887" s="64"/>
      <c r="B887" s="64"/>
      <c r="C887" s="65"/>
      <c r="D887" s="65"/>
      <c r="E887" s="65"/>
      <c r="F887" s="61"/>
      <c r="G887" s="61"/>
      <c r="H887" s="61"/>
      <c r="I887" s="61"/>
      <c r="J887" s="61"/>
      <c r="K887" s="3" t="str">
        <f t="shared" si="13"/>
        <v>fail</v>
      </c>
      <c r="L887" s="19" t="str">
        <f>IFERROR(IF(AND(MATCH(A887,Projection_classes,0),YEAR(current_date)=Projections!B887),"pass","fail"),"")</f>
        <v/>
      </c>
    </row>
    <row r="888" spans="1:12" x14ac:dyDescent="0.25">
      <c r="A888" s="64"/>
      <c r="B888" s="64"/>
      <c r="C888" s="65"/>
      <c r="D888" s="65"/>
      <c r="E888" s="65"/>
      <c r="F888" s="61"/>
      <c r="G888" s="61"/>
      <c r="H888" s="61"/>
      <c r="I888" s="61"/>
      <c r="J888" s="61"/>
      <c r="K888" s="3" t="str">
        <f t="shared" si="13"/>
        <v>fail</v>
      </c>
      <c r="L888" s="19" t="str">
        <f>IFERROR(IF(AND(MATCH(A888,Projection_classes,0),YEAR(current_date)=Projections!B888),"pass","fail"),"")</f>
        <v/>
      </c>
    </row>
    <row r="889" spans="1:12" x14ac:dyDescent="0.25">
      <c r="A889" s="64"/>
      <c r="B889" s="64"/>
      <c r="C889" s="65"/>
      <c r="D889" s="65"/>
      <c r="E889" s="65"/>
      <c r="F889" s="61"/>
      <c r="G889" s="61"/>
      <c r="H889" s="61"/>
      <c r="I889" s="61"/>
      <c r="J889" s="61"/>
      <c r="K889" s="3" t="str">
        <f t="shared" si="13"/>
        <v>fail</v>
      </c>
      <c r="L889" s="19" t="str">
        <f>IFERROR(IF(AND(MATCH(A889,Projection_classes,0),YEAR(current_date)=Projections!B889),"pass","fail"),"")</f>
        <v/>
      </c>
    </row>
    <row r="890" spans="1:12" x14ac:dyDescent="0.25">
      <c r="A890" s="64"/>
      <c r="B890" s="64"/>
      <c r="C890" s="65"/>
      <c r="D890" s="65"/>
      <c r="E890" s="65"/>
      <c r="F890" s="61"/>
      <c r="G890" s="61"/>
      <c r="H890" s="61"/>
      <c r="I890" s="61"/>
      <c r="J890" s="61"/>
      <c r="K890" s="3" t="str">
        <f t="shared" si="13"/>
        <v>fail</v>
      </c>
      <c r="L890" s="19" t="str">
        <f>IFERROR(IF(AND(MATCH(A890,Projection_classes,0),YEAR(current_date)=Projections!B890),"pass","fail"),"")</f>
        <v/>
      </c>
    </row>
    <row r="891" spans="1:12" x14ac:dyDescent="0.25">
      <c r="A891" s="64"/>
      <c r="B891" s="64"/>
      <c r="C891" s="65"/>
      <c r="D891" s="65"/>
      <c r="E891" s="65"/>
      <c r="F891" s="61"/>
      <c r="G891" s="61"/>
      <c r="H891" s="61"/>
      <c r="I891" s="61"/>
      <c r="J891" s="61"/>
      <c r="K891" s="3" t="str">
        <f t="shared" si="13"/>
        <v>fail</v>
      </c>
      <c r="L891" s="19" t="str">
        <f>IFERROR(IF(AND(MATCH(A891,Projection_classes,0),YEAR(current_date)=Projections!B891),"pass","fail"),"")</f>
        <v/>
      </c>
    </row>
    <row r="892" spans="1:12" x14ac:dyDescent="0.25">
      <c r="A892" s="64"/>
      <c r="B892" s="64"/>
      <c r="C892" s="65"/>
      <c r="D892" s="65"/>
      <c r="E892" s="65"/>
      <c r="F892" s="61"/>
      <c r="G892" s="61"/>
      <c r="H892" s="61"/>
      <c r="I892" s="61"/>
      <c r="J892" s="61"/>
      <c r="K892" s="3" t="str">
        <f t="shared" si="13"/>
        <v>fail</v>
      </c>
      <c r="L892" s="19" t="str">
        <f>IFERROR(IF(AND(MATCH(A892,Projection_classes,0),YEAR(current_date)=Projections!B892),"pass","fail"),"")</f>
        <v/>
      </c>
    </row>
    <row r="893" spans="1:12" x14ac:dyDescent="0.25">
      <c r="A893" s="64"/>
      <c r="B893" s="64"/>
      <c r="C893" s="65"/>
      <c r="D893" s="65"/>
      <c r="E893" s="65"/>
      <c r="F893" s="61"/>
      <c r="G893" s="61"/>
      <c r="H893" s="61"/>
      <c r="I893" s="61"/>
      <c r="J893" s="61"/>
      <c r="K893" s="3" t="str">
        <f t="shared" si="13"/>
        <v>fail</v>
      </c>
      <c r="L893" s="19" t="str">
        <f>IFERROR(IF(AND(MATCH(A893,Projection_classes,0),YEAR(current_date)=Projections!B893),"pass","fail"),"")</f>
        <v/>
      </c>
    </row>
    <row r="894" spans="1:12" x14ac:dyDescent="0.25">
      <c r="A894" s="64"/>
      <c r="B894" s="64"/>
      <c r="C894" s="65"/>
      <c r="D894" s="65"/>
      <c r="E894" s="65"/>
      <c r="F894" s="61"/>
      <c r="G894" s="61"/>
      <c r="H894" s="61"/>
      <c r="I894" s="61"/>
      <c r="J894" s="61"/>
      <c r="K894" s="3" t="str">
        <f t="shared" si="13"/>
        <v>fail</v>
      </c>
      <c r="L894" s="19" t="str">
        <f>IFERROR(IF(AND(MATCH(A894,Projection_classes,0),YEAR(current_date)=Projections!B894),"pass","fail"),"")</f>
        <v/>
      </c>
    </row>
    <row r="895" spans="1:12" x14ac:dyDescent="0.25">
      <c r="A895" s="64"/>
      <c r="B895" s="64"/>
      <c r="C895" s="65"/>
      <c r="D895" s="65"/>
      <c r="E895" s="65"/>
      <c r="F895" s="61"/>
      <c r="G895" s="61"/>
      <c r="H895" s="61"/>
      <c r="I895" s="61"/>
      <c r="J895" s="61"/>
      <c r="K895" s="3" t="str">
        <f t="shared" si="13"/>
        <v>fail</v>
      </c>
      <c r="L895" s="19" t="str">
        <f>IFERROR(IF(AND(MATCH(A895,Projection_classes,0),YEAR(current_date)=Projections!B895),"pass","fail"),"")</f>
        <v/>
      </c>
    </row>
    <row r="896" spans="1:12" x14ac:dyDescent="0.25">
      <c r="A896" s="64"/>
      <c r="B896" s="64"/>
      <c r="C896" s="65"/>
      <c r="D896" s="65"/>
      <c r="E896" s="65"/>
      <c r="F896" s="61"/>
      <c r="G896" s="61"/>
      <c r="H896" s="61"/>
      <c r="I896" s="61"/>
      <c r="J896" s="61"/>
      <c r="K896" s="3" t="str">
        <f t="shared" si="13"/>
        <v>fail</v>
      </c>
      <c r="L896" s="19" t="str">
        <f>IFERROR(IF(AND(MATCH(A896,Projection_classes,0),YEAR(current_date)=Projections!B896),"pass","fail"),"")</f>
        <v/>
      </c>
    </row>
    <row r="897" spans="1:12" x14ac:dyDescent="0.25">
      <c r="A897" s="64"/>
      <c r="B897" s="64"/>
      <c r="C897" s="65"/>
      <c r="D897" s="65"/>
      <c r="E897" s="65"/>
      <c r="F897" s="61"/>
      <c r="G897" s="61"/>
      <c r="H897" s="61"/>
      <c r="I897" s="61"/>
      <c r="J897" s="61"/>
      <c r="K897" s="3" t="str">
        <f t="shared" si="13"/>
        <v>fail</v>
      </c>
      <c r="L897" s="19" t="str">
        <f>IFERROR(IF(AND(MATCH(A897,Projection_classes,0),YEAR(current_date)=Projections!B897),"pass","fail"),"")</f>
        <v/>
      </c>
    </row>
    <row r="898" spans="1:12" x14ac:dyDescent="0.25">
      <c r="A898" s="64"/>
      <c r="B898" s="64"/>
      <c r="C898" s="65"/>
      <c r="D898" s="65"/>
      <c r="E898" s="65"/>
      <c r="F898" s="61"/>
      <c r="G898" s="61"/>
      <c r="H898" s="61"/>
      <c r="I898" s="61"/>
      <c r="J898" s="61"/>
      <c r="K898" s="3" t="str">
        <f t="shared" ref="K898:K961" si="14">IF(OR(B898&lt;$N$1,B898&gt;$P$1),"fail","pass")</f>
        <v>fail</v>
      </c>
      <c r="L898" s="19" t="str">
        <f>IFERROR(IF(AND(MATCH(A898,Projection_classes,0),YEAR(current_date)=Projections!B898),"pass","fail"),"")</f>
        <v/>
      </c>
    </row>
    <row r="899" spans="1:12" x14ac:dyDescent="0.25">
      <c r="A899" s="64"/>
      <c r="B899" s="64"/>
      <c r="C899" s="65"/>
      <c r="D899" s="65"/>
      <c r="E899" s="65"/>
      <c r="F899" s="61"/>
      <c r="G899" s="61"/>
      <c r="H899" s="61"/>
      <c r="I899" s="61"/>
      <c r="J899" s="61"/>
      <c r="K899" s="3" t="str">
        <f t="shared" si="14"/>
        <v>fail</v>
      </c>
      <c r="L899" s="19" t="str">
        <f>IFERROR(IF(AND(MATCH(A899,Projection_classes,0),YEAR(current_date)=Projections!B899),"pass","fail"),"")</f>
        <v/>
      </c>
    </row>
    <row r="900" spans="1:12" x14ac:dyDescent="0.25">
      <c r="A900" s="64"/>
      <c r="B900" s="64"/>
      <c r="C900" s="65"/>
      <c r="D900" s="65"/>
      <c r="E900" s="65"/>
      <c r="F900" s="61"/>
      <c r="G900" s="61"/>
      <c r="H900" s="61"/>
      <c r="I900" s="61"/>
      <c r="J900" s="61"/>
      <c r="K900" s="3" t="str">
        <f t="shared" si="14"/>
        <v>fail</v>
      </c>
      <c r="L900" s="19" t="str">
        <f>IFERROR(IF(AND(MATCH(A900,Projection_classes,0),YEAR(current_date)=Projections!B900),"pass","fail"),"")</f>
        <v/>
      </c>
    </row>
    <row r="901" spans="1:12" x14ac:dyDescent="0.25">
      <c r="A901" s="64"/>
      <c r="B901" s="64"/>
      <c r="C901" s="65"/>
      <c r="D901" s="65"/>
      <c r="E901" s="65"/>
      <c r="F901" s="61"/>
      <c r="G901" s="61"/>
      <c r="H901" s="61"/>
      <c r="I901" s="61"/>
      <c r="J901" s="61"/>
      <c r="K901" s="3" t="str">
        <f t="shared" si="14"/>
        <v>fail</v>
      </c>
      <c r="L901" s="19" t="str">
        <f>IFERROR(IF(AND(MATCH(A901,Projection_classes,0),YEAR(current_date)=Projections!B901),"pass","fail"),"")</f>
        <v/>
      </c>
    </row>
    <row r="902" spans="1:12" x14ac:dyDescent="0.25">
      <c r="A902" s="64"/>
      <c r="B902" s="64"/>
      <c r="C902" s="65"/>
      <c r="D902" s="65"/>
      <c r="E902" s="65"/>
      <c r="F902" s="61"/>
      <c r="G902" s="61"/>
      <c r="H902" s="61"/>
      <c r="I902" s="61"/>
      <c r="J902" s="61"/>
      <c r="K902" s="3" t="str">
        <f t="shared" si="14"/>
        <v>fail</v>
      </c>
      <c r="L902" s="19" t="str">
        <f>IFERROR(IF(AND(MATCH(A902,Projection_classes,0),YEAR(current_date)=Projections!B902),"pass","fail"),"")</f>
        <v/>
      </c>
    </row>
    <row r="903" spans="1:12" x14ac:dyDescent="0.25">
      <c r="A903" s="64"/>
      <c r="B903" s="64"/>
      <c r="C903" s="65"/>
      <c r="D903" s="65"/>
      <c r="E903" s="65"/>
      <c r="F903" s="61"/>
      <c r="G903" s="61"/>
      <c r="H903" s="61"/>
      <c r="I903" s="61"/>
      <c r="J903" s="61"/>
      <c r="K903" s="3" t="str">
        <f t="shared" si="14"/>
        <v>fail</v>
      </c>
      <c r="L903" s="19" t="str">
        <f>IFERROR(IF(AND(MATCH(A903,Projection_classes,0),YEAR(current_date)=Projections!B903),"pass","fail"),"")</f>
        <v/>
      </c>
    </row>
    <row r="904" spans="1:12" x14ac:dyDescent="0.25">
      <c r="A904" s="64"/>
      <c r="B904" s="64"/>
      <c r="C904" s="65"/>
      <c r="D904" s="65"/>
      <c r="E904" s="65"/>
      <c r="F904" s="61"/>
      <c r="G904" s="61"/>
      <c r="H904" s="61"/>
      <c r="I904" s="61"/>
      <c r="J904" s="61"/>
      <c r="K904" s="3" t="str">
        <f t="shared" si="14"/>
        <v>fail</v>
      </c>
      <c r="L904" s="19" t="str">
        <f>IFERROR(IF(AND(MATCH(A904,Projection_classes,0),YEAR(current_date)=Projections!B904),"pass","fail"),"")</f>
        <v/>
      </c>
    </row>
    <row r="905" spans="1:12" x14ac:dyDescent="0.25">
      <c r="A905" s="64"/>
      <c r="B905" s="64"/>
      <c r="C905" s="65"/>
      <c r="D905" s="65"/>
      <c r="E905" s="65"/>
      <c r="F905" s="61"/>
      <c r="G905" s="61"/>
      <c r="H905" s="61"/>
      <c r="I905" s="61"/>
      <c r="J905" s="61"/>
      <c r="K905" s="3" t="str">
        <f t="shared" si="14"/>
        <v>fail</v>
      </c>
      <c r="L905" s="19" t="str">
        <f>IFERROR(IF(AND(MATCH(A905,Projection_classes,0),YEAR(current_date)=Projections!B905),"pass","fail"),"")</f>
        <v/>
      </c>
    </row>
    <row r="906" spans="1:12" x14ac:dyDescent="0.25">
      <c r="A906" s="64"/>
      <c r="B906" s="64"/>
      <c r="C906" s="65"/>
      <c r="D906" s="65"/>
      <c r="E906" s="65"/>
      <c r="F906" s="61"/>
      <c r="G906" s="61"/>
      <c r="H906" s="61"/>
      <c r="I906" s="61"/>
      <c r="J906" s="61"/>
      <c r="K906" s="3" t="str">
        <f t="shared" si="14"/>
        <v>fail</v>
      </c>
      <c r="L906" s="19" t="str">
        <f>IFERROR(IF(AND(MATCH(A906,Projection_classes,0),YEAR(current_date)=Projections!B906),"pass","fail"),"")</f>
        <v/>
      </c>
    </row>
    <row r="907" spans="1:12" x14ac:dyDescent="0.25">
      <c r="A907" s="64"/>
      <c r="B907" s="64"/>
      <c r="C907" s="65"/>
      <c r="D907" s="65"/>
      <c r="E907" s="65"/>
      <c r="F907" s="61"/>
      <c r="G907" s="61"/>
      <c r="H907" s="61"/>
      <c r="I907" s="61"/>
      <c r="J907" s="61"/>
      <c r="K907" s="3" t="str">
        <f t="shared" si="14"/>
        <v>fail</v>
      </c>
      <c r="L907" s="19" t="str">
        <f>IFERROR(IF(AND(MATCH(A907,Projection_classes,0),YEAR(current_date)=Projections!B907),"pass","fail"),"")</f>
        <v/>
      </c>
    </row>
    <row r="908" spans="1:12" x14ac:dyDescent="0.25">
      <c r="A908" s="64"/>
      <c r="B908" s="64"/>
      <c r="C908" s="65"/>
      <c r="D908" s="65"/>
      <c r="E908" s="65"/>
      <c r="F908" s="61"/>
      <c r="G908" s="61"/>
      <c r="H908" s="61"/>
      <c r="I908" s="61"/>
      <c r="J908" s="61"/>
      <c r="K908" s="3" t="str">
        <f t="shared" si="14"/>
        <v>fail</v>
      </c>
      <c r="L908" s="19" t="str">
        <f>IFERROR(IF(AND(MATCH(A908,Projection_classes,0),YEAR(current_date)=Projections!B908),"pass","fail"),"")</f>
        <v/>
      </c>
    </row>
    <row r="909" spans="1:12" x14ac:dyDescent="0.25">
      <c r="A909" s="64"/>
      <c r="B909" s="64"/>
      <c r="C909" s="65"/>
      <c r="D909" s="65"/>
      <c r="E909" s="65"/>
      <c r="F909" s="61"/>
      <c r="G909" s="61"/>
      <c r="H909" s="61"/>
      <c r="I909" s="61"/>
      <c r="J909" s="61"/>
      <c r="K909" s="3" t="str">
        <f t="shared" si="14"/>
        <v>fail</v>
      </c>
      <c r="L909" s="19" t="str">
        <f>IFERROR(IF(AND(MATCH(A909,Projection_classes,0),YEAR(current_date)=Projections!B909),"pass","fail"),"")</f>
        <v/>
      </c>
    </row>
    <row r="910" spans="1:12" x14ac:dyDescent="0.25">
      <c r="A910" s="64"/>
      <c r="B910" s="64"/>
      <c r="C910" s="65"/>
      <c r="D910" s="65"/>
      <c r="E910" s="65"/>
      <c r="F910" s="61"/>
      <c r="G910" s="61"/>
      <c r="H910" s="61"/>
      <c r="I910" s="61"/>
      <c r="J910" s="61"/>
      <c r="K910" s="3" t="str">
        <f t="shared" si="14"/>
        <v>fail</v>
      </c>
      <c r="L910" s="19" t="str">
        <f>IFERROR(IF(AND(MATCH(A910,Projection_classes,0),YEAR(current_date)=Projections!B910),"pass","fail"),"")</f>
        <v/>
      </c>
    </row>
    <row r="911" spans="1:12" x14ac:dyDescent="0.25">
      <c r="A911" s="64"/>
      <c r="B911" s="64"/>
      <c r="C911" s="65"/>
      <c r="D911" s="65"/>
      <c r="E911" s="65"/>
      <c r="F911" s="61"/>
      <c r="G911" s="61"/>
      <c r="H911" s="61"/>
      <c r="I911" s="61"/>
      <c r="J911" s="61"/>
      <c r="K911" s="3" t="str">
        <f t="shared" si="14"/>
        <v>fail</v>
      </c>
      <c r="L911" s="19" t="str">
        <f>IFERROR(IF(AND(MATCH(A911,Projection_classes,0),YEAR(current_date)=Projections!B911),"pass","fail"),"")</f>
        <v/>
      </c>
    </row>
    <row r="912" spans="1:12" x14ac:dyDescent="0.25">
      <c r="A912" s="64"/>
      <c r="B912" s="64"/>
      <c r="C912" s="65"/>
      <c r="D912" s="65"/>
      <c r="E912" s="65"/>
      <c r="F912" s="61"/>
      <c r="G912" s="61"/>
      <c r="H912" s="61"/>
      <c r="I912" s="61"/>
      <c r="J912" s="61"/>
      <c r="K912" s="3" t="str">
        <f t="shared" si="14"/>
        <v>fail</v>
      </c>
      <c r="L912" s="19" t="str">
        <f>IFERROR(IF(AND(MATCH(A912,Projection_classes,0),YEAR(current_date)=Projections!B912),"pass","fail"),"")</f>
        <v/>
      </c>
    </row>
    <row r="913" spans="1:12" x14ac:dyDescent="0.25">
      <c r="A913" s="64"/>
      <c r="B913" s="64"/>
      <c r="C913" s="65"/>
      <c r="D913" s="65"/>
      <c r="E913" s="65"/>
      <c r="F913" s="61"/>
      <c r="G913" s="61"/>
      <c r="H913" s="61"/>
      <c r="I913" s="61"/>
      <c r="J913" s="61"/>
      <c r="K913" s="3" t="str">
        <f t="shared" si="14"/>
        <v>fail</v>
      </c>
      <c r="L913" s="19" t="str">
        <f>IFERROR(IF(AND(MATCH(A913,Projection_classes,0),YEAR(current_date)=Projections!B913),"pass","fail"),"")</f>
        <v/>
      </c>
    </row>
    <row r="914" spans="1:12" x14ac:dyDescent="0.25">
      <c r="A914" s="64"/>
      <c r="B914" s="64"/>
      <c r="C914" s="65"/>
      <c r="D914" s="65"/>
      <c r="E914" s="65"/>
      <c r="F914" s="61"/>
      <c r="G914" s="61"/>
      <c r="H914" s="61"/>
      <c r="I914" s="61"/>
      <c r="J914" s="61"/>
      <c r="K914" s="3" t="str">
        <f t="shared" si="14"/>
        <v>fail</v>
      </c>
      <c r="L914" s="19" t="str">
        <f>IFERROR(IF(AND(MATCH(A914,Projection_classes,0),YEAR(current_date)=Projections!B914),"pass","fail"),"")</f>
        <v/>
      </c>
    </row>
    <row r="915" spans="1:12" x14ac:dyDescent="0.25">
      <c r="A915" s="64"/>
      <c r="B915" s="64"/>
      <c r="C915" s="65"/>
      <c r="D915" s="65"/>
      <c r="E915" s="65"/>
      <c r="F915" s="61"/>
      <c r="G915" s="61"/>
      <c r="H915" s="61"/>
      <c r="I915" s="61"/>
      <c r="J915" s="61"/>
      <c r="K915" s="3" t="str">
        <f t="shared" si="14"/>
        <v>fail</v>
      </c>
      <c r="L915" s="19" t="str">
        <f>IFERROR(IF(AND(MATCH(A915,Projection_classes,0),YEAR(current_date)=Projections!B915),"pass","fail"),"")</f>
        <v/>
      </c>
    </row>
    <row r="916" spans="1:12" x14ac:dyDescent="0.25">
      <c r="A916" s="64"/>
      <c r="B916" s="64"/>
      <c r="C916" s="65"/>
      <c r="D916" s="65"/>
      <c r="E916" s="65"/>
      <c r="F916" s="61"/>
      <c r="G916" s="61"/>
      <c r="H916" s="61"/>
      <c r="I916" s="61"/>
      <c r="J916" s="61"/>
      <c r="K916" s="3" t="str">
        <f t="shared" si="14"/>
        <v>fail</v>
      </c>
      <c r="L916" s="19" t="str">
        <f>IFERROR(IF(AND(MATCH(A916,Projection_classes,0),YEAR(current_date)=Projections!B916),"pass","fail"),"")</f>
        <v/>
      </c>
    </row>
    <row r="917" spans="1:12" x14ac:dyDescent="0.25">
      <c r="A917" s="64"/>
      <c r="B917" s="64"/>
      <c r="C917" s="65"/>
      <c r="D917" s="65"/>
      <c r="E917" s="65"/>
      <c r="F917" s="61"/>
      <c r="G917" s="61"/>
      <c r="H917" s="61"/>
      <c r="I917" s="61"/>
      <c r="J917" s="61"/>
      <c r="K917" s="3" t="str">
        <f t="shared" si="14"/>
        <v>fail</v>
      </c>
      <c r="L917" s="19" t="str">
        <f>IFERROR(IF(AND(MATCH(A917,Projection_classes,0),YEAR(current_date)=Projections!B917),"pass","fail"),"")</f>
        <v/>
      </c>
    </row>
    <row r="918" spans="1:12" x14ac:dyDescent="0.25">
      <c r="A918" s="64"/>
      <c r="B918" s="64"/>
      <c r="C918" s="65"/>
      <c r="D918" s="65"/>
      <c r="E918" s="65"/>
      <c r="F918" s="61"/>
      <c r="G918" s="61"/>
      <c r="H918" s="61"/>
      <c r="I918" s="61"/>
      <c r="J918" s="61"/>
      <c r="K918" s="3" t="str">
        <f t="shared" si="14"/>
        <v>fail</v>
      </c>
      <c r="L918" s="19" t="str">
        <f>IFERROR(IF(AND(MATCH(A918,Projection_classes,0),YEAR(current_date)=Projections!B918),"pass","fail"),"")</f>
        <v/>
      </c>
    </row>
    <row r="919" spans="1:12" x14ac:dyDescent="0.25">
      <c r="A919" s="64"/>
      <c r="B919" s="64"/>
      <c r="C919" s="65"/>
      <c r="D919" s="65"/>
      <c r="E919" s="65"/>
      <c r="F919" s="61"/>
      <c r="G919" s="61"/>
      <c r="H919" s="61"/>
      <c r="I919" s="61"/>
      <c r="J919" s="61"/>
      <c r="K919" s="3" t="str">
        <f t="shared" si="14"/>
        <v>fail</v>
      </c>
      <c r="L919" s="19" t="str">
        <f>IFERROR(IF(AND(MATCH(A919,Projection_classes,0),YEAR(current_date)=Projections!B919),"pass","fail"),"")</f>
        <v/>
      </c>
    </row>
    <row r="920" spans="1:12" x14ac:dyDescent="0.25">
      <c r="A920" s="64"/>
      <c r="B920" s="64"/>
      <c r="C920" s="65"/>
      <c r="D920" s="65"/>
      <c r="E920" s="65"/>
      <c r="F920" s="61"/>
      <c r="G920" s="61"/>
      <c r="H920" s="61"/>
      <c r="I920" s="61"/>
      <c r="J920" s="61"/>
      <c r="K920" s="3" t="str">
        <f t="shared" si="14"/>
        <v>fail</v>
      </c>
      <c r="L920" s="19" t="str">
        <f>IFERROR(IF(AND(MATCH(A920,Projection_classes,0),YEAR(current_date)=Projections!B920),"pass","fail"),"")</f>
        <v/>
      </c>
    </row>
    <row r="921" spans="1:12" x14ac:dyDescent="0.25">
      <c r="A921" s="64"/>
      <c r="B921" s="64"/>
      <c r="C921" s="65"/>
      <c r="D921" s="65"/>
      <c r="E921" s="65"/>
      <c r="F921" s="61"/>
      <c r="G921" s="61"/>
      <c r="H921" s="61"/>
      <c r="I921" s="61"/>
      <c r="J921" s="61"/>
      <c r="K921" s="3" t="str">
        <f t="shared" si="14"/>
        <v>fail</v>
      </c>
      <c r="L921" s="19" t="str">
        <f>IFERROR(IF(AND(MATCH(A921,Projection_classes,0),YEAR(current_date)=Projections!B921),"pass","fail"),"")</f>
        <v/>
      </c>
    </row>
    <row r="922" spans="1:12" x14ac:dyDescent="0.25">
      <c r="A922" s="64"/>
      <c r="B922" s="64"/>
      <c r="C922" s="65"/>
      <c r="D922" s="65"/>
      <c r="E922" s="65"/>
      <c r="F922" s="61"/>
      <c r="G922" s="61"/>
      <c r="H922" s="61"/>
      <c r="I922" s="61"/>
      <c r="J922" s="61"/>
      <c r="K922" s="3" t="str">
        <f t="shared" si="14"/>
        <v>fail</v>
      </c>
      <c r="L922" s="19" t="str">
        <f>IFERROR(IF(AND(MATCH(A922,Projection_classes,0),YEAR(current_date)=Projections!B922),"pass","fail"),"")</f>
        <v/>
      </c>
    </row>
    <row r="923" spans="1:12" x14ac:dyDescent="0.25">
      <c r="A923" s="64"/>
      <c r="B923" s="64"/>
      <c r="C923" s="65"/>
      <c r="D923" s="65"/>
      <c r="E923" s="65"/>
      <c r="F923" s="61"/>
      <c r="G923" s="61"/>
      <c r="H923" s="61"/>
      <c r="I923" s="61"/>
      <c r="J923" s="61"/>
      <c r="K923" s="3" t="str">
        <f t="shared" si="14"/>
        <v>fail</v>
      </c>
      <c r="L923" s="19" t="str">
        <f>IFERROR(IF(AND(MATCH(A923,Projection_classes,0),YEAR(current_date)=Projections!B923),"pass","fail"),"")</f>
        <v/>
      </c>
    </row>
    <row r="924" spans="1:12" x14ac:dyDescent="0.25">
      <c r="A924" s="64"/>
      <c r="B924" s="64"/>
      <c r="C924" s="65"/>
      <c r="D924" s="65"/>
      <c r="E924" s="65"/>
      <c r="F924" s="61"/>
      <c r="G924" s="61"/>
      <c r="H924" s="61"/>
      <c r="I924" s="61"/>
      <c r="J924" s="61"/>
      <c r="K924" s="3" t="str">
        <f t="shared" si="14"/>
        <v>fail</v>
      </c>
      <c r="L924" s="19" t="str">
        <f>IFERROR(IF(AND(MATCH(A924,Projection_classes,0),YEAR(current_date)=Projections!B924),"pass","fail"),"")</f>
        <v/>
      </c>
    </row>
    <row r="925" spans="1:12" x14ac:dyDescent="0.25">
      <c r="A925" s="64"/>
      <c r="B925" s="64"/>
      <c r="C925" s="65"/>
      <c r="D925" s="65"/>
      <c r="E925" s="65"/>
      <c r="F925" s="61"/>
      <c r="G925" s="61"/>
      <c r="H925" s="61"/>
      <c r="I925" s="61"/>
      <c r="J925" s="61"/>
      <c r="K925" s="3" t="str">
        <f t="shared" si="14"/>
        <v>fail</v>
      </c>
      <c r="L925" s="19" t="str">
        <f>IFERROR(IF(AND(MATCH(A925,Projection_classes,0),YEAR(current_date)=Projections!B925),"pass","fail"),"")</f>
        <v/>
      </c>
    </row>
    <row r="926" spans="1:12" x14ac:dyDescent="0.25">
      <c r="A926" s="64"/>
      <c r="B926" s="64"/>
      <c r="C926" s="65"/>
      <c r="D926" s="65"/>
      <c r="E926" s="65"/>
      <c r="F926" s="61"/>
      <c r="G926" s="61"/>
      <c r="H926" s="61"/>
      <c r="I926" s="61"/>
      <c r="J926" s="61"/>
      <c r="K926" s="3" t="str">
        <f t="shared" si="14"/>
        <v>fail</v>
      </c>
      <c r="L926" s="19" t="str">
        <f>IFERROR(IF(AND(MATCH(A926,Projection_classes,0),YEAR(current_date)=Projections!B926),"pass","fail"),"")</f>
        <v/>
      </c>
    </row>
    <row r="927" spans="1:12" x14ac:dyDescent="0.25">
      <c r="A927" s="64"/>
      <c r="B927" s="64"/>
      <c r="C927" s="65"/>
      <c r="D927" s="65"/>
      <c r="E927" s="65"/>
      <c r="F927" s="61"/>
      <c r="G927" s="61"/>
      <c r="H927" s="61"/>
      <c r="I927" s="61"/>
      <c r="J927" s="61"/>
      <c r="K927" s="3" t="str">
        <f t="shared" si="14"/>
        <v>fail</v>
      </c>
      <c r="L927" s="19" t="str">
        <f>IFERROR(IF(AND(MATCH(A927,Projection_classes,0),YEAR(current_date)=Projections!B927),"pass","fail"),"")</f>
        <v/>
      </c>
    </row>
    <row r="928" spans="1:12" x14ac:dyDescent="0.25">
      <c r="A928" s="64"/>
      <c r="B928" s="64"/>
      <c r="C928" s="65"/>
      <c r="D928" s="65"/>
      <c r="E928" s="65"/>
      <c r="F928" s="61"/>
      <c r="G928" s="61"/>
      <c r="H928" s="61"/>
      <c r="I928" s="61"/>
      <c r="J928" s="61"/>
      <c r="K928" s="3" t="str">
        <f t="shared" si="14"/>
        <v>fail</v>
      </c>
      <c r="L928" s="19" t="str">
        <f>IFERROR(IF(AND(MATCH(A928,Projection_classes,0),YEAR(current_date)=Projections!B928),"pass","fail"),"")</f>
        <v/>
      </c>
    </row>
    <row r="929" spans="1:12" x14ac:dyDescent="0.25">
      <c r="A929" s="64"/>
      <c r="B929" s="64"/>
      <c r="C929" s="65"/>
      <c r="D929" s="65"/>
      <c r="E929" s="65"/>
      <c r="F929" s="61"/>
      <c r="G929" s="61"/>
      <c r="H929" s="61"/>
      <c r="I929" s="61"/>
      <c r="J929" s="61"/>
      <c r="K929" s="3" t="str">
        <f t="shared" si="14"/>
        <v>fail</v>
      </c>
      <c r="L929" s="19" t="str">
        <f>IFERROR(IF(AND(MATCH(A929,Projection_classes,0),YEAR(current_date)=Projections!B929),"pass","fail"),"")</f>
        <v/>
      </c>
    </row>
    <row r="930" spans="1:12" x14ac:dyDescent="0.25">
      <c r="A930" s="64"/>
      <c r="B930" s="64"/>
      <c r="C930" s="65"/>
      <c r="D930" s="65"/>
      <c r="E930" s="65"/>
      <c r="F930" s="61"/>
      <c r="G930" s="61"/>
      <c r="H930" s="61"/>
      <c r="I930" s="61"/>
      <c r="J930" s="61"/>
      <c r="K930" s="3" t="str">
        <f t="shared" si="14"/>
        <v>fail</v>
      </c>
      <c r="L930" s="19" t="str">
        <f>IFERROR(IF(AND(MATCH(A930,Projection_classes,0),YEAR(current_date)=Projections!B930),"pass","fail"),"")</f>
        <v/>
      </c>
    </row>
    <row r="931" spans="1:12" x14ac:dyDescent="0.25">
      <c r="A931" s="64"/>
      <c r="B931" s="64"/>
      <c r="C931" s="65"/>
      <c r="D931" s="65"/>
      <c r="E931" s="65"/>
      <c r="F931" s="61"/>
      <c r="G931" s="61"/>
      <c r="H931" s="61"/>
      <c r="I931" s="61"/>
      <c r="J931" s="61"/>
      <c r="K931" s="3" t="str">
        <f t="shared" si="14"/>
        <v>fail</v>
      </c>
      <c r="L931" s="19" t="str">
        <f>IFERROR(IF(AND(MATCH(A931,Projection_classes,0),YEAR(current_date)=Projections!B931),"pass","fail"),"")</f>
        <v/>
      </c>
    </row>
    <row r="932" spans="1:12" x14ac:dyDescent="0.25">
      <c r="A932" s="64"/>
      <c r="B932" s="64"/>
      <c r="C932" s="65"/>
      <c r="D932" s="65"/>
      <c r="E932" s="65"/>
      <c r="F932" s="61"/>
      <c r="G932" s="61"/>
      <c r="H932" s="61"/>
      <c r="I932" s="61"/>
      <c r="J932" s="61"/>
      <c r="K932" s="3" t="str">
        <f t="shared" si="14"/>
        <v>fail</v>
      </c>
      <c r="L932" s="19" t="str">
        <f>IFERROR(IF(AND(MATCH(A932,Projection_classes,0),YEAR(current_date)=Projections!B932),"pass","fail"),"")</f>
        <v/>
      </c>
    </row>
    <row r="933" spans="1:12" x14ac:dyDescent="0.25">
      <c r="A933" s="64"/>
      <c r="B933" s="64"/>
      <c r="C933" s="65"/>
      <c r="D933" s="65"/>
      <c r="E933" s="65"/>
      <c r="F933" s="61"/>
      <c r="G933" s="61"/>
      <c r="H933" s="61"/>
      <c r="I933" s="61"/>
      <c r="J933" s="61"/>
      <c r="K933" s="3" t="str">
        <f t="shared" si="14"/>
        <v>fail</v>
      </c>
      <c r="L933" s="19" t="str">
        <f>IFERROR(IF(AND(MATCH(A933,Projection_classes,0),YEAR(current_date)=Projections!B933),"pass","fail"),"")</f>
        <v/>
      </c>
    </row>
    <row r="934" spans="1:12" x14ac:dyDescent="0.25">
      <c r="A934" s="64"/>
      <c r="B934" s="64"/>
      <c r="C934" s="65"/>
      <c r="D934" s="65"/>
      <c r="E934" s="65"/>
      <c r="F934" s="61"/>
      <c r="G934" s="61"/>
      <c r="H934" s="61"/>
      <c r="I934" s="61"/>
      <c r="J934" s="61"/>
      <c r="K934" s="3" t="str">
        <f t="shared" si="14"/>
        <v>fail</v>
      </c>
      <c r="L934" s="19" t="str">
        <f>IFERROR(IF(AND(MATCH(A934,Projection_classes,0),YEAR(current_date)=Projections!B934),"pass","fail"),"")</f>
        <v/>
      </c>
    </row>
    <row r="935" spans="1:12" x14ac:dyDescent="0.25">
      <c r="A935" s="64"/>
      <c r="B935" s="64"/>
      <c r="C935" s="65"/>
      <c r="D935" s="65"/>
      <c r="E935" s="65"/>
      <c r="F935" s="61"/>
      <c r="G935" s="61"/>
      <c r="H935" s="61"/>
      <c r="I935" s="61"/>
      <c r="J935" s="61"/>
      <c r="K935" s="3" t="str">
        <f t="shared" si="14"/>
        <v>fail</v>
      </c>
      <c r="L935" s="19" t="str">
        <f>IFERROR(IF(AND(MATCH(A935,Projection_classes,0),YEAR(current_date)=Projections!B935),"pass","fail"),"")</f>
        <v/>
      </c>
    </row>
    <row r="936" spans="1:12" x14ac:dyDescent="0.25">
      <c r="A936" s="64"/>
      <c r="B936" s="64"/>
      <c r="C936" s="65"/>
      <c r="D936" s="65"/>
      <c r="E936" s="65"/>
      <c r="F936" s="61"/>
      <c r="G936" s="61"/>
      <c r="H936" s="61"/>
      <c r="I936" s="61"/>
      <c r="J936" s="61"/>
      <c r="K936" s="3" t="str">
        <f t="shared" si="14"/>
        <v>fail</v>
      </c>
      <c r="L936" s="19" t="str">
        <f>IFERROR(IF(AND(MATCH(A936,Projection_classes,0),YEAR(current_date)=Projections!B936),"pass","fail"),"")</f>
        <v/>
      </c>
    </row>
    <row r="937" spans="1:12" x14ac:dyDescent="0.25">
      <c r="A937" s="64"/>
      <c r="B937" s="64"/>
      <c r="C937" s="65"/>
      <c r="D937" s="65"/>
      <c r="E937" s="65"/>
      <c r="F937" s="61"/>
      <c r="G937" s="61"/>
      <c r="H937" s="61"/>
      <c r="I937" s="61"/>
      <c r="J937" s="61"/>
      <c r="K937" s="3" t="str">
        <f t="shared" si="14"/>
        <v>fail</v>
      </c>
      <c r="L937" s="19" t="str">
        <f>IFERROR(IF(AND(MATCH(A937,Projection_classes,0),YEAR(current_date)=Projections!B937),"pass","fail"),"")</f>
        <v/>
      </c>
    </row>
    <row r="938" spans="1:12" x14ac:dyDescent="0.25">
      <c r="A938" s="64"/>
      <c r="B938" s="64"/>
      <c r="C938" s="65"/>
      <c r="D938" s="65"/>
      <c r="E938" s="65"/>
      <c r="F938" s="61"/>
      <c r="G938" s="61"/>
      <c r="H938" s="61"/>
      <c r="I938" s="61"/>
      <c r="J938" s="61"/>
      <c r="K938" s="3" t="str">
        <f t="shared" si="14"/>
        <v>fail</v>
      </c>
      <c r="L938" s="19" t="str">
        <f>IFERROR(IF(AND(MATCH(A938,Projection_classes,0),YEAR(current_date)=Projections!B938),"pass","fail"),"")</f>
        <v/>
      </c>
    </row>
    <row r="939" spans="1:12" x14ac:dyDescent="0.25">
      <c r="A939" s="64"/>
      <c r="B939" s="64"/>
      <c r="C939" s="65"/>
      <c r="D939" s="65"/>
      <c r="E939" s="65"/>
      <c r="F939" s="61"/>
      <c r="G939" s="61"/>
      <c r="H939" s="61"/>
      <c r="I939" s="61"/>
      <c r="J939" s="61"/>
      <c r="K939" s="3" t="str">
        <f t="shared" si="14"/>
        <v>fail</v>
      </c>
      <c r="L939" s="19" t="str">
        <f>IFERROR(IF(AND(MATCH(A939,Projection_classes,0),YEAR(current_date)=Projections!B939),"pass","fail"),"")</f>
        <v/>
      </c>
    </row>
    <row r="940" spans="1:12" x14ac:dyDescent="0.25">
      <c r="A940" s="64"/>
      <c r="B940" s="64"/>
      <c r="C940" s="65"/>
      <c r="D940" s="65"/>
      <c r="E940" s="65"/>
      <c r="F940" s="61"/>
      <c r="G940" s="61"/>
      <c r="H940" s="61"/>
      <c r="I940" s="61"/>
      <c r="J940" s="61"/>
      <c r="K940" s="3" t="str">
        <f t="shared" si="14"/>
        <v>fail</v>
      </c>
      <c r="L940" s="19" t="str">
        <f>IFERROR(IF(AND(MATCH(A940,Projection_classes,0),YEAR(current_date)=Projections!B940),"pass","fail"),"")</f>
        <v/>
      </c>
    </row>
    <row r="941" spans="1:12" x14ac:dyDescent="0.25">
      <c r="A941" s="64"/>
      <c r="B941" s="64"/>
      <c r="C941" s="65"/>
      <c r="D941" s="65"/>
      <c r="E941" s="65"/>
      <c r="F941" s="61"/>
      <c r="G941" s="61"/>
      <c r="H941" s="61"/>
      <c r="I941" s="61"/>
      <c r="J941" s="61"/>
      <c r="K941" s="3" t="str">
        <f t="shared" si="14"/>
        <v>fail</v>
      </c>
      <c r="L941" s="19" t="str">
        <f>IFERROR(IF(AND(MATCH(A941,Projection_classes,0),YEAR(current_date)=Projections!B941),"pass","fail"),"")</f>
        <v/>
      </c>
    </row>
    <row r="942" spans="1:12" x14ac:dyDescent="0.25">
      <c r="A942" s="64"/>
      <c r="B942" s="64"/>
      <c r="C942" s="65"/>
      <c r="D942" s="65"/>
      <c r="E942" s="65"/>
      <c r="F942" s="61"/>
      <c r="G942" s="61"/>
      <c r="H942" s="61"/>
      <c r="I942" s="61"/>
      <c r="J942" s="61"/>
      <c r="K942" s="3" t="str">
        <f t="shared" si="14"/>
        <v>fail</v>
      </c>
      <c r="L942" s="19" t="str">
        <f>IFERROR(IF(AND(MATCH(A942,Projection_classes,0),YEAR(current_date)=Projections!B942),"pass","fail"),"")</f>
        <v/>
      </c>
    </row>
    <row r="943" spans="1:12" x14ac:dyDescent="0.25">
      <c r="A943" s="64"/>
      <c r="B943" s="64"/>
      <c r="C943" s="65"/>
      <c r="D943" s="65"/>
      <c r="E943" s="65"/>
      <c r="F943" s="61"/>
      <c r="G943" s="61"/>
      <c r="H943" s="61"/>
      <c r="I943" s="61"/>
      <c r="J943" s="61"/>
      <c r="K943" s="3" t="str">
        <f t="shared" si="14"/>
        <v>fail</v>
      </c>
      <c r="L943" s="19" t="str">
        <f>IFERROR(IF(AND(MATCH(A943,Projection_classes,0),YEAR(current_date)=Projections!B943),"pass","fail"),"")</f>
        <v/>
      </c>
    </row>
    <row r="944" spans="1:12" x14ac:dyDescent="0.25">
      <c r="A944" s="64"/>
      <c r="B944" s="64"/>
      <c r="C944" s="65"/>
      <c r="D944" s="65"/>
      <c r="E944" s="65"/>
      <c r="F944" s="61"/>
      <c r="G944" s="61"/>
      <c r="H944" s="61"/>
      <c r="I944" s="61"/>
      <c r="J944" s="61"/>
      <c r="K944" s="3" t="str">
        <f t="shared" si="14"/>
        <v>fail</v>
      </c>
      <c r="L944" s="19" t="str">
        <f>IFERROR(IF(AND(MATCH(A944,Projection_classes,0),YEAR(current_date)=Projections!B944),"pass","fail"),"")</f>
        <v/>
      </c>
    </row>
    <row r="945" spans="1:12" x14ac:dyDescent="0.25">
      <c r="A945" s="64"/>
      <c r="B945" s="64"/>
      <c r="C945" s="65"/>
      <c r="D945" s="65"/>
      <c r="E945" s="65"/>
      <c r="F945" s="61"/>
      <c r="G945" s="61"/>
      <c r="H945" s="61"/>
      <c r="I945" s="61"/>
      <c r="J945" s="61"/>
      <c r="K945" s="3" t="str">
        <f t="shared" si="14"/>
        <v>fail</v>
      </c>
      <c r="L945" s="19" t="str">
        <f>IFERROR(IF(AND(MATCH(A945,Projection_classes,0),YEAR(current_date)=Projections!B945),"pass","fail"),"")</f>
        <v/>
      </c>
    </row>
    <row r="946" spans="1:12" x14ac:dyDescent="0.25">
      <c r="A946" s="64"/>
      <c r="B946" s="64"/>
      <c r="C946" s="65"/>
      <c r="D946" s="65"/>
      <c r="E946" s="65"/>
      <c r="F946" s="61"/>
      <c r="G946" s="61"/>
      <c r="H946" s="61"/>
      <c r="I946" s="61"/>
      <c r="J946" s="61"/>
      <c r="K946" s="3" t="str">
        <f t="shared" si="14"/>
        <v>fail</v>
      </c>
      <c r="L946" s="19" t="str">
        <f>IFERROR(IF(AND(MATCH(A946,Projection_classes,0),YEAR(current_date)=Projections!B946),"pass","fail"),"")</f>
        <v/>
      </c>
    </row>
    <row r="947" spans="1:12" x14ac:dyDescent="0.25">
      <c r="A947" s="64"/>
      <c r="B947" s="64"/>
      <c r="C947" s="65"/>
      <c r="D947" s="65"/>
      <c r="E947" s="65"/>
      <c r="F947" s="61"/>
      <c r="G947" s="61"/>
      <c r="H947" s="61"/>
      <c r="I947" s="61"/>
      <c r="J947" s="61"/>
      <c r="K947" s="3" t="str">
        <f t="shared" si="14"/>
        <v>fail</v>
      </c>
      <c r="L947" s="19" t="str">
        <f>IFERROR(IF(AND(MATCH(A947,Projection_classes,0),YEAR(current_date)=Projections!B947),"pass","fail"),"")</f>
        <v/>
      </c>
    </row>
    <row r="948" spans="1:12" x14ac:dyDescent="0.25">
      <c r="A948" s="64"/>
      <c r="B948" s="64"/>
      <c r="C948" s="65"/>
      <c r="D948" s="65"/>
      <c r="E948" s="65"/>
      <c r="F948" s="61"/>
      <c r="G948" s="61"/>
      <c r="H948" s="61"/>
      <c r="I948" s="61"/>
      <c r="J948" s="61"/>
      <c r="K948" s="3" t="str">
        <f t="shared" si="14"/>
        <v>fail</v>
      </c>
      <c r="L948" s="19" t="str">
        <f>IFERROR(IF(AND(MATCH(A948,Projection_classes,0),YEAR(current_date)=Projections!B948),"pass","fail"),"")</f>
        <v/>
      </c>
    </row>
    <row r="949" spans="1:12" x14ac:dyDescent="0.25">
      <c r="A949" s="64"/>
      <c r="B949" s="64"/>
      <c r="C949" s="65"/>
      <c r="D949" s="65"/>
      <c r="E949" s="65"/>
      <c r="F949" s="61"/>
      <c r="G949" s="61"/>
      <c r="H949" s="61"/>
      <c r="I949" s="61"/>
      <c r="J949" s="61"/>
      <c r="K949" s="3" t="str">
        <f t="shared" si="14"/>
        <v>fail</v>
      </c>
      <c r="L949" s="19" t="str">
        <f>IFERROR(IF(AND(MATCH(A949,Projection_classes,0),YEAR(current_date)=Projections!B949),"pass","fail"),"")</f>
        <v/>
      </c>
    </row>
    <row r="950" spans="1:12" x14ac:dyDescent="0.25">
      <c r="A950" s="64"/>
      <c r="B950" s="64"/>
      <c r="C950" s="65"/>
      <c r="D950" s="65"/>
      <c r="E950" s="65"/>
      <c r="F950" s="61"/>
      <c r="G950" s="61"/>
      <c r="H950" s="61"/>
      <c r="I950" s="61"/>
      <c r="J950" s="61"/>
      <c r="K950" s="3" t="str">
        <f t="shared" si="14"/>
        <v>fail</v>
      </c>
      <c r="L950" s="19" t="str">
        <f>IFERROR(IF(AND(MATCH(A950,Projection_classes,0),YEAR(current_date)=Projections!B950),"pass","fail"),"")</f>
        <v/>
      </c>
    </row>
    <row r="951" spans="1:12" x14ac:dyDescent="0.25">
      <c r="A951" s="64"/>
      <c r="B951" s="64"/>
      <c r="C951" s="65"/>
      <c r="D951" s="65"/>
      <c r="E951" s="65"/>
      <c r="F951" s="61"/>
      <c r="G951" s="61"/>
      <c r="H951" s="61"/>
      <c r="I951" s="61"/>
      <c r="J951" s="61"/>
      <c r="K951" s="3" t="str">
        <f t="shared" si="14"/>
        <v>fail</v>
      </c>
      <c r="L951" s="19" t="str">
        <f>IFERROR(IF(AND(MATCH(A951,Projection_classes,0),YEAR(current_date)=Projections!B951),"pass","fail"),"")</f>
        <v/>
      </c>
    </row>
    <row r="952" spans="1:12" x14ac:dyDescent="0.25">
      <c r="A952" s="64"/>
      <c r="B952" s="64"/>
      <c r="C952" s="65"/>
      <c r="D952" s="65"/>
      <c r="E952" s="65"/>
      <c r="F952" s="61"/>
      <c r="G952" s="61"/>
      <c r="H952" s="61"/>
      <c r="I952" s="61"/>
      <c r="J952" s="61"/>
      <c r="K952" s="3" t="str">
        <f t="shared" si="14"/>
        <v>fail</v>
      </c>
      <c r="L952" s="19" t="str">
        <f>IFERROR(IF(AND(MATCH(A952,Projection_classes,0),YEAR(current_date)=Projections!B952),"pass","fail"),"")</f>
        <v/>
      </c>
    </row>
    <row r="953" spans="1:12" x14ac:dyDescent="0.25">
      <c r="A953" s="64"/>
      <c r="B953" s="64"/>
      <c r="C953" s="65"/>
      <c r="D953" s="65"/>
      <c r="E953" s="65"/>
      <c r="F953" s="61"/>
      <c r="G953" s="61"/>
      <c r="H953" s="61"/>
      <c r="I953" s="61"/>
      <c r="J953" s="61"/>
      <c r="K953" s="3" t="str">
        <f t="shared" si="14"/>
        <v>fail</v>
      </c>
      <c r="L953" s="19" t="str">
        <f>IFERROR(IF(AND(MATCH(A953,Projection_classes,0),YEAR(current_date)=Projections!B953),"pass","fail"),"")</f>
        <v/>
      </c>
    </row>
    <row r="954" spans="1:12" x14ac:dyDescent="0.25">
      <c r="A954" s="64"/>
      <c r="B954" s="64"/>
      <c r="C954" s="65"/>
      <c r="D954" s="65"/>
      <c r="E954" s="65"/>
      <c r="F954" s="61"/>
      <c r="G954" s="61"/>
      <c r="H954" s="61"/>
      <c r="I954" s="61"/>
      <c r="J954" s="61"/>
      <c r="K954" s="3" t="str">
        <f t="shared" si="14"/>
        <v>fail</v>
      </c>
      <c r="L954" s="19" t="str">
        <f>IFERROR(IF(AND(MATCH(A954,Projection_classes,0),YEAR(current_date)=Projections!B954),"pass","fail"),"")</f>
        <v/>
      </c>
    </row>
    <row r="955" spans="1:12" x14ac:dyDescent="0.25">
      <c r="A955" s="64"/>
      <c r="B955" s="64"/>
      <c r="C955" s="65"/>
      <c r="D955" s="65"/>
      <c r="E955" s="65"/>
      <c r="F955" s="61"/>
      <c r="G955" s="61"/>
      <c r="H955" s="61"/>
      <c r="I955" s="61"/>
      <c r="J955" s="61"/>
      <c r="K955" s="3" t="str">
        <f t="shared" si="14"/>
        <v>fail</v>
      </c>
      <c r="L955" s="19" t="str">
        <f>IFERROR(IF(AND(MATCH(A955,Projection_classes,0),YEAR(current_date)=Projections!B955),"pass","fail"),"")</f>
        <v/>
      </c>
    </row>
    <row r="956" spans="1:12" x14ac:dyDescent="0.25">
      <c r="A956" s="64"/>
      <c r="B956" s="64"/>
      <c r="C956" s="65"/>
      <c r="D956" s="65"/>
      <c r="E956" s="65"/>
      <c r="F956" s="61"/>
      <c r="G956" s="61"/>
      <c r="H956" s="61"/>
      <c r="I956" s="61"/>
      <c r="J956" s="61"/>
      <c r="K956" s="3" t="str">
        <f t="shared" si="14"/>
        <v>fail</v>
      </c>
      <c r="L956" s="19" t="str">
        <f>IFERROR(IF(AND(MATCH(A956,Projection_classes,0),YEAR(current_date)=Projections!B956),"pass","fail"),"")</f>
        <v/>
      </c>
    </row>
    <row r="957" spans="1:12" x14ac:dyDescent="0.25">
      <c r="A957" s="64"/>
      <c r="B957" s="64"/>
      <c r="C957" s="65"/>
      <c r="D957" s="65"/>
      <c r="E957" s="65"/>
      <c r="F957" s="61"/>
      <c r="G957" s="61"/>
      <c r="H957" s="61"/>
      <c r="I957" s="61"/>
      <c r="J957" s="61"/>
      <c r="K957" s="3" t="str">
        <f t="shared" si="14"/>
        <v>fail</v>
      </c>
      <c r="L957" s="19" t="str">
        <f>IFERROR(IF(AND(MATCH(A957,Projection_classes,0),YEAR(current_date)=Projections!B957),"pass","fail"),"")</f>
        <v/>
      </c>
    </row>
    <row r="958" spans="1:12" x14ac:dyDescent="0.25">
      <c r="A958" s="64"/>
      <c r="B958" s="64"/>
      <c r="C958" s="65"/>
      <c r="D958" s="65"/>
      <c r="E958" s="65"/>
      <c r="F958" s="61"/>
      <c r="G958" s="61"/>
      <c r="H958" s="61"/>
      <c r="I958" s="61"/>
      <c r="J958" s="61"/>
      <c r="K958" s="3" t="str">
        <f t="shared" si="14"/>
        <v>fail</v>
      </c>
      <c r="L958" s="19" t="str">
        <f>IFERROR(IF(AND(MATCH(A958,Projection_classes,0),YEAR(current_date)=Projections!B958),"pass","fail"),"")</f>
        <v/>
      </c>
    </row>
    <row r="959" spans="1:12" x14ac:dyDescent="0.25">
      <c r="A959" s="64"/>
      <c r="B959" s="64"/>
      <c r="C959" s="65"/>
      <c r="D959" s="65"/>
      <c r="E959" s="65"/>
      <c r="F959" s="61"/>
      <c r="G959" s="61"/>
      <c r="H959" s="61"/>
      <c r="I959" s="61"/>
      <c r="J959" s="61"/>
      <c r="K959" s="3" t="str">
        <f t="shared" si="14"/>
        <v>fail</v>
      </c>
      <c r="L959" s="19" t="str">
        <f>IFERROR(IF(AND(MATCH(A959,Projection_classes,0),YEAR(current_date)=Projections!B959),"pass","fail"),"")</f>
        <v/>
      </c>
    </row>
    <row r="960" spans="1:12" x14ac:dyDescent="0.25">
      <c r="A960" s="64"/>
      <c r="B960" s="64"/>
      <c r="C960" s="65"/>
      <c r="D960" s="65"/>
      <c r="E960" s="65"/>
      <c r="F960" s="61"/>
      <c r="G960" s="61"/>
      <c r="H960" s="61"/>
      <c r="I960" s="61"/>
      <c r="J960" s="61"/>
      <c r="K960" s="3" t="str">
        <f t="shared" si="14"/>
        <v>fail</v>
      </c>
      <c r="L960" s="19" t="str">
        <f>IFERROR(IF(AND(MATCH(A960,Projection_classes,0),YEAR(current_date)=Projections!B960),"pass","fail"),"")</f>
        <v/>
      </c>
    </row>
    <row r="961" spans="1:12" x14ac:dyDescent="0.25">
      <c r="A961" s="64"/>
      <c r="B961" s="64"/>
      <c r="C961" s="65"/>
      <c r="D961" s="65"/>
      <c r="E961" s="65"/>
      <c r="F961" s="61"/>
      <c r="G961" s="61"/>
      <c r="H961" s="61"/>
      <c r="I961" s="61"/>
      <c r="J961" s="61"/>
      <c r="K961" s="3" t="str">
        <f t="shared" si="14"/>
        <v>fail</v>
      </c>
      <c r="L961" s="19" t="str">
        <f>IFERROR(IF(AND(MATCH(A961,Projection_classes,0),YEAR(current_date)=Projections!B961),"pass","fail"),"")</f>
        <v/>
      </c>
    </row>
    <row r="962" spans="1:12" x14ac:dyDescent="0.25">
      <c r="A962" s="64"/>
      <c r="B962" s="64"/>
      <c r="C962" s="65"/>
      <c r="D962" s="65"/>
      <c r="E962" s="65"/>
      <c r="F962" s="61"/>
      <c r="G962" s="61"/>
      <c r="H962" s="61"/>
      <c r="I962" s="61"/>
      <c r="J962" s="61"/>
      <c r="K962" s="3" t="str">
        <f t="shared" ref="K962:K1000" si="15">IF(OR(B962&lt;$N$1,B962&gt;$P$1),"fail","pass")</f>
        <v>fail</v>
      </c>
      <c r="L962" s="19" t="str">
        <f>IFERROR(IF(AND(MATCH(A962,Projection_classes,0),YEAR(current_date)=Projections!B962),"pass","fail"),"")</f>
        <v/>
      </c>
    </row>
    <row r="963" spans="1:12" x14ac:dyDescent="0.25">
      <c r="A963" s="64"/>
      <c r="B963" s="64"/>
      <c r="C963" s="65"/>
      <c r="D963" s="65"/>
      <c r="E963" s="65"/>
      <c r="F963" s="61"/>
      <c r="G963" s="61"/>
      <c r="H963" s="61"/>
      <c r="I963" s="61"/>
      <c r="J963" s="61"/>
      <c r="K963" s="3" t="str">
        <f t="shared" si="15"/>
        <v>fail</v>
      </c>
      <c r="L963" s="19" t="str">
        <f>IFERROR(IF(AND(MATCH(A963,Projection_classes,0),YEAR(current_date)=Projections!B963),"pass","fail"),"")</f>
        <v/>
      </c>
    </row>
    <row r="964" spans="1:12" x14ac:dyDescent="0.25">
      <c r="A964" s="64"/>
      <c r="B964" s="64"/>
      <c r="C964" s="65"/>
      <c r="D964" s="65"/>
      <c r="E964" s="65"/>
      <c r="F964" s="61"/>
      <c r="G964" s="61"/>
      <c r="H964" s="61"/>
      <c r="I964" s="61"/>
      <c r="J964" s="61"/>
      <c r="K964" s="3" t="str">
        <f t="shared" si="15"/>
        <v>fail</v>
      </c>
      <c r="L964" s="19" t="str">
        <f>IFERROR(IF(AND(MATCH(A964,Projection_classes,0),YEAR(current_date)=Projections!B964),"pass","fail"),"")</f>
        <v/>
      </c>
    </row>
    <row r="965" spans="1:12" x14ac:dyDescent="0.25">
      <c r="A965" s="64"/>
      <c r="B965" s="64"/>
      <c r="C965" s="65"/>
      <c r="D965" s="65"/>
      <c r="E965" s="65"/>
      <c r="F965" s="61"/>
      <c r="G965" s="61"/>
      <c r="H965" s="61"/>
      <c r="I965" s="61"/>
      <c r="J965" s="61"/>
      <c r="K965" s="3" t="str">
        <f t="shared" si="15"/>
        <v>fail</v>
      </c>
      <c r="L965" s="19" t="str">
        <f>IFERROR(IF(AND(MATCH(A965,Projection_classes,0),YEAR(current_date)=Projections!B965),"pass","fail"),"")</f>
        <v/>
      </c>
    </row>
    <row r="966" spans="1:12" x14ac:dyDescent="0.25">
      <c r="A966" s="64"/>
      <c r="B966" s="64"/>
      <c r="C966" s="65"/>
      <c r="D966" s="65"/>
      <c r="E966" s="65"/>
      <c r="F966" s="61"/>
      <c r="G966" s="61"/>
      <c r="H966" s="61"/>
      <c r="I966" s="61"/>
      <c r="J966" s="61"/>
      <c r="K966" s="3" t="str">
        <f t="shared" si="15"/>
        <v>fail</v>
      </c>
      <c r="L966" s="19" t="str">
        <f>IFERROR(IF(AND(MATCH(A966,Projection_classes,0),YEAR(current_date)=Projections!B966),"pass","fail"),"")</f>
        <v/>
      </c>
    </row>
    <row r="967" spans="1:12" x14ac:dyDescent="0.25">
      <c r="A967" s="64"/>
      <c r="B967" s="64"/>
      <c r="C967" s="65"/>
      <c r="D967" s="65"/>
      <c r="E967" s="65"/>
      <c r="F967" s="61"/>
      <c r="G967" s="61"/>
      <c r="H967" s="61"/>
      <c r="I967" s="61"/>
      <c r="J967" s="61"/>
      <c r="K967" s="3" t="str">
        <f t="shared" si="15"/>
        <v>fail</v>
      </c>
      <c r="L967" s="19" t="str">
        <f>IFERROR(IF(AND(MATCH(A967,Projection_classes,0),YEAR(current_date)=Projections!B967),"pass","fail"),"")</f>
        <v/>
      </c>
    </row>
    <row r="968" spans="1:12" x14ac:dyDescent="0.25">
      <c r="A968" s="64"/>
      <c r="B968" s="64"/>
      <c r="C968" s="65"/>
      <c r="D968" s="65"/>
      <c r="E968" s="65"/>
      <c r="F968" s="61"/>
      <c r="G968" s="61"/>
      <c r="H968" s="61"/>
      <c r="I968" s="61"/>
      <c r="J968" s="61"/>
      <c r="K968" s="3" t="str">
        <f t="shared" si="15"/>
        <v>fail</v>
      </c>
      <c r="L968" s="19" t="str">
        <f>IFERROR(IF(AND(MATCH(A968,Projection_classes,0),YEAR(current_date)=Projections!B968),"pass","fail"),"")</f>
        <v/>
      </c>
    </row>
    <row r="969" spans="1:12" x14ac:dyDescent="0.25">
      <c r="A969" s="64"/>
      <c r="B969" s="64"/>
      <c r="C969" s="65"/>
      <c r="D969" s="65"/>
      <c r="E969" s="65"/>
      <c r="F969" s="61"/>
      <c r="G969" s="61"/>
      <c r="H969" s="61"/>
      <c r="I969" s="61"/>
      <c r="J969" s="61"/>
      <c r="K969" s="3" t="str">
        <f t="shared" si="15"/>
        <v>fail</v>
      </c>
      <c r="L969" s="19" t="str">
        <f>IFERROR(IF(AND(MATCH(A969,Projection_classes,0),YEAR(current_date)=Projections!B969),"pass","fail"),"")</f>
        <v/>
      </c>
    </row>
    <row r="970" spans="1:12" x14ac:dyDescent="0.25">
      <c r="A970" s="64"/>
      <c r="B970" s="64"/>
      <c r="C970" s="65"/>
      <c r="D970" s="65"/>
      <c r="E970" s="65"/>
      <c r="F970" s="61"/>
      <c r="G970" s="61"/>
      <c r="H970" s="61"/>
      <c r="I970" s="61"/>
      <c r="J970" s="61"/>
      <c r="K970" s="3" t="str">
        <f t="shared" si="15"/>
        <v>fail</v>
      </c>
      <c r="L970" s="19" t="str">
        <f>IFERROR(IF(AND(MATCH(A970,Projection_classes,0),YEAR(current_date)=Projections!B970),"pass","fail"),"")</f>
        <v/>
      </c>
    </row>
    <row r="971" spans="1:12" x14ac:dyDescent="0.25">
      <c r="A971" s="64"/>
      <c r="B971" s="64"/>
      <c r="C971" s="65"/>
      <c r="D971" s="65"/>
      <c r="E971" s="65"/>
      <c r="F971" s="61"/>
      <c r="G971" s="61"/>
      <c r="H971" s="61"/>
      <c r="I971" s="61"/>
      <c r="J971" s="61"/>
      <c r="K971" s="3" t="str">
        <f t="shared" si="15"/>
        <v>fail</v>
      </c>
      <c r="L971" s="19" t="str">
        <f>IFERROR(IF(AND(MATCH(A971,Projection_classes,0),YEAR(current_date)=Projections!B971),"pass","fail"),"")</f>
        <v/>
      </c>
    </row>
    <row r="972" spans="1:12" x14ac:dyDescent="0.25">
      <c r="A972" s="64"/>
      <c r="B972" s="64"/>
      <c r="C972" s="65"/>
      <c r="D972" s="65"/>
      <c r="E972" s="65"/>
      <c r="F972" s="61"/>
      <c r="G972" s="61"/>
      <c r="H972" s="61"/>
      <c r="I972" s="61"/>
      <c r="J972" s="61"/>
      <c r="K972" s="3" t="str">
        <f t="shared" si="15"/>
        <v>fail</v>
      </c>
      <c r="L972" s="19" t="str">
        <f>IFERROR(IF(AND(MATCH(A972,Projection_classes,0),YEAR(current_date)=Projections!B972),"pass","fail"),"")</f>
        <v/>
      </c>
    </row>
    <row r="973" spans="1:12" x14ac:dyDescent="0.25">
      <c r="A973" s="64"/>
      <c r="B973" s="64"/>
      <c r="C973" s="65"/>
      <c r="D973" s="65"/>
      <c r="E973" s="65"/>
      <c r="F973" s="61"/>
      <c r="G973" s="61"/>
      <c r="H973" s="61"/>
      <c r="I973" s="61"/>
      <c r="J973" s="61"/>
      <c r="K973" s="3" t="str">
        <f t="shared" si="15"/>
        <v>fail</v>
      </c>
      <c r="L973" s="19" t="str">
        <f>IFERROR(IF(AND(MATCH(A973,Projection_classes,0),YEAR(current_date)=Projections!B973),"pass","fail"),"")</f>
        <v/>
      </c>
    </row>
    <row r="974" spans="1:12" x14ac:dyDescent="0.25">
      <c r="A974" s="64"/>
      <c r="B974" s="64"/>
      <c r="C974" s="65"/>
      <c r="D974" s="65"/>
      <c r="E974" s="65"/>
      <c r="F974" s="61"/>
      <c r="G974" s="61"/>
      <c r="H974" s="61"/>
      <c r="I974" s="61"/>
      <c r="J974" s="61"/>
      <c r="K974" s="3" t="str">
        <f t="shared" si="15"/>
        <v>fail</v>
      </c>
      <c r="L974" s="19" t="str">
        <f>IFERROR(IF(AND(MATCH(A974,Projection_classes,0),YEAR(current_date)=Projections!B974),"pass","fail"),"")</f>
        <v/>
      </c>
    </row>
    <row r="975" spans="1:12" x14ac:dyDescent="0.25">
      <c r="A975" s="64"/>
      <c r="B975" s="64"/>
      <c r="C975" s="65"/>
      <c r="D975" s="65"/>
      <c r="E975" s="65"/>
      <c r="F975" s="61"/>
      <c r="G975" s="61"/>
      <c r="H975" s="61"/>
      <c r="I975" s="61"/>
      <c r="J975" s="61"/>
      <c r="K975" s="3" t="str">
        <f t="shared" si="15"/>
        <v>fail</v>
      </c>
      <c r="L975" s="19" t="str">
        <f>IFERROR(IF(AND(MATCH(A975,Projection_classes,0),YEAR(current_date)=Projections!B975),"pass","fail"),"")</f>
        <v/>
      </c>
    </row>
    <row r="976" spans="1:12" x14ac:dyDescent="0.25">
      <c r="A976" s="64"/>
      <c r="B976" s="64"/>
      <c r="C976" s="65"/>
      <c r="D976" s="65"/>
      <c r="E976" s="65"/>
      <c r="F976" s="61"/>
      <c r="G976" s="61"/>
      <c r="H976" s="61"/>
      <c r="I976" s="61"/>
      <c r="J976" s="61"/>
      <c r="K976" s="3" t="str">
        <f t="shared" si="15"/>
        <v>fail</v>
      </c>
      <c r="L976" s="19" t="str">
        <f>IFERROR(IF(AND(MATCH(A976,Projection_classes,0),YEAR(current_date)=Projections!B976),"pass","fail"),"")</f>
        <v/>
      </c>
    </row>
    <row r="977" spans="1:12" x14ac:dyDescent="0.25">
      <c r="A977" s="64"/>
      <c r="B977" s="64"/>
      <c r="C977" s="65"/>
      <c r="D977" s="65"/>
      <c r="E977" s="65"/>
      <c r="F977" s="61"/>
      <c r="G977" s="61"/>
      <c r="H977" s="61"/>
      <c r="I977" s="61"/>
      <c r="J977" s="61"/>
      <c r="K977" s="3" t="str">
        <f t="shared" si="15"/>
        <v>fail</v>
      </c>
      <c r="L977" s="19" t="str">
        <f>IFERROR(IF(AND(MATCH(A977,Projection_classes,0),YEAR(current_date)=Projections!B977),"pass","fail"),"")</f>
        <v/>
      </c>
    </row>
    <row r="978" spans="1:12" x14ac:dyDescent="0.25">
      <c r="A978" s="64"/>
      <c r="B978" s="64"/>
      <c r="C978" s="65"/>
      <c r="D978" s="65"/>
      <c r="E978" s="65"/>
      <c r="F978" s="61"/>
      <c r="G978" s="61"/>
      <c r="H978" s="61"/>
      <c r="I978" s="61"/>
      <c r="J978" s="61"/>
      <c r="K978" s="3" t="str">
        <f t="shared" si="15"/>
        <v>fail</v>
      </c>
      <c r="L978" s="19" t="str">
        <f>IFERROR(IF(AND(MATCH(A978,Projection_classes,0),YEAR(current_date)=Projections!B978),"pass","fail"),"")</f>
        <v/>
      </c>
    </row>
    <row r="979" spans="1:12" x14ac:dyDescent="0.25">
      <c r="A979" s="64"/>
      <c r="B979" s="64"/>
      <c r="C979" s="65"/>
      <c r="D979" s="65"/>
      <c r="E979" s="65"/>
      <c r="F979" s="61"/>
      <c r="G979" s="61"/>
      <c r="H979" s="61"/>
      <c r="I979" s="61"/>
      <c r="J979" s="61"/>
      <c r="K979" s="3" t="str">
        <f t="shared" si="15"/>
        <v>fail</v>
      </c>
      <c r="L979" s="19" t="str">
        <f>IFERROR(IF(AND(MATCH(A979,Projection_classes,0),YEAR(current_date)=Projections!B979),"pass","fail"),"")</f>
        <v/>
      </c>
    </row>
    <row r="980" spans="1:12" x14ac:dyDescent="0.25">
      <c r="A980" s="64"/>
      <c r="B980" s="64"/>
      <c r="C980" s="65"/>
      <c r="D980" s="65"/>
      <c r="E980" s="65"/>
      <c r="F980" s="61"/>
      <c r="G980" s="61"/>
      <c r="H980" s="61"/>
      <c r="I980" s="61"/>
      <c r="J980" s="61"/>
      <c r="K980" s="3" t="str">
        <f t="shared" si="15"/>
        <v>fail</v>
      </c>
      <c r="L980" s="19" t="str">
        <f>IFERROR(IF(AND(MATCH(A980,Projection_classes,0),YEAR(current_date)=Projections!B980),"pass","fail"),"")</f>
        <v/>
      </c>
    </row>
    <row r="981" spans="1:12" x14ac:dyDescent="0.25">
      <c r="A981" s="64"/>
      <c r="B981" s="64"/>
      <c r="C981" s="65"/>
      <c r="D981" s="65"/>
      <c r="E981" s="65"/>
      <c r="F981" s="61"/>
      <c r="G981" s="61"/>
      <c r="H981" s="61"/>
      <c r="I981" s="61"/>
      <c r="J981" s="61"/>
      <c r="K981" s="3" t="str">
        <f t="shared" si="15"/>
        <v>fail</v>
      </c>
      <c r="L981" s="19" t="str">
        <f>IFERROR(IF(AND(MATCH(A981,Projection_classes,0),YEAR(current_date)=Projections!B981),"pass","fail"),"")</f>
        <v/>
      </c>
    </row>
    <row r="982" spans="1:12" x14ac:dyDescent="0.25">
      <c r="A982" s="64"/>
      <c r="B982" s="64"/>
      <c r="C982" s="65"/>
      <c r="D982" s="65"/>
      <c r="E982" s="65"/>
      <c r="F982" s="61"/>
      <c r="G982" s="61"/>
      <c r="H982" s="61"/>
      <c r="I982" s="61"/>
      <c r="J982" s="61"/>
      <c r="K982" s="3" t="str">
        <f t="shared" si="15"/>
        <v>fail</v>
      </c>
      <c r="L982" s="19" t="str">
        <f>IFERROR(IF(AND(MATCH(A982,Projection_classes,0),YEAR(current_date)=Projections!B982),"pass","fail"),"")</f>
        <v/>
      </c>
    </row>
    <row r="983" spans="1:12" x14ac:dyDescent="0.25">
      <c r="A983" s="64"/>
      <c r="B983" s="64"/>
      <c r="C983" s="65"/>
      <c r="D983" s="65"/>
      <c r="E983" s="65"/>
      <c r="F983" s="61"/>
      <c r="G983" s="61"/>
      <c r="H983" s="61"/>
      <c r="I983" s="61"/>
      <c r="J983" s="61"/>
      <c r="K983" s="3" t="str">
        <f t="shared" si="15"/>
        <v>fail</v>
      </c>
      <c r="L983" s="19" t="str">
        <f>IFERROR(IF(AND(MATCH(A983,Projection_classes,0),YEAR(current_date)=Projections!B983),"pass","fail"),"")</f>
        <v/>
      </c>
    </row>
    <row r="984" spans="1:12" x14ac:dyDescent="0.25">
      <c r="A984" s="64"/>
      <c r="B984" s="64"/>
      <c r="C984" s="65"/>
      <c r="D984" s="65"/>
      <c r="E984" s="65"/>
      <c r="F984" s="61"/>
      <c r="G984" s="61"/>
      <c r="H984" s="61"/>
      <c r="I984" s="61"/>
      <c r="J984" s="61"/>
      <c r="K984" s="3" t="str">
        <f t="shared" si="15"/>
        <v>fail</v>
      </c>
      <c r="L984" s="19" t="str">
        <f>IFERROR(IF(AND(MATCH(A984,Projection_classes,0),YEAR(current_date)=Projections!B984),"pass","fail"),"")</f>
        <v/>
      </c>
    </row>
    <row r="985" spans="1:12" x14ac:dyDescent="0.25">
      <c r="A985" s="64"/>
      <c r="B985" s="64"/>
      <c r="C985" s="65"/>
      <c r="D985" s="65"/>
      <c r="E985" s="65"/>
      <c r="F985" s="61"/>
      <c r="G985" s="61"/>
      <c r="H985" s="61"/>
      <c r="I985" s="61"/>
      <c r="J985" s="61"/>
      <c r="K985" s="3" t="str">
        <f t="shared" si="15"/>
        <v>fail</v>
      </c>
      <c r="L985" s="19" t="str">
        <f>IFERROR(IF(AND(MATCH(A985,Projection_classes,0),YEAR(current_date)=Projections!B985),"pass","fail"),"")</f>
        <v/>
      </c>
    </row>
    <row r="986" spans="1:12" x14ac:dyDescent="0.25">
      <c r="A986" s="64"/>
      <c r="B986" s="64"/>
      <c r="C986" s="65"/>
      <c r="D986" s="65"/>
      <c r="E986" s="65"/>
      <c r="F986" s="61"/>
      <c r="G986" s="61"/>
      <c r="H986" s="61"/>
      <c r="I986" s="61"/>
      <c r="J986" s="61"/>
      <c r="K986" s="3" t="str">
        <f t="shared" si="15"/>
        <v>fail</v>
      </c>
      <c r="L986" s="19" t="str">
        <f>IFERROR(IF(AND(MATCH(A986,Projection_classes,0),YEAR(current_date)=Projections!B986),"pass","fail"),"")</f>
        <v/>
      </c>
    </row>
    <row r="987" spans="1:12" x14ac:dyDescent="0.25">
      <c r="A987" s="64"/>
      <c r="B987" s="64"/>
      <c r="C987" s="65"/>
      <c r="D987" s="65"/>
      <c r="E987" s="65"/>
      <c r="F987" s="61"/>
      <c r="G987" s="61"/>
      <c r="H987" s="61"/>
      <c r="I987" s="61"/>
      <c r="J987" s="61"/>
      <c r="K987" s="3" t="str">
        <f t="shared" si="15"/>
        <v>fail</v>
      </c>
      <c r="L987" s="19" t="str">
        <f>IFERROR(IF(AND(MATCH(A987,Projection_classes,0),YEAR(current_date)=Projections!B987),"pass","fail"),"")</f>
        <v/>
      </c>
    </row>
    <row r="988" spans="1:12" x14ac:dyDescent="0.25">
      <c r="A988" s="64"/>
      <c r="B988" s="64"/>
      <c r="C988" s="65"/>
      <c r="D988" s="65"/>
      <c r="E988" s="65"/>
      <c r="F988" s="61"/>
      <c r="G988" s="61"/>
      <c r="H988" s="61"/>
      <c r="I988" s="61"/>
      <c r="J988" s="61"/>
      <c r="K988" s="3" t="str">
        <f t="shared" si="15"/>
        <v>fail</v>
      </c>
      <c r="L988" s="19" t="str">
        <f>IFERROR(IF(AND(MATCH(A988,Projection_classes,0),YEAR(current_date)=Projections!B988),"pass","fail"),"")</f>
        <v/>
      </c>
    </row>
    <row r="989" spans="1:12" x14ac:dyDescent="0.25">
      <c r="A989" s="64"/>
      <c r="B989" s="64"/>
      <c r="C989" s="65"/>
      <c r="D989" s="65"/>
      <c r="E989" s="65"/>
      <c r="F989" s="61"/>
      <c r="G989" s="61"/>
      <c r="H989" s="61"/>
      <c r="I989" s="61"/>
      <c r="J989" s="61"/>
      <c r="K989" s="3" t="str">
        <f t="shared" si="15"/>
        <v>fail</v>
      </c>
      <c r="L989" s="19" t="str">
        <f>IFERROR(IF(AND(MATCH(A989,Projection_classes,0),YEAR(current_date)=Projections!B989),"pass","fail"),"")</f>
        <v/>
      </c>
    </row>
    <row r="990" spans="1:12" x14ac:dyDescent="0.25">
      <c r="A990" s="64"/>
      <c r="B990" s="64"/>
      <c r="C990" s="65"/>
      <c r="D990" s="65"/>
      <c r="E990" s="65"/>
      <c r="F990" s="61"/>
      <c r="G990" s="61"/>
      <c r="H990" s="61"/>
      <c r="I990" s="61"/>
      <c r="J990" s="61"/>
      <c r="K990" s="3" t="str">
        <f t="shared" si="15"/>
        <v>fail</v>
      </c>
      <c r="L990" s="19" t="str">
        <f>IFERROR(IF(AND(MATCH(A990,Projection_classes,0),YEAR(current_date)=Projections!B990),"pass","fail"),"")</f>
        <v/>
      </c>
    </row>
    <row r="991" spans="1:12" x14ac:dyDescent="0.25">
      <c r="A991" s="64"/>
      <c r="B991" s="64"/>
      <c r="C991" s="65"/>
      <c r="D991" s="65"/>
      <c r="E991" s="65"/>
      <c r="F991" s="61"/>
      <c r="G991" s="61"/>
      <c r="H991" s="61"/>
      <c r="I991" s="61"/>
      <c r="J991" s="61"/>
      <c r="K991" s="3" t="str">
        <f t="shared" si="15"/>
        <v>fail</v>
      </c>
      <c r="L991" s="19" t="str">
        <f>IFERROR(IF(AND(MATCH(A991,Projection_classes,0),YEAR(current_date)=Projections!B991),"pass","fail"),"")</f>
        <v/>
      </c>
    </row>
    <row r="992" spans="1:12" x14ac:dyDescent="0.25">
      <c r="A992" s="64"/>
      <c r="B992" s="64"/>
      <c r="C992" s="65"/>
      <c r="D992" s="65"/>
      <c r="E992" s="65"/>
      <c r="F992" s="61"/>
      <c r="G992" s="61"/>
      <c r="H992" s="61"/>
      <c r="I992" s="61"/>
      <c r="J992" s="61"/>
      <c r="K992" s="3" t="str">
        <f t="shared" si="15"/>
        <v>fail</v>
      </c>
      <c r="L992" s="19" t="str">
        <f>IFERROR(IF(AND(MATCH(A992,Projection_classes,0),YEAR(current_date)=Projections!B992),"pass","fail"),"")</f>
        <v/>
      </c>
    </row>
    <row r="993" spans="1:12" x14ac:dyDescent="0.25">
      <c r="A993" s="64"/>
      <c r="B993" s="64"/>
      <c r="C993" s="65"/>
      <c r="D993" s="65"/>
      <c r="E993" s="65"/>
      <c r="F993" s="61"/>
      <c r="G993" s="61"/>
      <c r="H993" s="61"/>
      <c r="I993" s="61"/>
      <c r="J993" s="61"/>
      <c r="K993" s="3" t="str">
        <f t="shared" si="15"/>
        <v>fail</v>
      </c>
      <c r="L993" s="19" t="str">
        <f>IFERROR(IF(AND(MATCH(A993,Projection_classes,0),YEAR(current_date)=Projections!B993),"pass","fail"),"")</f>
        <v/>
      </c>
    </row>
    <row r="994" spans="1:12" x14ac:dyDescent="0.25">
      <c r="A994" s="64"/>
      <c r="B994" s="64"/>
      <c r="C994" s="65"/>
      <c r="D994" s="65"/>
      <c r="E994" s="65"/>
      <c r="F994" s="61"/>
      <c r="G994" s="61"/>
      <c r="H994" s="61"/>
      <c r="I994" s="61"/>
      <c r="J994" s="61"/>
      <c r="K994" s="3" t="str">
        <f t="shared" si="15"/>
        <v>fail</v>
      </c>
      <c r="L994" s="19" t="str">
        <f>IFERROR(IF(AND(MATCH(A994,Projection_classes,0),YEAR(current_date)=Projections!B994),"pass","fail"),"")</f>
        <v/>
      </c>
    </row>
    <row r="995" spans="1:12" x14ac:dyDescent="0.25">
      <c r="A995" s="64"/>
      <c r="B995" s="64"/>
      <c r="C995" s="65"/>
      <c r="D995" s="65"/>
      <c r="E995" s="65"/>
      <c r="F995" s="61"/>
      <c r="G995" s="61"/>
      <c r="H995" s="61"/>
      <c r="I995" s="61"/>
      <c r="J995" s="61"/>
      <c r="K995" s="3" t="str">
        <f t="shared" si="15"/>
        <v>fail</v>
      </c>
      <c r="L995" s="19" t="str">
        <f>IFERROR(IF(AND(MATCH(A995,Projection_classes,0),YEAR(current_date)=Projections!B995),"pass","fail"),"")</f>
        <v/>
      </c>
    </row>
    <row r="996" spans="1:12" x14ac:dyDescent="0.25">
      <c r="A996" s="64"/>
      <c r="B996" s="64"/>
      <c r="C996" s="65"/>
      <c r="D996" s="65"/>
      <c r="E996" s="65"/>
      <c r="F996" s="61"/>
      <c r="G996" s="61"/>
      <c r="H996" s="61"/>
      <c r="I996" s="61"/>
      <c r="J996" s="61"/>
      <c r="K996" s="3" t="str">
        <f t="shared" si="15"/>
        <v>fail</v>
      </c>
      <c r="L996" s="19" t="str">
        <f>IFERROR(IF(AND(MATCH(A996,Projection_classes,0),YEAR(current_date)=Projections!B996),"pass","fail"),"")</f>
        <v/>
      </c>
    </row>
    <row r="997" spans="1:12" x14ac:dyDescent="0.25">
      <c r="A997" s="64"/>
      <c r="B997" s="64"/>
      <c r="C997" s="65"/>
      <c r="D997" s="65"/>
      <c r="E997" s="65"/>
      <c r="F997" s="61"/>
      <c r="G997" s="61"/>
      <c r="H997" s="61"/>
      <c r="I997" s="61"/>
      <c r="J997" s="61"/>
      <c r="K997" s="3" t="str">
        <f t="shared" si="15"/>
        <v>fail</v>
      </c>
      <c r="L997" s="19" t="str">
        <f>IFERROR(IF(AND(MATCH(A997,Projection_classes,0),YEAR(current_date)=Projections!B997),"pass","fail"),"")</f>
        <v/>
      </c>
    </row>
    <row r="998" spans="1:12" x14ac:dyDescent="0.25">
      <c r="A998" s="64"/>
      <c r="B998" s="64"/>
      <c r="C998" s="65"/>
      <c r="D998" s="65"/>
      <c r="E998" s="65"/>
      <c r="F998" s="61"/>
      <c r="G998" s="61"/>
      <c r="H998" s="61"/>
      <c r="I998" s="61"/>
      <c r="J998" s="61"/>
      <c r="K998" s="3" t="str">
        <f t="shared" si="15"/>
        <v>fail</v>
      </c>
      <c r="L998" s="19" t="str">
        <f>IFERROR(IF(AND(MATCH(A998,Projection_classes,0),YEAR(current_date)=Projections!B998),"pass","fail"),"")</f>
        <v/>
      </c>
    </row>
    <row r="999" spans="1:12" x14ac:dyDescent="0.25">
      <c r="A999" s="64"/>
      <c r="B999" s="64"/>
      <c r="C999" s="65"/>
      <c r="D999" s="65"/>
      <c r="E999" s="65"/>
      <c r="F999" s="61"/>
      <c r="G999" s="61"/>
      <c r="H999" s="61"/>
      <c r="I999" s="61"/>
      <c r="J999" s="61"/>
      <c r="K999" s="3" t="str">
        <f t="shared" si="15"/>
        <v>fail</v>
      </c>
      <c r="L999" s="19" t="str">
        <f>IFERROR(IF(AND(MATCH(A999,Projection_classes,0),YEAR(current_date)=Projections!B999),"pass","fail"),"")</f>
        <v/>
      </c>
    </row>
    <row r="1000" spans="1:12" x14ac:dyDescent="0.25">
      <c r="A1000" s="64"/>
      <c r="B1000" s="64"/>
      <c r="C1000" s="65"/>
      <c r="D1000" s="65"/>
      <c r="E1000" s="65"/>
      <c r="F1000" s="61"/>
      <c r="G1000" s="61"/>
      <c r="H1000" s="61"/>
      <c r="I1000" s="61"/>
      <c r="J1000" s="61"/>
      <c r="K1000" s="3" t="str">
        <f t="shared" si="15"/>
        <v>fail</v>
      </c>
      <c r="L1000" s="19" t="str">
        <f>IFERROR(IF(AND(MATCH(A1000,Projection_classes,0),YEAR(current_date)=Projections!B1000),"pass","fail"),"")</f>
        <v/>
      </c>
    </row>
  </sheetData>
  <conditionalFormatting sqref="K2:K1000">
    <cfRule type="expression" dxfId="16" priority="9" stopIfTrue="1">
      <formula>$A2=""</formula>
    </cfRule>
    <cfRule type="cellIs" dxfId="15" priority="10" operator="equal">
      <formula>"pass"</formula>
    </cfRule>
    <cfRule type="cellIs" dxfId="14" priority="11" operator="equal">
      <formula>"fail"</formula>
    </cfRule>
  </conditionalFormatting>
  <conditionalFormatting sqref="L2:L1000">
    <cfRule type="cellIs" dxfId="13" priority="5" operator="equal">
      <formula>"pass"</formula>
    </cfRule>
    <cfRule type="cellIs" dxfId="12" priority="6" operator="equal">
      <formula>"fail"</formula>
    </cfRule>
  </conditionalFormatting>
  <conditionalFormatting sqref="R2:R3">
    <cfRule type="containsText" dxfId="11" priority="1" operator="containsText" text="PLEASE SET THEM">
      <formula>NOT(ISERROR(SEARCH("PLEASE SET THEM",R2)))</formula>
    </cfRule>
  </conditionalFormatting>
  <dataValidations count="1">
    <dataValidation type="list" allowBlank="1" showInputMessage="1" showErrorMessage="1" sqref="A2:A1000" xr:uid="{00000000-0002-0000-0200-000000000000}">
      <formula1>Projection_classes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"/>
  <sheetViews>
    <sheetView workbookViewId="0">
      <selection activeCell="B2" sqref="B2"/>
    </sheetView>
  </sheetViews>
  <sheetFormatPr defaultColWidth="8.85546875" defaultRowHeight="15" x14ac:dyDescent="0.25"/>
  <cols>
    <col min="1" max="1" width="36.42578125" customWidth="1"/>
  </cols>
  <sheetData>
    <row r="1" spans="1:2" x14ac:dyDescent="0.25">
      <c r="A1" t="s">
        <v>95</v>
      </c>
      <c r="B1">
        <v>6</v>
      </c>
    </row>
  </sheetData>
  <pageMargins left="0.7" right="0.7" top="0.75" bottom="0.75" header="0.3" footer="0.3"/>
  <headerFooter>
    <oddFooter>&amp;C&amp;"Calibri"&amp;8 &amp;K000000_x000D_#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"/>
  <sheetViews>
    <sheetView workbookViewId="0"/>
  </sheetViews>
  <sheetFormatPr defaultColWidth="0" defaultRowHeight="15" zeroHeight="1" x14ac:dyDescent="0.25"/>
  <cols>
    <col min="1" max="1" width="25.140625" customWidth="1"/>
    <col min="2" max="2" width="9.140625" customWidth="1"/>
    <col min="3" max="3" width="16.7109375" bestFit="1" customWidth="1"/>
    <col min="4" max="23" width="16.7109375" hidden="1" customWidth="1"/>
    <col min="24" max="24" width="9.140625" hidden="1" customWidth="1"/>
    <col min="25" max="16384" width="9.140625" hidden="1"/>
  </cols>
  <sheetData>
    <row r="1" spans="1:23" x14ac:dyDescent="0.25">
      <c r="A1" t="s">
        <v>95</v>
      </c>
      <c r="B1">
        <v>9</v>
      </c>
    </row>
    <row r="3" spans="1:23" hidden="1" x14ac:dyDescent="0.25"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</sheetData>
  <pageMargins left="0.7" right="0.7" top="0.75" bottom="0.75" header="0.3" footer="0.3"/>
  <headerFooter>
    <oddFooter>&amp;C&amp;"Calibri"&amp;8 &amp;K000000_x000D_#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3:AE418"/>
  <sheetViews>
    <sheetView topLeftCell="A3" zoomScale="125" zoomScaleNormal="85" workbookViewId="0">
      <selection activeCell="A3" sqref="A3"/>
    </sheetView>
  </sheetViews>
  <sheetFormatPr defaultColWidth="0" defaultRowHeight="15" zeroHeight="1" outlineLevelRow="2" x14ac:dyDescent="0.25"/>
  <cols>
    <col min="1" max="1" width="3.7109375" style="25" customWidth="1"/>
    <col min="2" max="2" width="8.42578125" style="26" customWidth="1"/>
    <col min="3" max="3" width="26.42578125" style="25" customWidth="1"/>
    <col min="4" max="29" width="17.7109375" style="25" customWidth="1"/>
    <col min="30" max="30" width="8.85546875" style="25" customWidth="1"/>
    <col min="31" max="31" width="8.85546875" style="25" hidden="1" customWidth="1"/>
    <col min="32" max="16384" width="8.85546875" style="25" hidden="1"/>
  </cols>
  <sheetData>
    <row r="3" spans="2:31" ht="15.75" customHeight="1" x14ac:dyDescent="0.25">
      <c r="B3" s="29" t="s">
        <v>0</v>
      </c>
      <c r="E3" s="44" t="s">
        <v>1</v>
      </c>
      <c r="F3" s="44" t="s">
        <v>2</v>
      </c>
    </row>
    <row r="4" spans="2:31" ht="15.75" customHeight="1" x14ac:dyDescent="0.25">
      <c r="B4" s="29"/>
      <c r="C4" s="31" t="s">
        <v>3</v>
      </c>
      <c r="D4" s="43">
        <v>38718</v>
      </c>
      <c r="E4" s="44" t="s">
        <v>4</v>
      </c>
      <c r="F4" s="25" t="b">
        <f>triangle_start_date='Example - Triangles'!F3</f>
        <v>1</v>
      </c>
      <c r="H4" s="46" t="s">
        <v>5</v>
      </c>
    </row>
    <row r="5" spans="2:31" x14ac:dyDescent="0.25">
      <c r="B5" s="25"/>
      <c r="C5" s="31" t="s">
        <v>6</v>
      </c>
      <c r="D5" s="35">
        <v>9</v>
      </c>
      <c r="E5" s="44" t="s">
        <v>7</v>
      </c>
      <c r="H5" s="47" t="s">
        <v>8</v>
      </c>
    </row>
    <row r="6" spans="2:31" x14ac:dyDescent="0.25">
      <c r="B6" s="30"/>
      <c r="C6" s="31" t="s">
        <v>9</v>
      </c>
      <c r="D6" s="35">
        <v>12</v>
      </c>
      <c r="E6" s="44" t="s">
        <v>10</v>
      </c>
    </row>
    <row r="7" spans="2:31" x14ac:dyDescent="0.25">
      <c r="B7" s="30"/>
      <c r="C7" s="31" t="s">
        <v>11</v>
      </c>
      <c r="D7" s="35">
        <v>12</v>
      </c>
      <c r="E7" s="44" t="s">
        <v>12</v>
      </c>
    </row>
    <row r="8" spans="2:31" x14ac:dyDescent="0.25">
      <c r="B8" s="30"/>
      <c r="C8" s="31" t="s">
        <v>13</v>
      </c>
      <c r="D8" s="35">
        <v>237</v>
      </c>
      <c r="E8" s="44" t="s">
        <v>14</v>
      </c>
      <c r="F8" s="69" t="str">
        <f>IF(ISERROR(MATCH(month_final_development,'Example - Triangles'!$G$2:$FA$2, 0)), "Can't find this development month in triangle. Please be consistent with Triangle.", "OK")</f>
        <v>OK</v>
      </c>
    </row>
    <row r="9" spans="2:31" x14ac:dyDescent="0.25">
      <c r="B9" s="30"/>
      <c r="C9" s="31" t="s">
        <v>15</v>
      </c>
      <c r="D9" s="41">
        <v>46023</v>
      </c>
      <c r="E9" s="44" t="s">
        <v>4</v>
      </c>
    </row>
    <row r="10" spans="2:31" x14ac:dyDescent="0.25">
      <c r="B10" s="30"/>
      <c r="C10" s="31" t="s">
        <v>16</v>
      </c>
      <c r="D10" s="45">
        <v>46387</v>
      </c>
      <c r="E10" s="44" t="s">
        <v>4</v>
      </c>
    </row>
    <row r="11" spans="2:31" ht="15.75" customHeight="1" x14ac:dyDescent="0.25">
      <c r="B11" s="29" t="s">
        <v>17</v>
      </c>
    </row>
    <row r="12" spans="2:31" ht="15.75" customHeight="1" x14ac:dyDescent="0.25">
      <c r="Q12" s="72" t="s">
        <v>18</v>
      </c>
      <c r="R12" s="73"/>
      <c r="S12" s="73"/>
      <c r="T12" s="73"/>
      <c r="U12" s="73"/>
    </row>
    <row r="13" spans="2:31" s="54" customFormat="1" ht="45" customHeight="1" x14ac:dyDescent="0.25">
      <c r="B13" s="52" t="s">
        <v>19</v>
      </c>
      <c r="C13" s="52" t="s">
        <v>20</v>
      </c>
      <c r="D13" s="52" t="s">
        <v>21</v>
      </c>
      <c r="E13" s="52" t="s">
        <v>22</v>
      </c>
      <c r="F13" s="52" t="s">
        <v>23</v>
      </c>
      <c r="G13" s="52" t="s">
        <v>24</v>
      </c>
      <c r="H13" s="52" t="s">
        <v>25</v>
      </c>
      <c r="I13" s="52" t="s">
        <v>26</v>
      </c>
      <c r="J13" s="52" t="s">
        <v>27</v>
      </c>
      <c r="K13" s="52" t="s">
        <v>28</v>
      </c>
      <c r="L13" s="52" t="s">
        <v>29</v>
      </c>
      <c r="M13" s="52" t="s">
        <v>30</v>
      </c>
      <c r="N13" s="52" t="s">
        <v>31</v>
      </c>
      <c r="O13" s="52" t="s">
        <v>32</v>
      </c>
      <c r="P13" s="52" t="s">
        <v>33</v>
      </c>
      <c r="Q13" s="52" t="s">
        <v>34</v>
      </c>
      <c r="R13" s="52" t="s">
        <v>35</v>
      </c>
      <c r="S13" s="52" t="s">
        <v>36</v>
      </c>
      <c r="T13" s="52" t="s">
        <v>37</v>
      </c>
      <c r="U13" s="52" t="s">
        <v>38</v>
      </c>
      <c r="V13" s="52" t="s">
        <v>39</v>
      </c>
      <c r="W13" s="53" t="s">
        <v>40</v>
      </c>
      <c r="X13" s="53" t="s">
        <v>41</v>
      </c>
      <c r="Y13" s="53" t="s">
        <v>42</v>
      </c>
      <c r="Z13" s="53" t="s">
        <v>43</v>
      </c>
      <c r="AA13" s="53" t="s">
        <v>44</v>
      </c>
      <c r="AB13" s="53" t="s">
        <v>45</v>
      </c>
      <c r="AC13" s="53" t="s">
        <v>46</v>
      </c>
      <c r="AD13" s="53" t="s">
        <v>47</v>
      </c>
      <c r="AE13" s="53" t="s">
        <v>48</v>
      </c>
    </row>
    <row r="14" spans="2:31" x14ac:dyDescent="0.25">
      <c r="B14" s="27">
        <v>1</v>
      </c>
      <c r="C14" s="48" t="s">
        <v>96</v>
      </c>
      <c r="D14" s="48" t="s">
        <v>97</v>
      </c>
      <c r="E14" s="48">
        <v>2006</v>
      </c>
      <c r="F14" s="48">
        <v>2025</v>
      </c>
      <c r="G14" s="48" t="s">
        <v>98</v>
      </c>
      <c r="H14" s="48" t="s">
        <v>99</v>
      </c>
      <c r="I14" s="48" t="s">
        <v>100</v>
      </c>
      <c r="J14" s="48" t="s">
        <v>101</v>
      </c>
      <c r="K14" s="49">
        <v>1</v>
      </c>
      <c r="L14" s="50"/>
      <c r="M14" s="50"/>
      <c r="N14" s="50"/>
      <c r="O14" s="50"/>
      <c r="P14" s="50"/>
      <c r="Q14" s="50"/>
      <c r="R14" s="50"/>
      <c r="S14" s="50"/>
      <c r="T14" s="26" t="str">
        <f t="shared" ref="T14:T35" si="0">IF(AND(C14&lt;&gt;"",SUM(K14,M14,O14,Q14,S14)=1),"pass",IF(AND(C14="",SUM(K14,M14,O14,Q14,S14)=0),"pass","fail"))</f>
        <v>pass</v>
      </c>
      <c r="U14" s="50"/>
      <c r="V14" s="51"/>
      <c r="W14" s="50"/>
      <c r="X14" s="50"/>
      <c r="Y14" s="50"/>
      <c r="Z14" s="50"/>
      <c r="AA14" s="50"/>
      <c r="AB14" s="50" t="s">
        <v>53</v>
      </c>
      <c r="AC14" s="50" t="s">
        <v>53</v>
      </c>
      <c r="AD14" s="50" t="s">
        <v>53</v>
      </c>
      <c r="AE14" s="50"/>
    </row>
    <row r="15" spans="2:31" x14ac:dyDescent="0.25">
      <c r="B15" s="27">
        <v>2</v>
      </c>
      <c r="C15" s="48" t="s">
        <v>102</v>
      </c>
      <c r="D15" s="48" t="s">
        <v>97</v>
      </c>
      <c r="E15" s="48">
        <v>2006</v>
      </c>
      <c r="F15" s="48">
        <v>2025</v>
      </c>
      <c r="G15" s="48" t="s">
        <v>98</v>
      </c>
      <c r="H15" s="48" t="s">
        <v>99</v>
      </c>
      <c r="I15" s="48" t="s">
        <v>100</v>
      </c>
      <c r="J15" s="48" t="s">
        <v>52</v>
      </c>
      <c r="K15" s="49">
        <v>1</v>
      </c>
      <c r="L15" s="50"/>
      <c r="M15" s="50"/>
      <c r="N15" s="50"/>
      <c r="O15" s="50"/>
      <c r="P15" s="50"/>
      <c r="Q15" s="50"/>
      <c r="R15" s="50"/>
      <c r="S15" s="50"/>
      <c r="T15" s="26" t="str">
        <f t="shared" si="0"/>
        <v>pass</v>
      </c>
      <c r="U15" s="50"/>
      <c r="V15" s="51"/>
      <c r="W15" s="50"/>
      <c r="X15" s="50"/>
      <c r="Y15" s="50"/>
      <c r="Z15" s="50"/>
      <c r="AA15" s="50"/>
      <c r="AB15" s="50" t="s">
        <v>53</v>
      </c>
      <c r="AC15" s="50" t="s">
        <v>53</v>
      </c>
      <c r="AD15" s="50" t="s">
        <v>53</v>
      </c>
      <c r="AE15" s="50"/>
    </row>
    <row r="16" spans="2:31" x14ac:dyDescent="0.25">
      <c r="B16" s="27">
        <v>3</v>
      </c>
      <c r="C16" s="48" t="s">
        <v>103</v>
      </c>
      <c r="D16" s="48" t="s">
        <v>97</v>
      </c>
      <c r="E16" s="48">
        <v>2006</v>
      </c>
      <c r="F16" s="48">
        <v>2025</v>
      </c>
      <c r="G16" s="48" t="s">
        <v>98</v>
      </c>
      <c r="H16" s="48" t="s">
        <v>99</v>
      </c>
      <c r="I16" s="48" t="s">
        <v>100</v>
      </c>
      <c r="J16" s="48" t="s">
        <v>104</v>
      </c>
      <c r="K16" s="49">
        <v>1</v>
      </c>
      <c r="L16" s="50"/>
      <c r="M16" s="50"/>
      <c r="N16" s="50"/>
      <c r="O16" s="50"/>
      <c r="P16" s="50"/>
      <c r="Q16" s="50"/>
      <c r="R16" s="50"/>
      <c r="S16" s="50"/>
      <c r="T16" s="26" t="str">
        <f t="shared" si="0"/>
        <v>pass</v>
      </c>
      <c r="U16" s="50"/>
      <c r="V16" s="51"/>
      <c r="W16" s="50"/>
      <c r="X16" s="50"/>
      <c r="Y16" s="50"/>
      <c r="Z16" s="50"/>
      <c r="AA16" s="50"/>
      <c r="AB16" s="50" t="s">
        <v>53</v>
      </c>
      <c r="AC16" s="50" t="s">
        <v>53</v>
      </c>
      <c r="AD16" s="50" t="s">
        <v>53</v>
      </c>
      <c r="AE16" s="50"/>
    </row>
    <row r="17" spans="2:31" x14ac:dyDescent="0.25">
      <c r="B17" s="27">
        <v>4</v>
      </c>
      <c r="C17" s="48" t="s">
        <v>105</v>
      </c>
      <c r="D17" s="48" t="s">
        <v>60</v>
      </c>
      <c r="E17" s="48">
        <v>2006</v>
      </c>
      <c r="F17" s="48">
        <v>2025</v>
      </c>
      <c r="G17" s="48" t="s">
        <v>106</v>
      </c>
      <c r="H17" s="48" t="s">
        <v>99</v>
      </c>
      <c r="I17" s="48" t="s">
        <v>100</v>
      </c>
      <c r="J17" s="48" t="s">
        <v>107</v>
      </c>
      <c r="K17" s="49">
        <v>1</v>
      </c>
      <c r="L17" s="50"/>
      <c r="M17" s="50"/>
      <c r="N17" s="50"/>
      <c r="O17" s="50"/>
      <c r="P17" s="50"/>
      <c r="Q17" s="50"/>
      <c r="R17" s="50"/>
      <c r="S17" s="50"/>
      <c r="T17" s="26" t="str">
        <f t="shared" si="0"/>
        <v>pass</v>
      </c>
      <c r="U17" s="50"/>
      <c r="V17" s="51"/>
      <c r="W17" s="50"/>
      <c r="X17" s="50"/>
      <c r="Y17" s="50"/>
      <c r="Z17" s="50"/>
      <c r="AA17" s="50"/>
      <c r="AB17" s="50" t="s">
        <v>53</v>
      </c>
      <c r="AC17" s="50" t="s">
        <v>53</v>
      </c>
      <c r="AD17" s="50" t="s">
        <v>53</v>
      </c>
      <c r="AE17" s="50"/>
    </row>
    <row r="18" spans="2:31" x14ac:dyDescent="0.25">
      <c r="B18" s="27">
        <v>5</v>
      </c>
      <c r="C18" s="48" t="s">
        <v>108</v>
      </c>
      <c r="D18" s="48" t="s">
        <v>50</v>
      </c>
      <c r="E18" s="48">
        <v>2006</v>
      </c>
      <c r="F18" s="48">
        <v>2025</v>
      </c>
      <c r="G18" s="48" t="s">
        <v>106</v>
      </c>
      <c r="H18" s="48" t="s">
        <v>99</v>
      </c>
      <c r="I18" s="48" t="s">
        <v>100</v>
      </c>
      <c r="J18" s="48" t="s">
        <v>107</v>
      </c>
      <c r="K18" s="49">
        <v>1</v>
      </c>
      <c r="L18" s="50"/>
      <c r="M18" s="50"/>
      <c r="N18" s="50"/>
      <c r="O18" s="50"/>
      <c r="P18" s="50"/>
      <c r="Q18" s="50"/>
      <c r="R18" s="50"/>
      <c r="S18" s="50"/>
      <c r="T18" s="26" t="str">
        <f t="shared" si="0"/>
        <v>pass</v>
      </c>
      <c r="U18" s="50"/>
      <c r="V18" s="51"/>
      <c r="W18" s="50"/>
      <c r="X18" s="50"/>
      <c r="Y18" s="50"/>
      <c r="Z18" s="50"/>
      <c r="AA18" s="50"/>
      <c r="AB18" s="50" t="s">
        <v>53</v>
      </c>
      <c r="AC18" s="50" t="s">
        <v>53</v>
      </c>
      <c r="AD18" s="50" t="s">
        <v>53</v>
      </c>
      <c r="AE18" s="50"/>
    </row>
    <row r="19" spans="2:31" x14ac:dyDescent="0.25">
      <c r="B19" s="27">
        <v>6</v>
      </c>
      <c r="C19" s="48" t="s">
        <v>109</v>
      </c>
      <c r="D19" s="48" t="s">
        <v>97</v>
      </c>
      <c r="E19" s="48">
        <v>2006</v>
      </c>
      <c r="F19" s="48">
        <v>2025</v>
      </c>
      <c r="G19" s="48" t="s">
        <v>98</v>
      </c>
      <c r="H19" s="48" t="s">
        <v>99</v>
      </c>
      <c r="I19" s="48" t="s">
        <v>100</v>
      </c>
      <c r="J19" s="48" t="s">
        <v>109</v>
      </c>
      <c r="K19" s="49">
        <v>1</v>
      </c>
      <c r="L19" s="50"/>
      <c r="M19" s="50"/>
      <c r="N19" s="50"/>
      <c r="O19" s="50"/>
      <c r="P19" s="50"/>
      <c r="Q19" s="50"/>
      <c r="R19" s="50"/>
      <c r="S19" s="50"/>
      <c r="T19" s="26" t="str">
        <f t="shared" si="0"/>
        <v>pass</v>
      </c>
      <c r="U19" s="50"/>
      <c r="V19" s="51"/>
      <c r="W19" s="50"/>
      <c r="X19" s="50"/>
      <c r="Y19" s="50"/>
      <c r="Z19" s="50"/>
      <c r="AA19" s="50"/>
      <c r="AB19" s="50" t="s">
        <v>53</v>
      </c>
      <c r="AC19" s="50" t="s">
        <v>53</v>
      </c>
      <c r="AD19" s="50" t="s">
        <v>53</v>
      </c>
      <c r="AE19" s="50"/>
    </row>
    <row r="20" spans="2:31" x14ac:dyDescent="0.25">
      <c r="B20" s="27">
        <v>7</v>
      </c>
      <c r="C20" s="48"/>
      <c r="D20" s="48"/>
      <c r="E20" s="48"/>
      <c r="F20" s="48"/>
      <c r="G20" s="48"/>
      <c r="H20" s="48"/>
      <c r="I20" s="48"/>
      <c r="J20" s="48"/>
      <c r="K20" s="49"/>
      <c r="L20" s="50"/>
      <c r="M20" s="50"/>
      <c r="N20" s="50"/>
      <c r="O20" s="50"/>
      <c r="P20" s="50"/>
      <c r="Q20" s="50"/>
      <c r="R20" s="50"/>
      <c r="S20" s="50"/>
      <c r="T20" s="26" t="str">
        <f t="shared" si="0"/>
        <v>pass</v>
      </c>
      <c r="U20" s="50"/>
      <c r="V20" s="51"/>
      <c r="W20" s="50"/>
      <c r="X20" s="50"/>
      <c r="Y20" s="50"/>
      <c r="Z20" s="50"/>
      <c r="AA20" s="50"/>
      <c r="AB20" s="50"/>
      <c r="AC20" s="50"/>
      <c r="AD20" s="50"/>
      <c r="AE20" s="50"/>
    </row>
    <row r="21" spans="2:31" x14ac:dyDescent="0.25">
      <c r="B21" s="27">
        <v>8</v>
      </c>
      <c r="C21" s="48"/>
      <c r="D21" s="48"/>
      <c r="E21" s="48"/>
      <c r="F21" s="48"/>
      <c r="G21" s="48"/>
      <c r="H21" s="48"/>
      <c r="I21" s="48"/>
      <c r="J21" s="48"/>
      <c r="K21" s="49"/>
      <c r="L21" s="50"/>
      <c r="M21" s="50"/>
      <c r="N21" s="50"/>
      <c r="O21" s="50"/>
      <c r="P21" s="50"/>
      <c r="Q21" s="50"/>
      <c r="R21" s="50"/>
      <c r="S21" s="50"/>
      <c r="T21" s="26" t="str">
        <f t="shared" si="0"/>
        <v>pass</v>
      </c>
      <c r="U21" s="50"/>
      <c r="V21" s="51"/>
      <c r="W21" s="50"/>
      <c r="X21" s="50"/>
      <c r="Y21" s="50"/>
      <c r="Z21" s="50"/>
      <c r="AA21" s="50"/>
      <c r="AB21" s="50"/>
      <c r="AC21" s="50"/>
      <c r="AD21" s="50"/>
      <c r="AE21" s="50"/>
    </row>
    <row r="22" spans="2:31" x14ac:dyDescent="0.25">
      <c r="B22" s="27">
        <v>9</v>
      </c>
      <c r="C22" s="48"/>
      <c r="D22" s="48"/>
      <c r="E22" s="48"/>
      <c r="F22" s="48"/>
      <c r="G22" s="48"/>
      <c r="H22" s="48"/>
      <c r="I22" s="48"/>
      <c r="J22" s="48"/>
      <c r="K22" s="49"/>
      <c r="L22" s="50"/>
      <c r="M22" s="50"/>
      <c r="N22" s="50"/>
      <c r="O22" s="50"/>
      <c r="P22" s="50"/>
      <c r="Q22" s="50"/>
      <c r="R22" s="50"/>
      <c r="S22" s="50"/>
      <c r="T22" s="26" t="str">
        <f t="shared" si="0"/>
        <v>pass</v>
      </c>
      <c r="U22" s="50"/>
      <c r="V22" s="51"/>
      <c r="W22" s="50"/>
      <c r="X22" s="50"/>
      <c r="Y22" s="50"/>
      <c r="Z22" s="50"/>
      <c r="AA22" s="50"/>
      <c r="AB22" s="50"/>
      <c r="AC22" s="50"/>
      <c r="AD22" s="50"/>
      <c r="AE22" s="50"/>
    </row>
    <row r="23" spans="2:31" x14ac:dyDescent="0.25">
      <c r="B23" s="27">
        <v>10</v>
      </c>
      <c r="C23" s="48"/>
      <c r="D23" s="48"/>
      <c r="E23" s="48"/>
      <c r="F23" s="48"/>
      <c r="G23" s="48"/>
      <c r="H23" s="48"/>
      <c r="I23" s="48"/>
      <c r="J23" s="48"/>
      <c r="K23" s="49"/>
      <c r="L23" s="50"/>
      <c r="M23" s="50"/>
      <c r="N23" s="50"/>
      <c r="O23" s="50"/>
      <c r="P23" s="50"/>
      <c r="Q23" s="50"/>
      <c r="R23" s="50"/>
      <c r="S23" s="50"/>
      <c r="T23" s="26" t="str">
        <f t="shared" si="0"/>
        <v>pass</v>
      </c>
      <c r="U23" s="50"/>
      <c r="V23" s="51"/>
      <c r="W23" s="50"/>
      <c r="X23" s="50"/>
      <c r="Y23" s="50"/>
      <c r="Z23" s="50"/>
      <c r="AA23" s="50"/>
      <c r="AB23" s="50"/>
      <c r="AC23" s="50"/>
      <c r="AD23" s="50"/>
      <c r="AE23" s="50"/>
    </row>
    <row r="24" spans="2:31" x14ac:dyDescent="0.25">
      <c r="B24" s="27">
        <v>11</v>
      </c>
      <c r="C24" s="48"/>
      <c r="D24" s="48"/>
      <c r="E24" s="48"/>
      <c r="F24" s="48"/>
      <c r="G24" s="48"/>
      <c r="H24" s="48"/>
      <c r="I24" s="48"/>
      <c r="J24" s="48"/>
      <c r="K24" s="49"/>
      <c r="L24" s="50"/>
      <c r="M24" s="50"/>
      <c r="N24" s="50"/>
      <c r="O24" s="50"/>
      <c r="P24" s="50"/>
      <c r="Q24" s="50"/>
      <c r="R24" s="50"/>
      <c r="S24" s="50"/>
      <c r="T24" s="26" t="str">
        <f t="shared" si="0"/>
        <v>pass</v>
      </c>
      <c r="U24" s="50"/>
      <c r="V24" s="51"/>
      <c r="W24" s="50"/>
      <c r="X24" s="50"/>
      <c r="Y24" s="50"/>
      <c r="Z24" s="50"/>
      <c r="AA24" s="50"/>
      <c r="AB24" s="50"/>
      <c r="AC24" s="50"/>
      <c r="AD24" s="50"/>
      <c r="AE24" s="50"/>
    </row>
    <row r="25" spans="2:31" x14ac:dyDescent="0.25">
      <c r="B25" s="27">
        <v>12</v>
      </c>
      <c r="C25" s="48"/>
      <c r="D25" s="48"/>
      <c r="E25" s="48"/>
      <c r="F25" s="48"/>
      <c r="G25" s="48"/>
      <c r="H25" s="48"/>
      <c r="I25" s="48"/>
      <c r="J25" s="48"/>
      <c r="K25" s="49"/>
      <c r="L25" s="50"/>
      <c r="M25" s="50"/>
      <c r="N25" s="50"/>
      <c r="O25" s="50"/>
      <c r="P25" s="50"/>
      <c r="Q25" s="50"/>
      <c r="R25" s="50"/>
      <c r="S25" s="50"/>
      <c r="T25" s="26" t="str">
        <f t="shared" si="0"/>
        <v>pass</v>
      </c>
      <c r="U25" s="50"/>
      <c r="V25" s="51"/>
      <c r="W25" s="50"/>
      <c r="X25" s="50"/>
      <c r="Y25" s="50"/>
      <c r="Z25" s="50"/>
      <c r="AA25" s="50"/>
      <c r="AB25" s="50"/>
      <c r="AC25" s="50"/>
      <c r="AD25" s="50"/>
      <c r="AE25" s="50"/>
    </row>
    <row r="26" spans="2:31" x14ac:dyDescent="0.25">
      <c r="B26" s="27">
        <v>13</v>
      </c>
      <c r="C26" s="48"/>
      <c r="D26" s="48"/>
      <c r="E26" s="48"/>
      <c r="F26" s="48"/>
      <c r="G26" s="48"/>
      <c r="H26" s="48"/>
      <c r="I26" s="48"/>
      <c r="J26" s="48"/>
      <c r="K26" s="49"/>
      <c r="L26" s="50"/>
      <c r="M26" s="50"/>
      <c r="N26" s="50"/>
      <c r="O26" s="50"/>
      <c r="P26" s="50"/>
      <c r="Q26" s="50"/>
      <c r="R26" s="50"/>
      <c r="S26" s="50"/>
      <c r="T26" s="26" t="str">
        <f t="shared" si="0"/>
        <v>pass</v>
      </c>
      <c r="U26" s="50"/>
      <c r="V26" s="51"/>
      <c r="W26" s="50"/>
      <c r="X26" s="50"/>
      <c r="Y26" s="50"/>
      <c r="Z26" s="50"/>
      <c r="AA26" s="50"/>
      <c r="AB26" s="50"/>
      <c r="AC26" s="50"/>
      <c r="AD26" s="50"/>
      <c r="AE26" s="50"/>
    </row>
    <row r="27" spans="2:31" x14ac:dyDescent="0.25">
      <c r="B27" s="27">
        <v>14</v>
      </c>
      <c r="C27" s="48"/>
      <c r="D27" s="48"/>
      <c r="E27" s="48"/>
      <c r="F27" s="48"/>
      <c r="G27" s="48"/>
      <c r="H27" s="48"/>
      <c r="I27" s="48"/>
      <c r="J27" s="48"/>
      <c r="K27" s="49"/>
      <c r="L27" s="50"/>
      <c r="M27" s="50"/>
      <c r="N27" s="50"/>
      <c r="O27" s="50"/>
      <c r="P27" s="50"/>
      <c r="Q27" s="50"/>
      <c r="R27" s="50"/>
      <c r="S27" s="50"/>
      <c r="T27" s="26" t="str">
        <f t="shared" si="0"/>
        <v>pass</v>
      </c>
      <c r="U27" s="50"/>
      <c r="V27" s="51"/>
      <c r="W27" s="50"/>
      <c r="X27" s="50"/>
      <c r="Y27" s="50"/>
      <c r="Z27" s="50"/>
      <c r="AA27" s="50"/>
      <c r="AB27" s="50"/>
      <c r="AC27" s="50"/>
      <c r="AD27" s="50"/>
      <c r="AE27" s="50"/>
    </row>
    <row r="28" spans="2:31" x14ac:dyDescent="0.25">
      <c r="B28" s="27">
        <v>15</v>
      </c>
      <c r="C28" s="48"/>
      <c r="D28" s="48"/>
      <c r="E28" s="48"/>
      <c r="F28" s="48"/>
      <c r="G28" s="48"/>
      <c r="H28" s="48"/>
      <c r="I28" s="48"/>
      <c r="J28" s="48"/>
      <c r="K28" s="49"/>
      <c r="L28" s="50"/>
      <c r="M28" s="50"/>
      <c r="N28" s="50"/>
      <c r="O28" s="50"/>
      <c r="P28" s="50"/>
      <c r="Q28" s="50"/>
      <c r="R28" s="50"/>
      <c r="S28" s="50"/>
      <c r="T28" s="26" t="str">
        <f t="shared" si="0"/>
        <v>pass</v>
      </c>
      <c r="U28" s="50"/>
      <c r="V28" s="51"/>
      <c r="W28" s="50"/>
      <c r="X28" s="50"/>
      <c r="Y28" s="50"/>
      <c r="Z28" s="50"/>
      <c r="AA28" s="50"/>
      <c r="AB28" s="50"/>
      <c r="AC28" s="50"/>
      <c r="AD28" s="50"/>
      <c r="AE28" s="50"/>
    </row>
    <row r="29" spans="2:31" x14ac:dyDescent="0.25">
      <c r="B29" s="27">
        <v>16</v>
      </c>
      <c r="C29" s="48"/>
      <c r="D29" s="48"/>
      <c r="E29" s="48"/>
      <c r="F29" s="48"/>
      <c r="G29" s="48"/>
      <c r="H29" s="48"/>
      <c r="I29" s="48"/>
      <c r="J29" s="48"/>
      <c r="K29" s="49"/>
      <c r="L29" s="50"/>
      <c r="M29" s="50"/>
      <c r="N29" s="50"/>
      <c r="O29" s="50"/>
      <c r="P29" s="50"/>
      <c r="Q29" s="50"/>
      <c r="R29" s="50"/>
      <c r="S29" s="50"/>
      <c r="T29" s="26" t="str">
        <f t="shared" si="0"/>
        <v>pass</v>
      </c>
      <c r="U29" s="50"/>
      <c r="V29" s="51"/>
      <c r="W29" s="50"/>
      <c r="X29" s="50"/>
      <c r="Y29" s="50"/>
      <c r="Z29" s="50"/>
      <c r="AA29" s="50"/>
      <c r="AB29" s="50"/>
      <c r="AC29" s="50"/>
      <c r="AD29" s="50"/>
      <c r="AE29" s="50"/>
    </row>
    <row r="30" spans="2:31" x14ac:dyDescent="0.25">
      <c r="B30" s="27">
        <v>17</v>
      </c>
      <c r="C30" s="48"/>
      <c r="D30" s="48"/>
      <c r="E30" s="48"/>
      <c r="F30" s="48"/>
      <c r="G30" s="48"/>
      <c r="H30" s="48"/>
      <c r="I30" s="48"/>
      <c r="J30" s="48"/>
      <c r="K30" s="49"/>
      <c r="L30" s="50"/>
      <c r="M30" s="50"/>
      <c r="N30" s="50"/>
      <c r="O30" s="50"/>
      <c r="P30" s="50"/>
      <c r="Q30" s="50"/>
      <c r="R30" s="50"/>
      <c r="S30" s="50"/>
      <c r="T30" s="26" t="str">
        <f t="shared" si="0"/>
        <v>pass</v>
      </c>
      <c r="U30" s="50"/>
      <c r="V30" s="51"/>
      <c r="W30" s="50"/>
      <c r="X30" s="50"/>
      <c r="Y30" s="50"/>
      <c r="Z30" s="50"/>
      <c r="AA30" s="50"/>
      <c r="AB30" s="50"/>
      <c r="AC30" s="50"/>
      <c r="AD30" s="50"/>
      <c r="AE30" s="50"/>
    </row>
    <row r="31" spans="2:31" x14ac:dyDescent="0.25">
      <c r="B31" s="27">
        <v>18</v>
      </c>
      <c r="C31" s="48"/>
      <c r="D31" s="48"/>
      <c r="E31" s="48"/>
      <c r="F31" s="48"/>
      <c r="G31" s="48"/>
      <c r="H31" s="48"/>
      <c r="I31" s="48"/>
      <c r="J31" s="48"/>
      <c r="K31" s="49"/>
      <c r="L31" s="50"/>
      <c r="M31" s="50"/>
      <c r="N31" s="50"/>
      <c r="O31" s="50"/>
      <c r="P31" s="50"/>
      <c r="Q31" s="50"/>
      <c r="R31" s="50"/>
      <c r="S31" s="50"/>
      <c r="T31" s="26" t="str">
        <f t="shared" si="0"/>
        <v>pass</v>
      </c>
      <c r="U31" s="50"/>
      <c r="V31" s="51"/>
      <c r="W31" s="50"/>
      <c r="X31" s="50"/>
      <c r="Y31" s="50"/>
      <c r="Z31" s="50"/>
      <c r="AA31" s="50"/>
      <c r="AB31" s="50"/>
      <c r="AC31" s="50"/>
      <c r="AD31" s="50"/>
      <c r="AE31" s="50"/>
    </row>
    <row r="32" spans="2:31" x14ac:dyDescent="0.25">
      <c r="B32" s="27">
        <v>19</v>
      </c>
      <c r="C32" s="48"/>
      <c r="D32" s="48"/>
      <c r="E32" s="48"/>
      <c r="F32" s="48"/>
      <c r="G32" s="48"/>
      <c r="H32" s="48"/>
      <c r="I32" s="48"/>
      <c r="J32" s="48"/>
      <c r="K32" s="49"/>
      <c r="L32" s="50"/>
      <c r="M32" s="50"/>
      <c r="N32" s="50"/>
      <c r="O32" s="50"/>
      <c r="P32" s="50"/>
      <c r="Q32" s="50"/>
      <c r="R32" s="50"/>
      <c r="S32" s="50"/>
      <c r="T32" s="26" t="str">
        <f t="shared" si="0"/>
        <v>pass</v>
      </c>
      <c r="U32" s="50"/>
      <c r="V32" s="51"/>
      <c r="W32" s="50"/>
      <c r="X32" s="50"/>
      <c r="Y32" s="50"/>
      <c r="Z32" s="50"/>
      <c r="AA32" s="50"/>
      <c r="AB32" s="50"/>
      <c r="AC32" s="50"/>
      <c r="AD32" s="50"/>
      <c r="AE32" s="50"/>
    </row>
    <row r="33" spans="2:31" x14ac:dyDescent="0.25">
      <c r="B33" s="27">
        <v>20</v>
      </c>
      <c r="C33" s="48"/>
      <c r="D33" s="48"/>
      <c r="E33" s="48"/>
      <c r="F33" s="48"/>
      <c r="G33" s="48"/>
      <c r="H33" s="48"/>
      <c r="I33" s="48"/>
      <c r="J33" s="48"/>
      <c r="K33" s="49"/>
      <c r="L33" s="50"/>
      <c r="M33" s="50"/>
      <c r="N33" s="50"/>
      <c r="O33" s="50"/>
      <c r="P33" s="50"/>
      <c r="Q33" s="50"/>
      <c r="R33" s="50"/>
      <c r="S33" s="50"/>
      <c r="T33" s="26" t="str">
        <f t="shared" si="0"/>
        <v>pass</v>
      </c>
      <c r="U33" s="50"/>
      <c r="V33" s="51"/>
      <c r="W33" s="50"/>
      <c r="X33" s="50"/>
      <c r="Y33" s="50"/>
      <c r="Z33" s="50"/>
      <c r="AA33" s="50"/>
      <c r="AB33" s="50"/>
      <c r="AC33" s="50"/>
      <c r="AD33" s="50"/>
      <c r="AE33" s="50"/>
    </row>
    <row r="34" spans="2:31" x14ac:dyDescent="0.25">
      <c r="B34" s="27">
        <v>21</v>
      </c>
      <c r="C34" s="48"/>
      <c r="D34" s="48"/>
      <c r="E34" s="48"/>
      <c r="F34" s="48"/>
      <c r="G34" s="48"/>
      <c r="H34" s="48"/>
      <c r="I34" s="48"/>
      <c r="J34" s="48"/>
      <c r="K34" s="49"/>
      <c r="L34" s="50"/>
      <c r="M34" s="50"/>
      <c r="N34" s="50"/>
      <c r="O34" s="50"/>
      <c r="P34" s="50"/>
      <c r="Q34" s="50"/>
      <c r="R34" s="50"/>
      <c r="S34" s="50"/>
      <c r="T34" s="26" t="str">
        <f t="shared" si="0"/>
        <v>pass</v>
      </c>
      <c r="U34" s="50"/>
      <c r="V34" s="51"/>
      <c r="W34" s="50"/>
      <c r="X34" s="50"/>
      <c r="Y34" s="50"/>
      <c r="Z34" s="50"/>
      <c r="AA34" s="50"/>
      <c r="AB34" s="50"/>
      <c r="AC34" s="50"/>
      <c r="AD34" s="50"/>
      <c r="AE34" s="50"/>
    </row>
    <row r="35" spans="2:31" x14ac:dyDescent="0.25">
      <c r="B35" s="27">
        <v>22</v>
      </c>
      <c r="C35" s="48"/>
      <c r="D35" s="48"/>
      <c r="E35" s="48"/>
      <c r="F35" s="48"/>
      <c r="G35" s="48"/>
      <c r="H35" s="48"/>
      <c r="I35" s="48"/>
      <c r="J35" s="48"/>
      <c r="K35" s="49"/>
      <c r="L35" s="50"/>
      <c r="M35" s="50"/>
      <c r="N35" s="50"/>
      <c r="O35" s="50"/>
      <c r="P35" s="50"/>
      <c r="Q35" s="50"/>
      <c r="R35" s="50"/>
      <c r="S35" s="50"/>
      <c r="T35" s="26" t="str">
        <f t="shared" si="0"/>
        <v>pass</v>
      </c>
      <c r="U35" s="50"/>
      <c r="V35" s="51"/>
      <c r="W35" s="50"/>
      <c r="X35" s="50"/>
      <c r="Y35" s="50"/>
      <c r="Z35" s="50"/>
      <c r="AA35" s="50"/>
      <c r="AB35" s="50"/>
      <c r="AC35" s="50"/>
      <c r="AD35" s="50"/>
      <c r="AE35" s="50"/>
    </row>
    <row r="36" spans="2:31" outlineLevel="1" x14ac:dyDescent="0.25">
      <c r="B36" s="27">
        <v>23</v>
      </c>
      <c r="C36" s="48"/>
      <c r="D36" s="48"/>
      <c r="E36" s="48"/>
      <c r="F36" s="48"/>
      <c r="G36" s="48"/>
      <c r="H36" s="48"/>
      <c r="I36" s="48"/>
      <c r="J36" s="48"/>
      <c r="K36" s="49"/>
      <c r="L36" s="28"/>
      <c r="M36" s="28"/>
      <c r="N36" s="28"/>
      <c r="O36" s="28"/>
      <c r="P36" s="28"/>
      <c r="Q36" s="28"/>
      <c r="R36" s="25" t="str">
        <f>IF(AND(C36&lt;&gt;"",SUM(I36,K36,M36,O36,Q36)=1),"pass",IF(AND(C36="",SUM(I36,K36,M36,O36,Q36)=0),"pass","fail"))</f>
        <v>pass</v>
      </c>
      <c r="S36" s="28"/>
      <c r="T36" s="33"/>
      <c r="U36" s="28"/>
      <c r="V36" s="28"/>
      <c r="W36" s="28"/>
      <c r="X36" s="28"/>
      <c r="Y36" s="28"/>
      <c r="Z36" s="28"/>
      <c r="AA36" s="28"/>
      <c r="AB36" s="28"/>
      <c r="AC36" s="28"/>
    </row>
    <row r="37" spans="2:31" outlineLevel="1" x14ac:dyDescent="0.25">
      <c r="B37" s="27">
        <v>24</v>
      </c>
      <c r="C37" s="48"/>
      <c r="D37" s="48"/>
      <c r="E37" s="48"/>
      <c r="F37" s="48"/>
      <c r="G37" s="48"/>
      <c r="H37" s="48"/>
      <c r="I37" s="48"/>
      <c r="J37" s="48"/>
      <c r="K37" s="49"/>
      <c r="L37" s="28"/>
      <c r="M37" s="28"/>
      <c r="N37" s="28"/>
      <c r="O37" s="28"/>
      <c r="P37" s="28"/>
      <c r="Q37" s="28"/>
      <c r="R37" s="25" t="str">
        <f>IF(AND(C37&lt;&gt;"",SUM(I37,K37,M37,O37,Q37)=1),"pass",IF(AND(C37="",SUM(I37,K37,M37,O37,Q37)=0),"pass","fail"))</f>
        <v>pass</v>
      </c>
      <c r="S37" s="28"/>
      <c r="T37" s="33"/>
      <c r="U37" s="28"/>
      <c r="V37" s="28"/>
      <c r="W37" s="28"/>
      <c r="X37" s="28"/>
      <c r="Y37" s="28"/>
      <c r="Z37" s="28"/>
      <c r="AA37" s="28"/>
      <c r="AB37" s="28"/>
      <c r="AC37" s="28"/>
    </row>
    <row r="38" spans="2:31" outlineLevel="1" x14ac:dyDescent="0.25">
      <c r="B38" s="27">
        <v>25</v>
      </c>
      <c r="C38" s="48"/>
      <c r="D38" s="48"/>
      <c r="E38" s="48"/>
      <c r="F38" s="48"/>
      <c r="G38" s="48"/>
      <c r="H38" s="48"/>
      <c r="I38" s="48"/>
      <c r="J38" s="48"/>
      <c r="K38" s="49"/>
      <c r="L38" s="28"/>
      <c r="M38" s="28"/>
      <c r="N38" s="28"/>
      <c r="O38" s="28"/>
      <c r="P38" s="28"/>
      <c r="Q38" s="28"/>
      <c r="S38" s="28"/>
      <c r="T38" s="33"/>
      <c r="U38" s="28"/>
      <c r="V38" s="28"/>
      <c r="W38" s="28"/>
      <c r="X38" s="28"/>
      <c r="Y38" s="28"/>
      <c r="Z38" s="28"/>
      <c r="AA38" s="28"/>
      <c r="AB38" s="28"/>
      <c r="AC38" s="28"/>
    </row>
    <row r="39" spans="2:31" outlineLevel="1" x14ac:dyDescent="0.25">
      <c r="B39" s="27">
        <v>26</v>
      </c>
      <c r="C39" s="48"/>
      <c r="D39" s="48"/>
      <c r="E39" s="48"/>
      <c r="F39" s="48"/>
      <c r="G39" s="48"/>
      <c r="H39" s="48"/>
      <c r="I39" s="48"/>
      <c r="J39" s="48"/>
      <c r="K39" s="49"/>
      <c r="L39" s="28"/>
      <c r="M39" s="28"/>
      <c r="N39" s="28"/>
      <c r="O39" s="28"/>
      <c r="P39" s="28"/>
      <c r="Q39" s="28"/>
      <c r="S39" s="28"/>
      <c r="T39" s="33"/>
      <c r="U39" s="28"/>
      <c r="V39" s="28"/>
      <c r="W39" s="28"/>
      <c r="X39" s="28"/>
      <c r="Y39" s="28"/>
      <c r="Z39" s="28"/>
      <c r="AA39" s="28"/>
      <c r="AB39" s="28"/>
      <c r="AC39" s="28"/>
    </row>
    <row r="40" spans="2:31" outlineLevel="1" x14ac:dyDescent="0.25">
      <c r="B40" s="27">
        <v>27</v>
      </c>
      <c r="C40" s="48"/>
      <c r="D40" s="48"/>
      <c r="E40" s="48"/>
      <c r="F40" s="48"/>
      <c r="G40" s="48"/>
      <c r="H40" s="48"/>
      <c r="I40" s="48"/>
      <c r="J40" s="48"/>
      <c r="K40" s="49"/>
      <c r="L40" s="28"/>
      <c r="M40" s="28"/>
      <c r="N40" s="28"/>
      <c r="O40" s="28"/>
      <c r="P40" s="28"/>
      <c r="Q40" s="28"/>
      <c r="S40" s="28"/>
      <c r="T40" s="33"/>
      <c r="U40" s="28"/>
      <c r="V40" s="28"/>
      <c r="W40" s="28"/>
      <c r="X40" s="28"/>
      <c r="Y40" s="28"/>
      <c r="Z40" s="28"/>
      <c r="AA40" s="28"/>
      <c r="AB40" s="28"/>
      <c r="AC40" s="28"/>
    </row>
    <row r="41" spans="2:31" outlineLevel="1" x14ac:dyDescent="0.25">
      <c r="B41" s="27">
        <v>28</v>
      </c>
      <c r="C41" s="48"/>
      <c r="D41" s="48"/>
      <c r="E41" s="48"/>
      <c r="F41" s="48"/>
      <c r="G41" s="48"/>
      <c r="H41" s="48"/>
      <c r="I41" s="48"/>
      <c r="J41" s="48"/>
      <c r="K41" s="49"/>
      <c r="L41" s="28"/>
      <c r="M41" s="28"/>
      <c r="N41" s="28"/>
      <c r="O41" s="28"/>
      <c r="P41" s="28"/>
      <c r="Q41" s="28"/>
      <c r="S41" s="28"/>
      <c r="T41" s="33"/>
      <c r="U41" s="28"/>
      <c r="V41" s="28"/>
      <c r="W41" s="28"/>
      <c r="X41" s="28"/>
      <c r="Y41" s="28"/>
      <c r="Z41" s="28"/>
      <c r="AA41" s="28"/>
      <c r="AB41" s="28"/>
      <c r="AC41" s="28"/>
    </row>
    <row r="42" spans="2:31" outlineLevel="1" x14ac:dyDescent="0.25">
      <c r="B42" s="27">
        <v>29</v>
      </c>
      <c r="C42" s="48"/>
      <c r="D42" s="48"/>
      <c r="E42" s="48"/>
      <c r="F42" s="48"/>
      <c r="G42" s="48"/>
      <c r="H42" s="48"/>
      <c r="I42" s="48"/>
      <c r="J42" s="48"/>
      <c r="K42" s="49"/>
      <c r="L42" s="28"/>
      <c r="M42" s="28"/>
      <c r="N42" s="28"/>
      <c r="O42" s="28"/>
      <c r="P42" s="28"/>
      <c r="Q42" s="28"/>
      <c r="S42" s="28"/>
      <c r="T42" s="33"/>
      <c r="U42" s="28"/>
      <c r="V42" s="28"/>
      <c r="W42" s="28"/>
      <c r="X42" s="28"/>
      <c r="Y42" s="28"/>
      <c r="Z42" s="28"/>
      <c r="AA42" s="28"/>
      <c r="AB42" s="28"/>
      <c r="AC42" s="28"/>
    </row>
    <row r="43" spans="2:31" outlineLevel="1" x14ac:dyDescent="0.25">
      <c r="B43" s="27">
        <v>30</v>
      </c>
      <c r="C43" s="48"/>
      <c r="D43" s="48"/>
      <c r="E43" s="48"/>
      <c r="F43" s="48"/>
      <c r="G43" s="48"/>
      <c r="H43" s="48"/>
      <c r="I43" s="48"/>
      <c r="J43" s="48"/>
      <c r="K43" s="49"/>
      <c r="L43" s="28"/>
      <c r="M43" s="28"/>
      <c r="N43" s="28"/>
      <c r="O43" s="28"/>
      <c r="P43" s="28"/>
      <c r="Q43" s="28"/>
      <c r="S43" s="28"/>
      <c r="T43" s="33"/>
      <c r="U43" s="28"/>
      <c r="V43" s="28"/>
      <c r="W43" s="28"/>
      <c r="X43" s="28"/>
      <c r="Y43" s="28"/>
      <c r="Z43" s="28"/>
      <c r="AA43" s="28"/>
      <c r="AB43" s="28"/>
      <c r="AC43" s="28"/>
    </row>
    <row r="44" spans="2:31" outlineLevel="1" x14ac:dyDescent="0.25">
      <c r="B44" s="27">
        <v>31</v>
      </c>
      <c r="C44" s="48"/>
      <c r="D44" s="48"/>
      <c r="E44" s="48"/>
      <c r="F44" s="48"/>
      <c r="G44" s="48"/>
      <c r="H44" s="48"/>
      <c r="I44" s="48"/>
      <c r="J44" s="48"/>
      <c r="K44" s="49"/>
      <c r="L44" s="28"/>
      <c r="M44" s="28"/>
      <c r="N44" s="28"/>
      <c r="O44" s="28"/>
      <c r="P44" s="28"/>
      <c r="Q44" s="28"/>
      <c r="S44" s="28"/>
      <c r="T44" s="33"/>
      <c r="U44" s="28"/>
      <c r="V44" s="28"/>
      <c r="W44" s="28"/>
      <c r="X44" s="28"/>
      <c r="Y44" s="28"/>
      <c r="Z44" s="28"/>
      <c r="AA44" s="28"/>
      <c r="AB44" s="28"/>
      <c r="AC44" s="28"/>
    </row>
    <row r="45" spans="2:31" outlineLevel="1" x14ac:dyDescent="0.25">
      <c r="B45" s="27">
        <v>32</v>
      </c>
      <c r="C45" s="48"/>
      <c r="D45" s="48"/>
      <c r="E45" s="48"/>
      <c r="F45" s="48"/>
      <c r="G45" s="48"/>
      <c r="H45" s="48"/>
      <c r="I45" s="48"/>
      <c r="J45" s="48"/>
      <c r="K45" s="49"/>
      <c r="L45" s="28"/>
      <c r="M45" s="28"/>
      <c r="N45" s="28"/>
      <c r="O45" s="28"/>
      <c r="P45" s="28"/>
      <c r="Q45" s="28"/>
      <c r="S45" s="28"/>
      <c r="T45" s="33"/>
      <c r="U45" s="28"/>
      <c r="V45" s="28"/>
      <c r="W45" s="28"/>
      <c r="X45" s="28"/>
      <c r="Y45" s="28"/>
      <c r="Z45" s="28"/>
      <c r="AA45" s="28"/>
      <c r="AB45" s="28"/>
      <c r="AC45" s="28"/>
    </row>
    <row r="46" spans="2:31" outlineLevel="1" x14ac:dyDescent="0.25">
      <c r="B46" s="27">
        <v>33</v>
      </c>
      <c r="C46" s="48"/>
      <c r="D46" s="48"/>
      <c r="E46" s="48"/>
      <c r="F46" s="48"/>
      <c r="G46" s="48"/>
      <c r="H46" s="48"/>
      <c r="I46" s="48"/>
      <c r="J46" s="48"/>
      <c r="K46" s="49"/>
      <c r="L46" s="28"/>
      <c r="M46" s="28"/>
      <c r="N46" s="28"/>
      <c r="O46" s="28"/>
      <c r="P46" s="28"/>
      <c r="Q46" s="28"/>
      <c r="S46" s="28"/>
      <c r="T46" s="33"/>
      <c r="U46" s="28"/>
      <c r="V46" s="28"/>
      <c r="W46" s="28"/>
      <c r="X46" s="28"/>
      <c r="Y46" s="28"/>
      <c r="Z46" s="28"/>
      <c r="AA46" s="28"/>
      <c r="AB46" s="28"/>
      <c r="AC46" s="28"/>
    </row>
    <row r="47" spans="2:31" outlineLevel="1" x14ac:dyDescent="0.25">
      <c r="B47" s="27">
        <v>34</v>
      </c>
      <c r="C47" s="48"/>
      <c r="D47" s="48"/>
      <c r="E47" s="48"/>
      <c r="F47" s="48"/>
      <c r="G47" s="48"/>
      <c r="H47" s="48"/>
      <c r="I47" s="48"/>
      <c r="J47" s="48"/>
      <c r="K47" s="49"/>
      <c r="L47" s="28"/>
      <c r="M47" s="28"/>
      <c r="N47" s="28"/>
      <c r="O47" s="28"/>
      <c r="P47" s="28"/>
      <c r="Q47" s="28"/>
      <c r="S47" s="28"/>
      <c r="T47" s="33"/>
      <c r="U47" s="28"/>
      <c r="V47" s="28"/>
      <c r="W47" s="28"/>
      <c r="X47" s="28"/>
      <c r="Y47" s="28"/>
      <c r="Z47" s="28"/>
      <c r="AA47" s="28"/>
      <c r="AB47" s="28"/>
      <c r="AC47" s="28"/>
    </row>
    <row r="48" spans="2:31" outlineLevel="1" x14ac:dyDescent="0.25">
      <c r="B48" s="27">
        <v>35</v>
      </c>
      <c r="C48" s="48"/>
      <c r="D48" s="48"/>
      <c r="E48" s="48"/>
      <c r="F48" s="48"/>
      <c r="G48" s="48"/>
      <c r="H48" s="48"/>
      <c r="I48" s="48"/>
      <c r="J48" s="48"/>
      <c r="K48" s="49"/>
      <c r="L48" s="28"/>
      <c r="M48" s="28"/>
      <c r="N48" s="28"/>
      <c r="O48" s="28"/>
      <c r="P48" s="28"/>
      <c r="Q48" s="28"/>
      <c r="S48" s="28"/>
      <c r="T48" s="33"/>
      <c r="U48" s="28"/>
      <c r="V48" s="28"/>
      <c r="W48" s="28"/>
      <c r="X48" s="28"/>
      <c r="Y48" s="28"/>
      <c r="Z48" s="28"/>
      <c r="AA48" s="28"/>
      <c r="AB48" s="28"/>
      <c r="AC48" s="28"/>
    </row>
    <row r="49" spans="2:29" outlineLevel="1" x14ac:dyDescent="0.25">
      <c r="B49" s="27">
        <v>36</v>
      </c>
      <c r="C49" s="48"/>
      <c r="D49" s="48"/>
      <c r="E49" s="48"/>
      <c r="F49" s="48"/>
      <c r="G49" s="48"/>
      <c r="H49" s="48"/>
      <c r="I49" s="48"/>
      <c r="J49" s="48"/>
      <c r="K49" s="49"/>
      <c r="L49" s="28"/>
      <c r="M49" s="28"/>
      <c r="N49" s="28"/>
      <c r="O49" s="28"/>
      <c r="P49" s="28"/>
      <c r="Q49" s="28"/>
      <c r="S49" s="28"/>
      <c r="T49" s="33"/>
      <c r="U49" s="28"/>
      <c r="V49" s="28"/>
      <c r="W49" s="28"/>
      <c r="X49" s="28"/>
      <c r="Y49" s="28"/>
      <c r="Z49" s="28"/>
      <c r="AA49" s="28"/>
      <c r="AB49" s="28"/>
      <c r="AC49" s="28"/>
    </row>
    <row r="50" spans="2:29" outlineLevel="1" x14ac:dyDescent="0.25">
      <c r="B50" s="27">
        <v>37</v>
      </c>
      <c r="C50" s="48"/>
      <c r="D50" s="48"/>
      <c r="E50" s="48"/>
      <c r="F50" s="48"/>
      <c r="G50" s="48"/>
      <c r="H50" s="48"/>
      <c r="I50" s="48"/>
      <c r="J50" s="48"/>
      <c r="K50" s="49"/>
      <c r="L50" s="28"/>
      <c r="M50" s="28"/>
      <c r="N50" s="28"/>
      <c r="O50" s="28"/>
      <c r="P50" s="28"/>
      <c r="Q50" s="28"/>
      <c r="S50" s="28"/>
      <c r="T50" s="33"/>
      <c r="U50" s="28"/>
      <c r="V50" s="28"/>
      <c r="W50" s="28"/>
      <c r="X50" s="28"/>
      <c r="Y50" s="28"/>
      <c r="Z50" s="28"/>
      <c r="AA50" s="28"/>
      <c r="AB50" s="28"/>
      <c r="AC50" s="28"/>
    </row>
    <row r="51" spans="2:29" outlineLevel="1" x14ac:dyDescent="0.25">
      <c r="B51" s="27">
        <v>38</v>
      </c>
      <c r="C51" s="48"/>
      <c r="D51" s="48"/>
      <c r="E51" s="48"/>
      <c r="F51" s="48"/>
      <c r="G51" s="48"/>
      <c r="H51" s="48"/>
      <c r="I51" s="48"/>
      <c r="J51" s="48"/>
      <c r="K51" s="49"/>
      <c r="L51" s="28"/>
      <c r="M51" s="28"/>
      <c r="N51" s="28"/>
      <c r="O51" s="28"/>
      <c r="P51" s="28"/>
      <c r="Q51" s="28"/>
      <c r="S51" s="28"/>
      <c r="T51" s="33"/>
      <c r="U51" s="28"/>
      <c r="V51" s="28"/>
      <c r="W51" s="28"/>
      <c r="X51" s="28"/>
      <c r="Y51" s="28"/>
      <c r="Z51" s="28"/>
      <c r="AA51" s="28"/>
      <c r="AB51" s="28"/>
      <c r="AC51" s="28"/>
    </row>
    <row r="52" spans="2:29" outlineLevel="1" x14ac:dyDescent="0.25">
      <c r="B52" s="27">
        <v>39</v>
      </c>
      <c r="C52" s="48"/>
      <c r="D52" s="48"/>
      <c r="E52" s="48"/>
      <c r="F52" s="48"/>
      <c r="G52" s="48"/>
      <c r="H52" s="48"/>
      <c r="I52" s="48"/>
      <c r="J52" s="48"/>
      <c r="K52" s="49"/>
      <c r="L52" s="28"/>
      <c r="M52" s="28"/>
      <c r="N52" s="28"/>
      <c r="O52" s="28"/>
      <c r="P52" s="28"/>
      <c r="Q52" s="28"/>
      <c r="S52" s="28"/>
      <c r="T52" s="33"/>
      <c r="U52" s="28"/>
      <c r="V52" s="28"/>
      <c r="W52" s="28"/>
      <c r="X52" s="28"/>
      <c r="Y52" s="28"/>
      <c r="Z52" s="28"/>
      <c r="AA52" s="28"/>
      <c r="AB52" s="28"/>
      <c r="AC52" s="28"/>
    </row>
    <row r="53" spans="2:29" outlineLevel="1" x14ac:dyDescent="0.25">
      <c r="B53" s="27">
        <v>40</v>
      </c>
      <c r="C53" s="48"/>
      <c r="D53" s="48"/>
      <c r="E53" s="48"/>
      <c r="F53" s="48"/>
      <c r="G53" s="48"/>
      <c r="H53" s="48"/>
      <c r="I53" s="48"/>
      <c r="J53" s="48"/>
      <c r="K53" s="49"/>
      <c r="L53" s="28"/>
      <c r="M53" s="28"/>
      <c r="N53" s="28"/>
      <c r="O53" s="28"/>
      <c r="P53" s="28"/>
      <c r="Q53" s="28"/>
      <c r="S53" s="28"/>
      <c r="T53" s="33"/>
      <c r="U53" s="28"/>
      <c r="V53" s="28"/>
      <c r="W53" s="28"/>
      <c r="X53" s="28"/>
      <c r="Y53" s="28"/>
      <c r="Z53" s="28"/>
      <c r="AA53" s="28"/>
      <c r="AB53" s="28"/>
      <c r="AC53" s="28"/>
    </row>
    <row r="54" spans="2:29" outlineLevel="1" x14ac:dyDescent="0.25">
      <c r="B54" s="27">
        <v>41</v>
      </c>
      <c r="C54" s="48"/>
      <c r="D54" s="48"/>
      <c r="E54" s="48"/>
      <c r="F54" s="48"/>
      <c r="G54" s="48"/>
      <c r="H54" s="48"/>
      <c r="I54" s="48"/>
      <c r="J54" s="48"/>
      <c r="K54" s="49"/>
      <c r="L54" s="28"/>
      <c r="M54" s="28"/>
      <c r="N54" s="28"/>
      <c r="O54" s="28"/>
      <c r="P54" s="28"/>
      <c r="Q54" s="28"/>
      <c r="S54" s="28"/>
      <c r="T54" s="33"/>
      <c r="U54" s="28"/>
      <c r="V54" s="28"/>
      <c r="W54" s="28"/>
      <c r="X54" s="28"/>
      <c r="Y54" s="28"/>
      <c r="Z54" s="28"/>
      <c r="AA54" s="28"/>
      <c r="AB54" s="28"/>
      <c r="AC54" s="28"/>
    </row>
    <row r="55" spans="2:29" outlineLevel="1" x14ac:dyDescent="0.25">
      <c r="B55" s="27">
        <v>42</v>
      </c>
      <c r="C55" s="48"/>
      <c r="D55" s="48"/>
      <c r="E55" s="48"/>
      <c r="F55" s="48"/>
      <c r="G55" s="48"/>
      <c r="H55" s="48"/>
      <c r="I55" s="48"/>
      <c r="J55" s="48"/>
      <c r="K55" s="49"/>
      <c r="L55" s="28"/>
      <c r="M55" s="28"/>
      <c r="N55" s="28"/>
      <c r="O55" s="28"/>
      <c r="P55" s="28"/>
      <c r="Q55" s="28"/>
      <c r="S55" s="28"/>
      <c r="T55" s="33"/>
      <c r="U55" s="28"/>
      <c r="V55" s="28"/>
      <c r="W55" s="28"/>
      <c r="X55" s="28"/>
      <c r="Y55" s="28"/>
      <c r="Z55" s="28"/>
      <c r="AA55" s="28"/>
      <c r="AB55" s="28"/>
      <c r="AC55" s="28"/>
    </row>
    <row r="56" spans="2:29" outlineLevel="1" x14ac:dyDescent="0.25">
      <c r="B56" s="27">
        <v>43</v>
      </c>
      <c r="C56" s="48"/>
      <c r="D56" s="48"/>
      <c r="E56" s="48"/>
      <c r="F56" s="48"/>
      <c r="G56" s="48"/>
      <c r="H56" s="48"/>
      <c r="I56" s="48"/>
      <c r="J56" s="48"/>
      <c r="K56" s="49"/>
      <c r="L56" s="28"/>
      <c r="M56" s="28"/>
      <c r="N56" s="28"/>
      <c r="O56" s="28"/>
      <c r="P56" s="28"/>
      <c r="Q56" s="28"/>
      <c r="S56" s="28"/>
      <c r="T56" s="33"/>
      <c r="U56" s="28"/>
      <c r="V56" s="28"/>
      <c r="W56" s="28"/>
      <c r="X56" s="28"/>
      <c r="Y56" s="28"/>
      <c r="Z56" s="28"/>
      <c r="AA56" s="28"/>
      <c r="AB56" s="28"/>
      <c r="AC56" s="28"/>
    </row>
    <row r="57" spans="2:29" outlineLevel="1" x14ac:dyDescent="0.25">
      <c r="B57" s="27">
        <v>44</v>
      </c>
      <c r="C57" s="48"/>
      <c r="D57" s="48"/>
      <c r="E57" s="48"/>
      <c r="F57" s="48"/>
      <c r="G57" s="48"/>
      <c r="H57" s="48"/>
      <c r="I57" s="48"/>
      <c r="J57" s="48"/>
      <c r="K57" s="49"/>
      <c r="L57" s="28"/>
      <c r="M57" s="28"/>
      <c r="N57" s="28"/>
      <c r="O57" s="28"/>
      <c r="P57" s="28"/>
      <c r="Q57" s="28"/>
      <c r="S57" s="28"/>
      <c r="T57" s="33"/>
      <c r="U57" s="28"/>
      <c r="V57" s="28"/>
      <c r="W57" s="28"/>
      <c r="X57" s="28"/>
      <c r="Y57" s="28"/>
      <c r="Z57" s="28"/>
      <c r="AA57" s="28"/>
      <c r="AB57" s="28"/>
      <c r="AC57" s="28"/>
    </row>
    <row r="58" spans="2:29" outlineLevel="1" x14ac:dyDescent="0.25">
      <c r="B58" s="27">
        <v>45</v>
      </c>
      <c r="C58" s="48"/>
      <c r="D58" s="48"/>
      <c r="E58" s="48"/>
      <c r="F58" s="48"/>
      <c r="G58" s="48"/>
      <c r="H58" s="48"/>
      <c r="I58" s="48"/>
      <c r="J58" s="48"/>
      <c r="K58" s="49"/>
      <c r="L58" s="28"/>
      <c r="M58" s="28"/>
      <c r="N58" s="28"/>
      <c r="O58" s="28"/>
      <c r="P58" s="28"/>
      <c r="Q58" s="28"/>
      <c r="S58" s="28"/>
      <c r="T58" s="33"/>
      <c r="U58" s="28"/>
      <c r="V58" s="28"/>
      <c r="W58" s="28"/>
      <c r="X58" s="28"/>
      <c r="Y58" s="28"/>
      <c r="Z58" s="28"/>
      <c r="AA58" s="28"/>
      <c r="AB58" s="28"/>
      <c r="AC58" s="28"/>
    </row>
    <row r="59" spans="2:29" outlineLevel="1" x14ac:dyDescent="0.25">
      <c r="B59" s="27">
        <v>46</v>
      </c>
      <c r="C59" s="48"/>
      <c r="D59" s="48"/>
      <c r="E59" s="48"/>
      <c r="F59" s="48"/>
      <c r="G59" s="48"/>
      <c r="H59" s="48"/>
      <c r="I59" s="48"/>
      <c r="J59" s="48"/>
      <c r="K59" s="49"/>
      <c r="L59" s="28"/>
      <c r="M59" s="28"/>
      <c r="N59" s="28"/>
      <c r="O59" s="28"/>
      <c r="P59" s="28"/>
      <c r="Q59" s="28"/>
      <c r="S59" s="28"/>
      <c r="T59" s="33"/>
      <c r="U59" s="28"/>
      <c r="V59" s="28"/>
      <c r="W59" s="28"/>
      <c r="X59" s="28"/>
      <c r="Y59" s="28"/>
      <c r="Z59" s="28"/>
      <c r="AA59" s="28"/>
      <c r="AB59" s="28"/>
      <c r="AC59" s="28"/>
    </row>
    <row r="60" spans="2:29" outlineLevel="1" x14ac:dyDescent="0.25">
      <c r="B60" s="27">
        <v>47</v>
      </c>
      <c r="C60" s="48"/>
      <c r="D60" s="48"/>
      <c r="E60" s="48"/>
      <c r="F60" s="48"/>
      <c r="G60" s="48"/>
      <c r="H60" s="48"/>
      <c r="I60" s="48"/>
      <c r="J60" s="48"/>
      <c r="K60" s="49"/>
      <c r="L60" s="28"/>
      <c r="M60" s="28"/>
      <c r="N60" s="28"/>
      <c r="O60" s="28"/>
      <c r="P60" s="28"/>
      <c r="Q60" s="28"/>
      <c r="S60" s="28"/>
      <c r="T60" s="33"/>
      <c r="U60" s="28"/>
      <c r="V60" s="28"/>
      <c r="W60" s="28"/>
      <c r="X60" s="28"/>
      <c r="Y60" s="28"/>
      <c r="Z60" s="28"/>
      <c r="AA60" s="28"/>
      <c r="AB60" s="28"/>
      <c r="AC60" s="28"/>
    </row>
    <row r="61" spans="2:29" outlineLevel="1" x14ac:dyDescent="0.25">
      <c r="B61" s="27">
        <v>48</v>
      </c>
      <c r="C61" s="48"/>
      <c r="D61" s="48"/>
      <c r="E61" s="48"/>
      <c r="F61" s="48"/>
      <c r="G61" s="48"/>
      <c r="H61" s="48"/>
      <c r="I61" s="48"/>
      <c r="J61" s="48"/>
      <c r="K61" s="49"/>
      <c r="L61" s="28"/>
      <c r="M61" s="28"/>
      <c r="N61" s="28"/>
      <c r="O61" s="28"/>
      <c r="P61" s="28"/>
      <c r="Q61" s="28"/>
      <c r="S61" s="28"/>
      <c r="T61" s="33"/>
      <c r="U61" s="28"/>
      <c r="V61" s="28"/>
      <c r="W61" s="28"/>
      <c r="X61" s="28"/>
      <c r="Y61" s="28"/>
      <c r="Z61" s="28"/>
      <c r="AA61" s="28"/>
      <c r="AB61" s="28"/>
      <c r="AC61" s="28"/>
    </row>
    <row r="62" spans="2:29" outlineLevel="1" x14ac:dyDescent="0.25">
      <c r="B62" s="27">
        <v>49</v>
      </c>
      <c r="C62" s="48"/>
      <c r="D62" s="48"/>
      <c r="E62" s="48"/>
      <c r="F62" s="48"/>
      <c r="G62" s="48"/>
      <c r="H62" s="48"/>
      <c r="I62" s="48"/>
      <c r="J62" s="48"/>
      <c r="K62" s="49"/>
      <c r="L62" s="28"/>
      <c r="M62" s="28"/>
      <c r="N62" s="28"/>
      <c r="O62" s="28"/>
      <c r="P62" s="28"/>
      <c r="Q62" s="28"/>
      <c r="S62" s="28"/>
      <c r="T62" s="33"/>
      <c r="U62" s="28"/>
      <c r="V62" s="28"/>
      <c r="W62" s="28"/>
      <c r="X62" s="28"/>
      <c r="Y62" s="28"/>
      <c r="Z62" s="28"/>
      <c r="AA62" s="28"/>
      <c r="AB62" s="28"/>
      <c r="AC62" s="28"/>
    </row>
    <row r="63" spans="2:29" outlineLevel="1" x14ac:dyDescent="0.25">
      <c r="B63" s="27">
        <v>50</v>
      </c>
      <c r="C63" s="48"/>
      <c r="D63" s="48"/>
      <c r="E63" s="48"/>
      <c r="F63" s="48"/>
      <c r="G63" s="48"/>
      <c r="H63" s="48"/>
      <c r="I63" s="48"/>
      <c r="J63" s="48"/>
      <c r="K63" s="49"/>
      <c r="L63" s="28"/>
      <c r="M63" s="28"/>
      <c r="N63" s="28"/>
      <c r="O63" s="28"/>
      <c r="P63" s="28"/>
      <c r="Q63" s="28"/>
      <c r="S63" s="28"/>
      <c r="T63" s="33"/>
      <c r="U63" s="28"/>
      <c r="V63" s="28"/>
      <c r="W63" s="28"/>
      <c r="X63" s="28"/>
      <c r="Y63" s="28"/>
      <c r="Z63" s="28"/>
      <c r="AA63" s="28"/>
      <c r="AB63" s="28"/>
      <c r="AC63" s="28"/>
    </row>
    <row r="64" spans="2:29" outlineLevel="1" x14ac:dyDescent="0.25">
      <c r="B64" s="27">
        <v>51</v>
      </c>
      <c r="C64" s="48"/>
      <c r="D64" s="48"/>
      <c r="E64" s="48"/>
      <c r="F64" s="48"/>
      <c r="G64" s="48"/>
      <c r="H64" s="48"/>
      <c r="I64" s="48"/>
      <c r="J64" s="48"/>
      <c r="K64" s="49"/>
      <c r="L64" s="28"/>
      <c r="M64" s="28"/>
      <c r="N64" s="28"/>
      <c r="O64" s="28"/>
      <c r="P64" s="28"/>
      <c r="Q64" s="28"/>
      <c r="S64" s="28"/>
      <c r="T64" s="33"/>
      <c r="U64" s="28"/>
      <c r="V64" s="28"/>
      <c r="W64" s="28"/>
      <c r="X64" s="28"/>
      <c r="Y64" s="28"/>
      <c r="Z64" s="28"/>
      <c r="AA64" s="28"/>
      <c r="AB64" s="28"/>
      <c r="AC64" s="28"/>
    </row>
    <row r="65" spans="2:29" outlineLevel="1" x14ac:dyDescent="0.25">
      <c r="B65" s="27">
        <v>52</v>
      </c>
      <c r="C65" s="48"/>
      <c r="D65" s="48"/>
      <c r="E65" s="48"/>
      <c r="F65" s="48"/>
      <c r="G65" s="48"/>
      <c r="H65" s="48"/>
      <c r="I65" s="48"/>
      <c r="J65" s="48"/>
      <c r="K65" s="49"/>
      <c r="L65" s="28"/>
      <c r="M65" s="28"/>
      <c r="N65" s="28"/>
      <c r="O65" s="28"/>
      <c r="P65" s="28"/>
      <c r="Q65" s="28"/>
      <c r="S65" s="28"/>
      <c r="T65" s="33"/>
      <c r="U65" s="28"/>
      <c r="V65" s="28"/>
      <c r="W65" s="28"/>
      <c r="X65" s="28"/>
      <c r="Y65" s="28"/>
      <c r="Z65" s="28"/>
      <c r="AA65" s="28"/>
      <c r="AB65" s="28"/>
      <c r="AC65" s="28"/>
    </row>
    <row r="66" spans="2:29" outlineLevel="1" x14ac:dyDescent="0.25">
      <c r="B66" s="27">
        <v>53</v>
      </c>
      <c r="C66" s="48"/>
      <c r="D66" s="48"/>
      <c r="E66" s="48"/>
      <c r="F66" s="48"/>
      <c r="G66" s="48"/>
      <c r="H66" s="48"/>
      <c r="I66" s="48"/>
      <c r="J66" s="48"/>
      <c r="K66" s="49"/>
      <c r="L66" s="28"/>
      <c r="M66" s="28"/>
      <c r="N66" s="28"/>
      <c r="O66" s="28"/>
      <c r="P66" s="28"/>
      <c r="Q66" s="28"/>
      <c r="S66" s="28"/>
      <c r="T66" s="33"/>
      <c r="U66" s="28"/>
      <c r="V66" s="28"/>
      <c r="W66" s="28"/>
      <c r="X66" s="28"/>
      <c r="Y66" s="28"/>
      <c r="Z66" s="28"/>
      <c r="AA66" s="28"/>
      <c r="AB66" s="28"/>
      <c r="AC66" s="28"/>
    </row>
    <row r="67" spans="2:29" outlineLevel="1" x14ac:dyDescent="0.25">
      <c r="B67" s="27">
        <v>54</v>
      </c>
      <c r="C67" s="48"/>
      <c r="D67" s="48"/>
      <c r="E67" s="48"/>
      <c r="F67" s="48"/>
      <c r="G67" s="48"/>
      <c r="H67" s="48"/>
      <c r="I67" s="48"/>
      <c r="J67" s="48"/>
      <c r="K67" s="49"/>
      <c r="L67" s="28"/>
      <c r="M67" s="28"/>
      <c r="N67" s="28"/>
      <c r="O67" s="28"/>
      <c r="P67" s="28"/>
      <c r="Q67" s="28"/>
      <c r="S67" s="28"/>
      <c r="T67" s="33"/>
      <c r="U67" s="28"/>
      <c r="V67" s="28"/>
      <c r="W67" s="28"/>
      <c r="X67" s="28"/>
      <c r="Y67" s="28"/>
      <c r="Z67" s="28"/>
      <c r="AA67" s="28"/>
      <c r="AB67" s="28"/>
      <c r="AC67" s="28"/>
    </row>
    <row r="68" spans="2:29" outlineLevel="1" x14ac:dyDescent="0.25">
      <c r="B68" s="27">
        <v>55</v>
      </c>
      <c r="C68" s="48"/>
      <c r="D68" s="48"/>
      <c r="E68" s="48"/>
      <c r="F68" s="48"/>
      <c r="G68" s="48"/>
      <c r="H68" s="48"/>
      <c r="I68" s="48"/>
      <c r="J68" s="48"/>
      <c r="K68" s="49"/>
      <c r="L68" s="28"/>
      <c r="M68" s="28"/>
      <c r="N68" s="28"/>
      <c r="O68" s="28"/>
      <c r="P68" s="28"/>
      <c r="Q68" s="28"/>
      <c r="S68" s="28"/>
      <c r="T68" s="33"/>
      <c r="U68" s="28"/>
      <c r="V68" s="28"/>
      <c r="W68" s="28"/>
      <c r="X68" s="28"/>
      <c r="Y68" s="28"/>
      <c r="Z68" s="28"/>
      <c r="AA68" s="28"/>
      <c r="AB68" s="28"/>
      <c r="AC68" s="28"/>
    </row>
    <row r="69" spans="2:29" outlineLevel="1" x14ac:dyDescent="0.25">
      <c r="B69" s="27">
        <v>56</v>
      </c>
      <c r="C69" s="48"/>
      <c r="D69" s="48"/>
      <c r="E69" s="48"/>
      <c r="F69" s="48"/>
      <c r="G69" s="48"/>
      <c r="H69" s="48"/>
      <c r="I69" s="48"/>
      <c r="J69" s="48"/>
      <c r="K69" s="49"/>
      <c r="L69" s="28"/>
      <c r="M69" s="28"/>
      <c r="N69" s="28"/>
      <c r="O69" s="28"/>
      <c r="P69" s="28"/>
      <c r="Q69" s="28"/>
      <c r="S69" s="28"/>
      <c r="T69" s="33"/>
      <c r="U69" s="28"/>
      <c r="V69" s="28"/>
      <c r="W69" s="28"/>
      <c r="X69" s="28"/>
      <c r="Y69" s="28"/>
      <c r="Z69" s="28"/>
      <c r="AA69" s="28"/>
      <c r="AB69" s="28"/>
      <c r="AC69" s="28"/>
    </row>
    <row r="70" spans="2:29" outlineLevel="1" x14ac:dyDescent="0.25">
      <c r="B70" s="27">
        <v>57</v>
      </c>
      <c r="C70" s="48"/>
      <c r="D70" s="48"/>
      <c r="E70" s="48"/>
      <c r="F70" s="48"/>
      <c r="G70" s="48"/>
      <c r="H70" s="48"/>
      <c r="I70" s="48"/>
      <c r="J70" s="48"/>
      <c r="K70" s="49"/>
      <c r="L70" s="28"/>
      <c r="M70" s="28"/>
      <c r="N70" s="28"/>
      <c r="O70" s="28"/>
      <c r="P70" s="28"/>
      <c r="Q70" s="28"/>
      <c r="S70" s="28"/>
      <c r="T70" s="33"/>
      <c r="U70" s="28"/>
      <c r="V70" s="28"/>
      <c r="W70" s="28"/>
      <c r="X70" s="28"/>
      <c r="Y70" s="28"/>
      <c r="Z70" s="28"/>
      <c r="AA70" s="28"/>
      <c r="AB70" s="28"/>
      <c r="AC70" s="28"/>
    </row>
    <row r="71" spans="2:29" outlineLevel="1" x14ac:dyDescent="0.25">
      <c r="B71" s="27">
        <v>58</v>
      </c>
      <c r="C71" s="48"/>
      <c r="D71" s="48"/>
      <c r="E71" s="48"/>
      <c r="F71" s="48"/>
      <c r="G71" s="48"/>
      <c r="H71" s="48"/>
      <c r="I71" s="48"/>
      <c r="J71" s="48"/>
      <c r="K71" s="49"/>
      <c r="L71" s="28"/>
      <c r="M71" s="28"/>
      <c r="N71" s="28"/>
      <c r="O71" s="28"/>
      <c r="P71" s="28"/>
      <c r="Q71" s="28"/>
      <c r="S71" s="28"/>
      <c r="T71" s="33"/>
      <c r="U71" s="28"/>
      <c r="V71" s="28"/>
      <c r="W71" s="28"/>
      <c r="X71" s="28"/>
      <c r="Y71" s="28"/>
      <c r="Z71" s="28"/>
      <c r="AA71" s="28"/>
      <c r="AB71" s="28"/>
      <c r="AC71" s="28"/>
    </row>
    <row r="72" spans="2:29" outlineLevel="1" x14ac:dyDescent="0.25">
      <c r="B72" s="27">
        <v>59</v>
      </c>
      <c r="C72" s="48"/>
      <c r="D72" s="48"/>
      <c r="E72" s="48"/>
      <c r="F72" s="48"/>
      <c r="G72" s="48"/>
      <c r="H72" s="48"/>
      <c r="I72" s="48"/>
      <c r="J72" s="48"/>
      <c r="K72" s="49"/>
      <c r="L72" s="28"/>
      <c r="M72" s="28"/>
      <c r="N72" s="28"/>
      <c r="O72" s="28"/>
      <c r="P72" s="28"/>
      <c r="Q72" s="28"/>
      <c r="S72" s="28"/>
      <c r="T72" s="33"/>
      <c r="U72" s="28"/>
      <c r="V72" s="28"/>
      <c r="W72" s="28"/>
      <c r="X72" s="28"/>
      <c r="Y72" s="28"/>
      <c r="Z72" s="28"/>
      <c r="AA72" s="28"/>
      <c r="AB72" s="28"/>
      <c r="AC72" s="28"/>
    </row>
    <row r="73" spans="2:29" outlineLevel="1" x14ac:dyDescent="0.25">
      <c r="B73" s="27">
        <v>60</v>
      </c>
      <c r="C73" s="48"/>
      <c r="D73" s="48"/>
      <c r="E73" s="48"/>
      <c r="F73" s="48"/>
      <c r="G73" s="48"/>
      <c r="H73" s="48"/>
      <c r="I73" s="48"/>
      <c r="J73" s="48"/>
      <c r="K73" s="49"/>
      <c r="L73" s="28"/>
      <c r="M73" s="28"/>
      <c r="N73" s="28"/>
      <c r="O73" s="28"/>
      <c r="P73" s="28"/>
      <c r="Q73" s="28"/>
      <c r="S73" s="28"/>
      <c r="T73" s="33"/>
      <c r="U73" s="28"/>
      <c r="V73" s="28"/>
      <c r="W73" s="28"/>
      <c r="X73" s="28"/>
      <c r="Y73" s="28"/>
      <c r="Z73" s="28"/>
      <c r="AA73" s="28"/>
      <c r="AB73" s="28"/>
      <c r="AC73" s="28"/>
    </row>
    <row r="74" spans="2:29" outlineLevel="1" x14ac:dyDescent="0.25">
      <c r="B74" s="27">
        <v>61</v>
      </c>
      <c r="C74" s="48"/>
      <c r="D74" s="48"/>
      <c r="E74" s="48"/>
      <c r="F74" s="48"/>
      <c r="G74" s="48"/>
      <c r="H74" s="48"/>
      <c r="I74" s="48"/>
      <c r="J74" s="48"/>
      <c r="K74" s="49"/>
      <c r="L74" s="28"/>
      <c r="M74" s="28"/>
      <c r="N74" s="28"/>
      <c r="O74" s="28"/>
      <c r="P74" s="28"/>
      <c r="Q74" s="28"/>
      <c r="S74" s="28"/>
      <c r="T74" s="33"/>
      <c r="U74" s="28"/>
      <c r="V74" s="28"/>
      <c r="W74" s="28"/>
      <c r="X74" s="28"/>
      <c r="Y74" s="28"/>
      <c r="Z74" s="28"/>
      <c r="AA74" s="28"/>
      <c r="AB74" s="28"/>
      <c r="AC74" s="28"/>
    </row>
    <row r="75" spans="2:29" outlineLevel="1" x14ac:dyDescent="0.25">
      <c r="B75" s="27">
        <v>62</v>
      </c>
      <c r="C75" s="48"/>
      <c r="D75" s="48"/>
      <c r="E75" s="48"/>
      <c r="F75" s="48"/>
      <c r="G75" s="48"/>
      <c r="H75" s="48"/>
      <c r="I75" s="48"/>
      <c r="J75" s="48"/>
      <c r="K75" s="49"/>
      <c r="L75" s="28"/>
      <c r="M75" s="28"/>
      <c r="N75" s="28"/>
      <c r="O75" s="28"/>
      <c r="P75" s="28"/>
      <c r="Q75" s="28"/>
      <c r="S75" s="28"/>
      <c r="T75" s="33"/>
      <c r="U75" s="28"/>
      <c r="V75" s="28"/>
      <c r="W75" s="28"/>
      <c r="X75" s="28"/>
      <c r="Y75" s="28"/>
      <c r="Z75" s="28"/>
      <c r="AA75" s="28"/>
      <c r="AB75" s="28"/>
      <c r="AC75" s="28"/>
    </row>
    <row r="76" spans="2:29" outlineLevel="1" x14ac:dyDescent="0.25">
      <c r="B76" s="27">
        <v>63</v>
      </c>
      <c r="C76" s="48"/>
      <c r="D76" s="48"/>
      <c r="E76" s="48"/>
      <c r="F76" s="48"/>
      <c r="G76" s="48"/>
      <c r="H76" s="48"/>
      <c r="I76" s="48"/>
      <c r="J76" s="48"/>
      <c r="K76" s="49"/>
      <c r="L76" s="28"/>
      <c r="M76" s="28"/>
      <c r="N76" s="28"/>
      <c r="O76" s="28"/>
      <c r="P76" s="28"/>
      <c r="Q76" s="28"/>
      <c r="S76" s="28"/>
      <c r="T76" s="33"/>
      <c r="U76" s="28"/>
      <c r="V76" s="28"/>
      <c r="W76" s="28"/>
      <c r="X76" s="28"/>
      <c r="Y76" s="28"/>
      <c r="Z76" s="28"/>
      <c r="AA76" s="28"/>
      <c r="AB76" s="28"/>
      <c r="AC76" s="28"/>
    </row>
    <row r="77" spans="2:29" outlineLevel="1" x14ac:dyDescent="0.25">
      <c r="B77" s="27">
        <v>64</v>
      </c>
      <c r="C77" s="48"/>
      <c r="D77" s="48"/>
      <c r="E77" s="48"/>
      <c r="F77" s="48"/>
      <c r="G77" s="48"/>
      <c r="H77" s="48"/>
      <c r="I77" s="48"/>
      <c r="J77" s="48"/>
      <c r="K77" s="49"/>
      <c r="L77" s="28"/>
      <c r="M77" s="28"/>
      <c r="N77" s="28"/>
      <c r="O77" s="28"/>
      <c r="P77" s="28"/>
      <c r="Q77" s="28"/>
      <c r="S77" s="28"/>
      <c r="T77" s="33"/>
      <c r="U77" s="28"/>
      <c r="V77" s="28"/>
      <c r="W77" s="28"/>
      <c r="X77" s="28"/>
      <c r="Y77" s="28"/>
      <c r="Z77" s="28"/>
      <c r="AA77" s="28"/>
      <c r="AB77" s="28"/>
      <c r="AC77" s="28"/>
    </row>
    <row r="78" spans="2:29" outlineLevel="1" x14ac:dyDescent="0.25">
      <c r="B78" s="27">
        <v>65</v>
      </c>
      <c r="C78" s="48"/>
      <c r="D78" s="48"/>
      <c r="E78" s="48"/>
      <c r="F78" s="48"/>
      <c r="G78" s="48"/>
      <c r="H78" s="48"/>
      <c r="I78" s="48"/>
      <c r="J78" s="48"/>
      <c r="K78" s="49"/>
      <c r="L78" s="28"/>
      <c r="M78" s="28"/>
      <c r="N78" s="28"/>
      <c r="O78" s="28"/>
      <c r="P78" s="28"/>
      <c r="Q78" s="28"/>
      <c r="S78" s="28"/>
      <c r="T78" s="33"/>
      <c r="U78" s="28"/>
      <c r="V78" s="28"/>
      <c r="W78" s="28"/>
      <c r="X78" s="28"/>
      <c r="Y78" s="28"/>
      <c r="Z78" s="28"/>
      <c r="AA78" s="28"/>
      <c r="AB78" s="28"/>
      <c r="AC78" s="28"/>
    </row>
    <row r="79" spans="2:29" outlineLevel="1" x14ac:dyDescent="0.25">
      <c r="B79" s="27">
        <v>66</v>
      </c>
      <c r="C79" s="48"/>
      <c r="D79" s="48"/>
      <c r="E79" s="48"/>
      <c r="F79" s="48"/>
      <c r="G79" s="48"/>
      <c r="H79" s="48"/>
      <c r="I79" s="48"/>
      <c r="J79" s="48"/>
      <c r="K79" s="49"/>
      <c r="L79" s="28"/>
      <c r="M79" s="28"/>
      <c r="N79" s="28"/>
      <c r="O79" s="28"/>
      <c r="P79" s="28"/>
      <c r="Q79" s="28"/>
      <c r="S79" s="28"/>
      <c r="T79" s="33"/>
      <c r="U79" s="28"/>
      <c r="V79" s="28"/>
      <c r="W79" s="28"/>
      <c r="X79" s="28"/>
      <c r="Y79" s="28"/>
      <c r="Z79" s="28"/>
      <c r="AA79" s="28"/>
      <c r="AB79" s="28"/>
      <c r="AC79" s="28"/>
    </row>
    <row r="80" spans="2:29" outlineLevel="1" x14ac:dyDescent="0.25">
      <c r="B80" s="27">
        <v>67</v>
      </c>
      <c r="C80" s="48"/>
      <c r="D80" s="48"/>
      <c r="E80" s="48"/>
      <c r="F80" s="48"/>
      <c r="G80" s="48"/>
      <c r="H80" s="48"/>
      <c r="I80" s="48"/>
      <c r="J80" s="48"/>
      <c r="K80" s="49"/>
      <c r="L80" s="28"/>
      <c r="M80" s="28"/>
      <c r="N80" s="28"/>
      <c r="O80" s="28"/>
      <c r="P80" s="28"/>
      <c r="Q80" s="28"/>
      <c r="S80" s="28"/>
      <c r="T80" s="33"/>
      <c r="U80" s="28"/>
      <c r="V80" s="28"/>
      <c r="W80" s="28"/>
      <c r="X80" s="28"/>
      <c r="Y80" s="28"/>
      <c r="Z80" s="28"/>
      <c r="AA80" s="28"/>
      <c r="AB80" s="28"/>
      <c r="AC80" s="28"/>
    </row>
    <row r="81" spans="2:29" outlineLevel="1" x14ac:dyDescent="0.25">
      <c r="B81" s="27">
        <v>68</v>
      </c>
      <c r="C81" s="48"/>
      <c r="D81" s="48"/>
      <c r="E81" s="48"/>
      <c r="F81" s="48"/>
      <c r="G81" s="48"/>
      <c r="H81" s="48"/>
      <c r="I81" s="48"/>
      <c r="J81" s="48"/>
      <c r="K81" s="49"/>
      <c r="L81" s="28"/>
      <c r="M81" s="28"/>
      <c r="N81" s="28"/>
      <c r="O81" s="28"/>
      <c r="P81" s="28"/>
      <c r="Q81" s="28"/>
      <c r="S81" s="28"/>
      <c r="T81" s="33"/>
      <c r="U81" s="28"/>
      <c r="V81" s="28"/>
      <c r="W81" s="28"/>
      <c r="X81" s="28"/>
      <c r="Y81" s="28"/>
      <c r="Z81" s="28"/>
      <c r="AA81" s="28"/>
      <c r="AB81" s="28"/>
      <c r="AC81" s="28"/>
    </row>
    <row r="82" spans="2:29" outlineLevel="1" x14ac:dyDescent="0.25">
      <c r="B82" s="27">
        <v>69</v>
      </c>
      <c r="C82" s="48"/>
      <c r="D82" s="48"/>
      <c r="E82" s="48"/>
      <c r="F82" s="48"/>
      <c r="G82" s="48"/>
      <c r="H82" s="48"/>
      <c r="I82" s="48"/>
      <c r="J82" s="48"/>
      <c r="K82" s="49"/>
      <c r="L82" s="28"/>
      <c r="M82" s="28"/>
      <c r="N82" s="28"/>
      <c r="O82" s="28"/>
      <c r="P82" s="28"/>
      <c r="Q82" s="28"/>
      <c r="S82" s="28"/>
      <c r="T82" s="33"/>
      <c r="U82" s="28"/>
      <c r="V82" s="28"/>
      <c r="W82" s="28"/>
      <c r="X82" s="28"/>
      <c r="Y82" s="28"/>
      <c r="Z82" s="28"/>
      <c r="AA82" s="28"/>
      <c r="AB82" s="28"/>
      <c r="AC82" s="28"/>
    </row>
    <row r="83" spans="2:29" outlineLevel="1" x14ac:dyDescent="0.25">
      <c r="B83" s="27">
        <v>70</v>
      </c>
      <c r="C83" s="48"/>
      <c r="D83" s="48"/>
      <c r="E83" s="48"/>
      <c r="F83" s="48"/>
      <c r="G83" s="48"/>
      <c r="H83" s="48"/>
      <c r="I83" s="48"/>
      <c r="J83" s="48"/>
      <c r="K83" s="49"/>
      <c r="L83" s="28"/>
      <c r="M83" s="28"/>
      <c r="N83" s="28"/>
      <c r="O83" s="28"/>
      <c r="P83" s="28"/>
      <c r="Q83" s="28"/>
      <c r="S83" s="28"/>
      <c r="T83" s="33"/>
      <c r="U83" s="28"/>
      <c r="V83" s="28"/>
      <c r="W83" s="28"/>
      <c r="X83" s="28"/>
      <c r="Y83" s="28"/>
      <c r="Z83" s="28"/>
      <c r="AA83" s="28"/>
      <c r="AB83" s="28"/>
      <c r="AC83" s="28"/>
    </row>
    <row r="84" spans="2:29" outlineLevel="1" x14ac:dyDescent="0.25">
      <c r="B84" s="27">
        <v>71</v>
      </c>
      <c r="C84" s="48"/>
      <c r="D84" s="48"/>
      <c r="E84" s="48"/>
      <c r="F84" s="48"/>
      <c r="G84" s="48"/>
      <c r="H84" s="48"/>
      <c r="I84" s="48"/>
      <c r="J84" s="48"/>
      <c r="K84" s="49"/>
      <c r="L84" s="28"/>
      <c r="M84" s="28"/>
      <c r="N84" s="28"/>
      <c r="O84" s="28"/>
      <c r="P84" s="28"/>
      <c r="Q84" s="28"/>
      <c r="S84" s="28"/>
      <c r="T84" s="33"/>
      <c r="U84" s="28"/>
      <c r="V84" s="28"/>
      <c r="W84" s="28"/>
      <c r="X84" s="28"/>
      <c r="Y84" s="28"/>
      <c r="Z84" s="28"/>
      <c r="AA84" s="28"/>
      <c r="AB84" s="28"/>
      <c r="AC84" s="28"/>
    </row>
    <row r="85" spans="2:29" outlineLevel="1" x14ac:dyDescent="0.25">
      <c r="B85" s="27">
        <v>72</v>
      </c>
      <c r="C85" s="48"/>
      <c r="D85" s="48"/>
      <c r="E85" s="48"/>
      <c r="F85" s="48"/>
      <c r="G85" s="48"/>
      <c r="H85" s="48"/>
      <c r="I85" s="48"/>
      <c r="J85" s="48"/>
      <c r="K85" s="49"/>
      <c r="L85" s="28"/>
      <c r="M85" s="28"/>
      <c r="N85" s="28"/>
      <c r="O85" s="28"/>
      <c r="P85" s="28"/>
      <c r="Q85" s="28"/>
      <c r="S85" s="28"/>
      <c r="T85" s="33"/>
      <c r="U85" s="28"/>
      <c r="V85" s="28"/>
      <c r="W85" s="28"/>
      <c r="X85" s="28"/>
      <c r="Y85" s="28"/>
      <c r="Z85" s="28"/>
      <c r="AA85" s="28"/>
      <c r="AB85" s="28"/>
      <c r="AC85" s="28"/>
    </row>
    <row r="86" spans="2:29" outlineLevel="1" x14ac:dyDescent="0.25">
      <c r="B86" s="27">
        <v>73</v>
      </c>
      <c r="C86" s="48"/>
      <c r="D86" s="48"/>
      <c r="E86" s="48"/>
      <c r="F86" s="48"/>
      <c r="G86" s="48"/>
      <c r="H86" s="48"/>
      <c r="I86" s="48"/>
      <c r="J86" s="48"/>
      <c r="K86" s="49"/>
      <c r="L86" s="28"/>
      <c r="M86" s="28"/>
      <c r="N86" s="28"/>
      <c r="O86" s="28"/>
      <c r="P86" s="28"/>
      <c r="Q86" s="28"/>
      <c r="S86" s="28"/>
      <c r="T86" s="33"/>
      <c r="U86" s="28"/>
      <c r="V86" s="28"/>
      <c r="W86" s="28"/>
      <c r="X86" s="28"/>
      <c r="Y86" s="28"/>
      <c r="Z86" s="28"/>
      <c r="AA86" s="28"/>
      <c r="AB86" s="28"/>
      <c r="AC86" s="28"/>
    </row>
    <row r="87" spans="2:29" outlineLevel="1" x14ac:dyDescent="0.25">
      <c r="B87" s="27">
        <v>74</v>
      </c>
      <c r="C87" s="48"/>
      <c r="D87" s="48"/>
      <c r="E87" s="48"/>
      <c r="F87" s="48"/>
      <c r="G87" s="48"/>
      <c r="H87" s="48"/>
      <c r="I87" s="48"/>
      <c r="J87" s="48"/>
      <c r="K87" s="49"/>
      <c r="L87" s="28"/>
      <c r="M87" s="28"/>
      <c r="N87" s="28"/>
      <c r="O87" s="28"/>
      <c r="P87" s="28"/>
      <c r="Q87" s="28"/>
      <c r="S87" s="28"/>
      <c r="T87" s="33"/>
      <c r="U87" s="28"/>
      <c r="V87" s="28"/>
      <c r="W87" s="28"/>
      <c r="X87" s="28"/>
      <c r="Y87" s="28"/>
      <c r="Z87" s="28"/>
      <c r="AA87" s="28"/>
      <c r="AB87" s="28"/>
      <c r="AC87" s="28"/>
    </row>
    <row r="88" spans="2:29" outlineLevel="1" x14ac:dyDescent="0.25">
      <c r="B88" s="27">
        <v>75</v>
      </c>
      <c r="C88" s="48"/>
      <c r="D88" s="48"/>
      <c r="E88" s="48"/>
      <c r="F88" s="48"/>
      <c r="G88" s="48"/>
      <c r="H88" s="48"/>
      <c r="I88" s="48"/>
      <c r="J88" s="48"/>
      <c r="K88" s="49"/>
      <c r="L88" s="28"/>
      <c r="M88" s="28"/>
      <c r="N88" s="28"/>
      <c r="O88" s="28"/>
      <c r="P88" s="28"/>
      <c r="Q88" s="28"/>
      <c r="S88" s="28"/>
      <c r="T88" s="33"/>
      <c r="U88" s="28"/>
      <c r="V88" s="28"/>
      <c r="W88" s="28"/>
      <c r="X88" s="28"/>
      <c r="Y88" s="28"/>
      <c r="Z88" s="28"/>
      <c r="AA88" s="28"/>
      <c r="AB88" s="28"/>
      <c r="AC88" s="28"/>
    </row>
    <row r="89" spans="2:29" outlineLevel="1" x14ac:dyDescent="0.25">
      <c r="B89" s="27">
        <v>76</v>
      </c>
      <c r="C89" s="48"/>
      <c r="D89" s="48"/>
      <c r="E89" s="48"/>
      <c r="F89" s="48"/>
      <c r="G89" s="48"/>
      <c r="H89" s="48"/>
      <c r="I89" s="48"/>
      <c r="J89" s="48"/>
      <c r="K89" s="49"/>
      <c r="L89" s="28"/>
      <c r="M89" s="28"/>
      <c r="N89" s="28"/>
      <c r="O89" s="28"/>
      <c r="P89" s="28"/>
      <c r="Q89" s="28"/>
      <c r="S89" s="28"/>
      <c r="T89" s="33"/>
      <c r="U89" s="28"/>
      <c r="V89" s="28"/>
      <c r="W89" s="28"/>
      <c r="X89" s="28"/>
      <c r="Y89" s="28"/>
      <c r="Z89" s="28"/>
      <c r="AA89" s="28"/>
      <c r="AB89" s="28"/>
      <c r="AC89" s="28"/>
    </row>
    <row r="90" spans="2:29" outlineLevel="1" x14ac:dyDescent="0.25">
      <c r="B90" s="27">
        <v>77</v>
      </c>
      <c r="C90" s="48"/>
      <c r="D90" s="48"/>
      <c r="E90" s="48"/>
      <c r="F90" s="48"/>
      <c r="G90" s="48"/>
      <c r="H90" s="48"/>
      <c r="I90" s="48"/>
      <c r="J90" s="48"/>
      <c r="K90" s="49"/>
      <c r="L90" s="28"/>
      <c r="M90" s="28"/>
      <c r="N90" s="28"/>
      <c r="O90" s="28"/>
      <c r="P90" s="28"/>
      <c r="Q90" s="28"/>
      <c r="S90" s="28"/>
      <c r="T90" s="33"/>
      <c r="U90" s="28"/>
      <c r="V90" s="28"/>
      <c r="W90" s="28"/>
      <c r="X90" s="28"/>
      <c r="Y90" s="28"/>
      <c r="Z90" s="28"/>
      <c r="AA90" s="28"/>
      <c r="AB90" s="28"/>
      <c r="AC90" s="28"/>
    </row>
    <row r="91" spans="2:29" outlineLevel="1" x14ac:dyDescent="0.25">
      <c r="B91" s="27">
        <v>78</v>
      </c>
      <c r="C91" s="48"/>
      <c r="D91" s="48"/>
      <c r="E91" s="48"/>
      <c r="F91" s="48"/>
      <c r="G91" s="48"/>
      <c r="H91" s="48"/>
      <c r="I91" s="48"/>
      <c r="J91" s="48"/>
      <c r="K91" s="49"/>
      <c r="L91" s="28"/>
      <c r="M91" s="28"/>
      <c r="N91" s="28"/>
      <c r="O91" s="28"/>
      <c r="P91" s="28"/>
      <c r="Q91" s="28"/>
      <c r="S91" s="28"/>
      <c r="T91" s="33"/>
      <c r="U91" s="28"/>
      <c r="V91" s="28"/>
      <c r="W91" s="28"/>
      <c r="X91" s="28"/>
      <c r="Y91" s="28"/>
      <c r="Z91" s="28"/>
      <c r="AA91" s="28"/>
      <c r="AB91" s="28"/>
      <c r="AC91" s="28"/>
    </row>
    <row r="92" spans="2:29" outlineLevel="1" x14ac:dyDescent="0.25">
      <c r="B92" s="27">
        <v>79</v>
      </c>
      <c r="C92" s="48"/>
      <c r="D92" s="48"/>
      <c r="E92" s="48"/>
      <c r="F92" s="48"/>
      <c r="G92" s="48"/>
      <c r="H92" s="48"/>
      <c r="I92" s="48"/>
      <c r="J92" s="48"/>
      <c r="K92" s="49"/>
      <c r="L92" s="28"/>
      <c r="M92" s="28"/>
      <c r="N92" s="28"/>
      <c r="O92" s="28"/>
      <c r="P92" s="28"/>
      <c r="Q92" s="28"/>
      <c r="S92" s="28"/>
      <c r="T92" s="33"/>
      <c r="U92" s="28"/>
      <c r="V92" s="28"/>
      <c r="W92" s="28"/>
      <c r="X92" s="28"/>
      <c r="Y92" s="28"/>
      <c r="Z92" s="28"/>
      <c r="AA92" s="28"/>
      <c r="AB92" s="28"/>
      <c r="AC92" s="28"/>
    </row>
    <row r="93" spans="2:29" outlineLevel="1" x14ac:dyDescent="0.25">
      <c r="B93" s="27">
        <v>80</v>
      </c>
      <c r="C93" s="48"/>
      <c r="D93" s="48"/>
      <c r="E93" s="48"/>
      <c r="F93" s="48"/>
      <c r="G93" s="48"/>
      <c r="H93" s="48"/>
      <c r="I93" s="48"/>
      <c r="J93" s="48"/>
      <c r="K93" s="49"/>
      <c r="L93" s="28"/>
      <c r="M93" s="28"/>
      <c r="N93" s="28"/>
      <c r="O93" s="28"/>
      <c r="P93" s="28"/>
      <c r="Q93" s="28"/>
      <c r="S93" s="28"/>
      <c r="T93" s="33"/>
      <c r="U93" s="28"/>
      <c r="V93" s="28"/>
      <c r="W93" s="28"/>
      <c r="X93" s="28"/>
      <c r="Y93" s="28"/>
      <c r="Z93" s="28"/>
      <c r="AA93" s="28"/>
      <c r="AB93" s="28"/>
      <c r="AC93" s="28"/>
    </row>
    <row r="94" spans="2:29" outlineLevel="1" x14ac:dyDescent="0.25">
      <c r="B94" s="27">
        <v>81</v>
      </c>
      <c r="C94" s="48"/>
      <c r="D94" s="48"/>
      <c r="E94" s="48"/>
      <c r="F94" s="48"/>
      <c r="G94" s="48"/>
      <c r="H94" s="48"/>
      <c r="I94" s="48"/>
      <c r="J94" s="48"/>
      <c r="K94" s="49"/>
      <c r="L94" s="28"/>
      <c r="M94" s="28"/>
      <c r="N94" s="28"/>
      <c r="O94" s="28"/>
      <c r="P94" s="28"/>
      <c r="Q94" s="28"/>
      <c r="S94" s="28"/>
      <c r="T94" s="33"/>
      <c r="U94" s="28"/>
      <c r="V94" s="28"/>
      <c r="W94" s="28"/>
      <c r="X94" s="28"/>
      <c r="Y94" s="28"/>
      <c r="Z94" s="28"/>
      <c r="AA94" s="28"/>
      <c r="AB94" s="28"/>
      <c r="AC94" s="28"/>
    </row>
    <row r="95" spans="2:29" outlineLevel="1" x14ac:dyDescent="0.25">
      <c r="B95" s="27">
        <v>82</v>
      </c>
      <c r="C95" s="48"/>
      <c r="D95" s="48"/>
      <c r="E95" s="48"/>
      <c r="F95" s="48"/>
      <c r="G95" s="48"/>
      <c r="H95" s="48"/>
      <c r="I95" s="48"/>
      <c r="J95" s="48"/>
      <c r="K95" s="49"/>
      <c r="L95" s="28"/>
      <c r="M95" s="28"/>
      <c r="N95" s="28"/>
      <c r="O95" s="28"/>
      <c r="P95" s="28"/>
      <c r="Q95" s="28"/>
      <c r="S95" s="28"/>
      <c r="T95" s="33"/>
      <c r="U95" s="28"/>
      <c r="V95" s="28"/>
      <c r="W95" s="28"/>
      <c r="X95" s="28"/>
      <c r="Y95" s="28"/>
      <c r="Z95" s="28"/>
      <c r="AA95" s="28"/>
      <c r="AB95" s="28"/>
      <c r="AC95" s="28"/>
    </row>
    <row r="96" spans="2:29" outlineLevel="1" x14ac:dyDescent="0.25">
      <c r="B96" s="27">
        <v>83</v>
      </c>
      <c r="C96" s="48"/>
      <c r="D96" s="48"/>
      <c r="E96" s="48"/>
      <c r="F96" s="48"/>
      <c r="G96" s="48"/>
      <c r="H96" s="48"/>
      <c r="I96" s="48"/>
      <c r="J96" s="48"/>
      <c r="K96" s="49"/>
      <c r="L96" s="28"/>
      <c r="M96" s="28"/>
      <c r="N96" s="28"/>
      <c r="O96" s="28"/>
      <c r="P96" s="28"/>
      <c r="Q96" s="28"/>
      <c r="S96" s="28"/>
      <c r="T96" s="33"/>
      <c r="U96" s="28"/>
      <c r="V96" s="28"/>
      <c r="W96" s="28"/>
      <c r="X96" s="28"/>
      <c r="Y96" s="28"/>
      <c r="Z96" s="28"/>
      <c r="AA96" s="28"/>
      <c r="AB96" s="28"/>
      <c r="AC96" s="28"/>
    </row>
    <row r="97" spans="2:29" outlineLevel="1" x14ac:dyDescent="0.25">
      <c r="B97" s="27">
        <v>84</v>
      </c>
      <c r="C97" s="48"/>
      <c r="D97" s="48"/>
      <c r="E97" s="48"/>
      <c r="F97" s="48"/>
      <c r="G97" s="48"/>
      <c r="H97" s="48"/>
      <c r="I97" s="48"/>
      <c r="J97" s="48"/>
      <c r="K97" s="49"/>
      <c r="L97" s="28"/>
      <c r="M97" s="28"/>
      <c r="N97" s="28"/>
      <c r="O97" s="28"/>
      <c r="P97" s="28"/>
      <c r="Q97" s="28"/>
      <c r="S97" s="28"/>
      <c r="T97" s="33"/>
      <c r="U97" s="28"/>
      <c r="V97" s="28"/>
      <c r="W97" s="28"/>
      <c r="X97" s="28"/>
      <c r="Y97" s="28"/>
      <c r="Z97" s="28"/>
      <c r="AA97" s="28"/>
      <c r="AB97" s="28"/>
      <c r="AC97" s="28"/>
    </row>
    <row r="98" spans="2:29" outlineLevel="1" x14ac:dyDescent="0.25">
      <c r="B98" s="27">
        <v>85</v>
      </c>
      <c r="C98" s="48"/>
      <c r="D98" s="48"/>
      <c r="E98" s="48"/>
      <c r="F98" s="48"/>
      <c r="G98" s="48"/>
      <c r="H98" s="48"/>
      <c r="I98" s="48"/>
      <c r="J98" s="48"/>
      <c r="K98" s="49"/>
      <c r="L98" s="28"/>
      <c r="M98" s="28"/>
      <c r="N98" s="28"/>
      <c r="O98" s="28"/>
      <c r="P98" s="28"/>
      <c r="Q98" s="28"/>
      <c r="S98" s="28"/>
      <c r="T98" s="33"/>
      <c r="U98" s="28"/>
      <c r="V98" s="28"/>
      <c r="W98" s="28"/>
      <c r="X98" s="28"/>
      <c r="Y98" s="28"/>
      <c r="Z98" s="28"/>
      <c r="AA98" s="28"/>
      <c r="AB98" s="28"/>
      <c r="AC98" s="28"/>
    </row>
    <row r="99" spans="2:29" outlineLevel="1" x14ac:dyDescent="0.25">
      <c r="B99" s="27">
        <v>86</v>
      </c>
      <c r="C99" s="48"/>
      <c r="D99" s="48"/>
      <c r="E99" s="48"/>
      <c r="F99" s="48"/>
      <c r="G99" s="48"/>
      <c r="H99" s="48"/>
      <c r="I99" s="48"/>
      <c r="J99" s="48"/>
      <c r="K99" s="49"/>
      <c r="L99" s="28"/>
      <c r="M99" s="28"/>
      <c r="N99" s="28"/>
      <c r="O99" s="28"/>
      <c r="P99" s="28"/>
      <c r="Q99" s="28"/>
      <c r="S99" s="28"/>
      <c r="T99" s="33"/>
      <c r="U99" s="28"/>
      <c r="V99" s="28"/>
      <c r="W99" s="28"/>
      <c r="X99" s="28"/>
      <c r="Y99" s="28"/>
      <c r="Z99" s="28"/>
      <c r="AA99" s="28"/>
      <c r="AB99" s="28"/>
      <c r="AC99" s="28"/>
    </row>
    <row r="100" spans="2:29" outlineLevel="1" x14ac:dyDescent="0.25">
      <c r="B100" s="27">
        <v>87</v>
      </c>
      <c r="C100" s="48"/>
      <c r="D100" s="48"/>
      <c r="E100" s="48"/>
      <c r="F100" s="48"/>
      <c r="G100" s="48"/>
      <c r="H100" s="48"/>
      <c r="I100" s="48"/>
      <c r="J100" s="48"/>
      <c r="K100" s="49"/>
      <c r="L100" s="28"/>
      <c r="M100" s="28"/>
      <c r="N100" s="28"/>
      <c r="O100" s="28"/>
      <c r="P100" s="28"/>
      <c r="Q100" s="28"/>
      <c r="S100" s="28"/>
      <c r="T100" s="33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2:29" outlineLevel="1" x14ac:dyDescent="0.25">
      <c r="B101" s="27">
        <v>88</v>
      </c>
      <c r="C101" s="48"/>
      <c r="D101" s="48"/>
      <c r="E101" s="48"/>
      <c r="F101" s="48"/>
      <c r="G101" s="48"/>
      <c r="H101" s="48"/>
      <c r="I101" s="48"/>
      <c r="J101" s="48"/>
      <c r="K101" s="49"/>
      <c r="L101" s="28"/>
      <c r="M101" s="28"/>
      <c r="N101" s="28"/>
      <c r="O101" s="28"/>
      <c r="P101" s="28"/>
      <c r="Q101" s="28"/>
      <c r="S101" s="28"/>
      <c r="T101" s="33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2:29" outlineLevel="1" x14ac:dyDescent="0.25">
      <c r="B102" s="27">
        <v>89</v>
      </c>
      <c r="C102" s="48"/>
      <c r="D102" s="48"/>
      <c r="E102" s="48"/>
      <c r="F102" s="48"/>
      <c r="G102" s="48"/>
      <c r="H102" s="48"/>
      <c r="I102" s="48"/>
      <c r="J102" s="48"/>
      <c r="K102" s="49"/>
      <c r="L102" s="28"/>
      <c r="M102" s="28"/>
      <c r="N102" s="28"/>
      <c r="O102" s="28"/>
      <c r="P102" s="28"/>
      <c r="Q102" s="28"/>
      <c r="S102" s="28"/>
      <c r="T102" s="33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2:29" outlineLevel="1" x14ac:dyDescent="0.25">
      <c r="B103" s="27">
        <v>90</v>
      </c>
      <c r="C103" s="48"/>
      <c r="D103" s="48"/>
      <c r="E103" s="48"/>
      <c r="F103" s="48"/>
      <c r="G103" s="48"/>
      <c r="H103" s="48"/>
      <c r="I103" s="48"/>
      <c r="J103" s="48"/>
      <c r="K103" s="49"/>
      <c r="L103" s="28"/>
      <c r="M103" s="28"/>
      <c r="N103" s="28"/>
      <c r="O103" s="28"/>
      <c r="P103" s="28"/>
      <c r="Q103" s="28"/>
      <c r="S103" s="28"/>
      <c r="T103" s="33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2:29" outlineLevel="1" x14ac:dyDescent="0.25">
      <c r="B104" s="27">
        <v>91</v>
      </c>
      <c r="C104" s="48"/>
      <c r="D104" s="48"/>
      <c r="E104" s="48"/>
      <c r="F104" s="48"/>
      <c r="G104" s="48"/>
      <c r="H104" s="48"/>
      <c r="I104" s="48"/>
      <c r="J104" s="48"/>
      <c r="K104" s="49"/>
      <c r="L104" s="28"/>
      <c r="M104" s="28"/>
      <c r="N104" s="28"/>
      <c r="O104" s="28"/>
      <c r="P104" s="28"/>
      <c r="Q104" s="28"/>
      <c r="S104" s="28"/>
      <c r="T104" s="33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2:29" outlineLevel="1" x14ac:dyDescent="0.25">
      <c r="B105" s="27">
        <v>92</v>
      </c>
      <c r="C105" s="48"/>
      <c r="D105" s="48"/>
      <c r="E105" s="48"/>
      <c r="F105" s="48"/>
      <c r="G105" s="48"/>
      <c r="H105" s="48"/>
      <c r="I105" s="48"/>
      <c r="J105" s="48"/>
      <c r="K105" s="49"/>
      <c r="L105" s="28"/>
      <c r="M105" s="28"/>
      <c r="N105" s="28"/>
      <c r="O105" s="28"/>
      <c r="P105" s="28"/>
      <c r="Q105" s="28"/>
      <c r="S105" s="28"/>
      <c r="T105" s="33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2:29" outlineLevel="1" x14ac:dyDescent="0.25">
      <c r="B106" s="27">
        <v>93</v>
      </c>
      <c r="C106" s="48"/>
      <c r="D106" s="48"/>
      <c r="E106" s="48"/>
      <c r="F106" s="48"/>
      <c r="G106" s="48"/>
      <c r="H106" s="48"/>
      <c r="I106" s="48"/>
      <c r="J106" s="48"/>
      <c r="K106" s="49"/>
      <c r="L106" s="28"/>
      <c r="M106" s="28"/>
      <c r="N106" s="28"/>
      <c r="O106" s="28"/>
      <c r="P106" s="28"/>
      <c r="Q106" s="28"/>
      <c r="S106" s="28"/>
      <c r="T106" s="33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2:29" outlineLevel="1" x14ac:dyDescent="0.25">
      <c r="B107" s="27">
        <v>94</v>
      </c>
      <c r="C107" s="48"/>
      <c r="D107" s="48"/>
      <c r="E107" s="48"/>
      <c r="F107" s="48"/>
      <c r="G107" s="48"/>
      <c r="H107" s="48"/>
      <c r="I107" s="48"/>
      <c r="J107" s="48"/>
      <c r="K107" s="49"/>
      <c r="L107" s="28"/>
      <c r="M107" s="28"/>
      <c r="N107" s="28"/>
      <c r="O107" s="28"/>
      <c r="P107" s="28"/>
      <c r="Q107" s="28"/>
      <c r="S107" s="28"/>
      <c r="T107" s="33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2:29" outlineLevel="1" x14ac:dyDescent="0.25">
      <c r="B108" s="27">
        <v>95</v>
      </c>
      <c r="C108" s="48"/>
      <c r="D108" s="48"/>
      <c r="E108" s="48"/>
      <c r="F108" s="48"/>
      <c r="G108" s="48"/>
      <c r="H108" s="48"/>
      <c r="I108" s="48"/>
      <c r="J108" s="48"/>
      <c r="K108" s="49"/>
      <c r="L108" s="28"/>
      <c r="M108" s="28"/>
      <c r="N108" s="28"/>
      <c r="O108" s="28"/>
      <c r="P108" s="28"/>
      <c r="Q108" s="28"/>
      <c r="S108" s="28"/>
      <c r="T108" s="33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2:29" outlineLevel="1" x14ac:dyDescent="0.25">
      <c r="B109" s="27">
        <v>96</v>
      </c>
      <c r="C109" s="48"/>
      <c r="D109" s="48"/>
      <c r="E109" s="48"/>
      <c r="F109" s="48"/>
      <c r="G109" s="48"/>
      <c r="H109" s="48"/>
      <c r="I109" s="48"/>
      <c r="J109" s="48"/>
      <c r="K109" s="49"/>
      <c r="L109" s="28"/>
      <c r="M109" s="28"/>
      <c r="N109" s="28"/>
      <c r="O109" s="28"/>
      <c r="P109" s="28"/>
      <c r="Q109" s="28"/>
      <c r="S109" s="28"/>
      <c r="T109" s="33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2:29" outlineLevel="1" x14ac:dyDescent="0.25">
      <c r="B110" s="27">
        <v>97</v>
      </c>
      <c r="C110" s="48"/>
      <c r="D110" s="48"/>
      <c r="E110" s="48"/>
      <c r="F110" s="48"/>
      <c r="G110" s="48"/>
      <c r="H110" s="48"/>
      <c r="I110" s="48"/>
      <c r="J110" s="48"/>
      <c r="K110" s="49"/>
      <c r="L110" s="28"/>
      <c r="M110" s="28"/>
      <c r="N110" s="28"/>
      <c r="O110" s="28"/>
      <c r="P110" s="28"/>
      <c r="Q110" s="28"/>
      <c r="S110" s="28"/>
      <c r="T110" s="33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2:29" outlineLevel="1" x14ac:dyDescent="0.25">
      <c r="B111" s="27">
        <v>98</v>
      </c>
      <c r="C111" s="48"/>
      <c r="D111" s="48"/>
      <c r="E111" s="48"/>
      <c r="F111" s="48"/>
      <c r="G111" s="48"/>
      <c r="H111" s="48"/>
      <c r="I111" s="48"/>
      <c r="J111" s="48"/>
      <c r="K111" s="49"/>
      <c r="L111" s="28"/>
      <c r="M111" s="28"/>
      <c r="N111" s="28"/>
      <c r="O111" s="28"/>
      <c r="P111" s="28"/>
      <c r="Q111" s="28"/>
      <c r="S111" s="28"/>
      <c r="T111" s="33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2:29" outlineLevel="1" x14ac:dyDescent="0.25">
      <c r="B112" s="27">
        <v>99</v>
      </c>
      <c r="C112" s="48"/>
      <c r="D112" s="48"/>
      <c r="E112" s="48"/>
      <c r="F112" s="48"/>
      <c r="G112" s="48"/>
      <c r="H112" s="48"/>
      <c r="I112" s="48"/>
      <c r="J112" s="48"/>
      <c r="K112" s="49"/>
      <c r="L112" s="28"/>
      <c r="M112" s="28"/>
      <c r="N112" s="28"/>
      <c r="O112" s="28"/>
      <c r="P112" s="28"/>
      <c r="Q112" s="28"/>
      <c r="S112" s="28"/>
      <c r="T112" s="33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2:29" outlineLevel="1" x14ac:dyDescent="0.25">
      <c r="B113" s="27">
        <v>100</v>
      </c>
      <c r="C113" s="48"/>
      <c r="D113" s="48"/>
      <c r="E113" s="48"/>
      <c r="F113" s="48"/>
      <c r="G113" s="48"/>
      <c r="H113" s="48"/>
      <c r="I113" s="48"/>
      <c r="J113" s="48"/>
      <c r="K113" s="49"/>
      <c r="L113" s="28"/>
      <c r="M113" s="28"/>
      <c r="N113" s="28"/>
      <c r="O113" s="28"/>
      <c r="P113" s="28"/>
      <c r="Q113" s="28"/>
      <c r="S113" s="28"/>
      <c r="T113" s="33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2:29" outlineLevel="1" x14ac:dyDescent="0.25">
      <c r="B114" s="27">
        <v>101</v>
      </c>
      <c r="C114" s="48"/>
      <c r="D114" s="48"/>
      <c r="E114" s="48"/>
      <c r="F114" s="48"/>
      <c r="G114" s="48"/>
      <c r="H114" s="48"/>
      <c r="I114" s="48"/>
      <c r="J114" s="48"/>
      <c r="K114" s="49"/>
      <c r="L114" s="28"/>
      <c r="M114" s="28"/>
      <c r="N114" s="28"/>
      <c r="O114" s="28"/>
      <c r="P114" s="28"/>
      <c r="Q114" s="28"/>
      <c r="S114" s="28"/>
      <c r="T114" s="33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2:29" outlineLevel="1" x14ac:dyDescent="0.25">
      <c r="B115" s="27">
        <v>102</v>
      </c>
      <c r="C115" s="48"/>
      <c r="D115" s="48"/>
      <c r="E115" s="48"/>
      <c r="F115" s="48"/>
      <c r="G115" s="48"/>
      <c r="H115" s="48"/>
      <c r="I115" s="48"/>
      <c r="J115" s="48"/>
      <c r="K115" s="49"/>
      <c r="L115" s="28"/>
      <c r="M115" s="28"/>
      <c r="N115" s="28"/>
      <c r="O115" s="28"/>
      <c r="P115" s="28"/>
      <c r="Q115" s="28"/>
      <c r="S115" s="28"/>
      <c r="T115" s="33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2:29" outlineLevel="1" x14ac:dyDescent="0.25">
      <c r="B116" s="27">
        <v>103</v>
      </c>
      <c r="C116" s="48"/>
      <c r="D116" s="48"/>
      <c r="E116" s="48"/>
      <c r="F116" s="48"/>
      <c r="G116" s="48"/>
      <c r="H116" s="48"/>
      <c r="I116" s="48"/>
      <c r="J116" s="48"/>
      <c r="K116" s="49"/>
      <c r="L116" s="28"/>
      <c r="M116" s="28"/>
      <c r="N116" s="28"/>
      <c r="O116" s="28"/>
      <c r="P116" s="28"/>
      <c r="Q116" s="28"/>
      <c r="S116" s="28"/>
      <c r="T116" s="33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2:29" outlineLevel="1" x14ac:dyDescent="0.25">
      <c r="B117" s="27">
        <v>104</v>
      </c>
      <c r="C117" s="48"/>
      <c r="D117" s="48"/>
      <c r="E117" s="48"/>
      <c r="F117" s="48"/>
      <c r="G117" s="48"/>
      <c r="H117" s="48"/>
      <c r="I117" s="48"/>
      <c r="J117" s="48"/>
      <c r="K117" s="49"/>
      <c r="L117" s="28"/>
      <c r="M117" s="28"/>
      <c r="N117" s="28"/>
      <c r="O117" s="28"/>
      <c r="P117" s="28"/>
      <c r="Q117" s="28"/>
      <c r="S117" s="28"/>
      <c r="T117" s="33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2:29" outlineLevel="1" x14ac:dyDescent="0.25">
      <c r="B118" s="27">
        <v>105</v>
      </c>
      <c r="C118" s="48"/>
      <c r="D118" s="48"/>
      <c r="E118" s="48"/>
      <c r="F118" s="48"/>
      <c r="G118" s="48"/>
      <c r="H118" s="48"/>
      <c r="I118" s="48"/>
      <c r="J118" s="48"/>
      <c r="K118" s="49"/>
      <c r="L118" s="28"/>
      <c r="M118" s="28"/>
      <c r="N118" s="28"/>
      <c r="O118" s="28"/>
      <c r="P118" s="28"/>
      <c r="Q118" s="28"/>
      <c r="S118" s="28"/>
      <c r="T118" s="33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2:29" outlineLevel="1" x14ac:dyDescent="0.25">
      <c r="B119" s="27">
        <v>106</v>
      </c>
      <c r="C119" s="48"/>
      <c r="D119" s="48"/>
      <c r="E119" s="48"/>
      <c r="F119" s="48"/>
      <c r="G119" s="48"/>
      <c r="H119" s="48"/>
      <c r="I119" s="48"/>
      <c r="J119" s="48"/>
      <c r="K119" s="49"/>
      <c r="L119" s="28"/>
      <c r="M119" s="28"/>
      <c r="N119" s="28"/>
      <c r="O119" s="28"/>
      <c r="P119" s="28"/>
      <c r="Q119" s="28"/>
      <c r="S119" s="28"/>
      <c r="T119" s="33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2:29" outlineLevel="1" x14ac:dyDescent="0.25">
      <c r="B120" s="27">
        <v>107</v>
      </c>
      <c r="C120" s="48"/>
      <c r="D120" s="48"/>
      <c r="E120" s="48"/>
      <c r="F120" s="48"/>
      <c r="G120" s="48"/>
      <c r="H120" s="48"/>
      <c r="I120" s="48"/>
      <c r="J120" s="48"/>
      <c r="K120" s="49"/>
      <c r="L120" s="28"/>
      <c r="M120" s="28"/>
      <c r="N120" s="28"/>
      <c r="O120" s="28"/>
      <c r="P120" s="28"/>
      <c r="Q120" s="28"/>
      <c r="S120" s="28"/>
      <c r="T120" s="33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2:29" outlineLevel="1" x14ac:dyDescent="0.25">
      <c r="B121" s="27">
        <v>108</v>
      </c>
      <c r="C121" s="48"/>
      <c r="D121" s="48"/>
      <c r="E121" s="48"/>
      <c r="F121" s="48"/>
      <c r="G121" s="48"/>
      <c r="H121" s="48"/>
      <c r="I121" s="48"/>
      <c r="J121" s="48"/>
      <c r="K121" s="49"/>
      <c r="L121" s="28"/>
      <c r="M121" s="28"/>
      <c r="N121" s="28"/>
      <c r="O121" s="28"/>
      <c r="P121" s="28"/>
      <c r="Q121" s="28"/>
      <c r="S121" s="28"/>
      <c r="T121" s="33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2:29" outlineLevel="1" x14ac:dyDescent="0.25">
      <c r="B122" s="27">
        <v>109</v>
      </c>
      <c r="C122" s="48"/>
      <c r="D122" s="48"/>
      <c r="E122" s="48"/>
      <c r="F122" s="48"/>
      <c r="G122" s="48"/>
      <c r="H122" s="48"/>
      <c r="I122" s="48"/>
      <c r="J122" s="48"/>
      <c r="K122" s="49"/>
      <c r="L122" s="28"/>
      <c r="M122" s="28"/>
      <c r="N122" s="28"/>
      <c r="O122" s="28"/>
      <c r="P122" s="28"/>
      <c r="Q122" s="28"/>
      <c r="S122" s="28"/>
      <c r="T122" s="33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2:29" outlineLevel="1" x14ac:dyDescent="0.25">
      <c r="B123" s="27">
        <v>110</v>
      </c>
      <c r="C123" s="48"/>
      <c r="D123" s="48"/>
      <c r="E123" s="48"/>
      <c r="F123" s="48"/>
      <c r="G123" s="48"/>
      <c r="H123" s="48"/>
      <c r="I123" s="48"/>
      <c r="J123" s="48"/>
      <c r="K123" s="49"/>
      <c r="L123" s="28"/>
      <c r="M123" s="28"/>
      <c r="N123" s="28"/>
      <c r="O123" s="28"/>
      <c r="P123" s="28"/>
      <c r="Q123" s="28"/>
      <c r="S123" s="28"/>
      <c r="T123" s="33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2:29" outlineLevel="1" x14ac:dyDescent="0.25">
      <c r="B124" s="27">
        <v>111</v>
      </c>
      <c r="C124" s="48"/>
      <c r="D124" s="48"/>
      <c r="E124" s="48"/>
      <c r="F124" s="48"/>
      <c r="G124" s="48"/>
      <c r="H124" s="48"/>
      <c r="I124" s="48"/>
      <c r="J124" s="48"/>
      <c r="K124" s="49"/>
      <c r="L124" s="28"/>
      <c r="M124" s="28"/>
      <c r="N124" s="28"/>
      <c r="O124" s="28"/>
      <c r="P124" s="28"/>
      <c r="Q124" s="28"/>
      <c r="S124" s="28"/>
      <c r="T124" s="33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2:29" outlineLevel="1" x14ac:dyDescent="0.25">
      <c r="B125" s="27">
        <v>112</v>
      </c>
      <c r="C125" s="48"/>
      <c r="D125" s="48"/>
      <c r="E125" s="48"/>
      <c r="F125" s="48"/>
      <c r="G125" s="48"/>
      <c r="H125" s="48"/>
      <c r="I125" s="48"/>
      <c r="J125" s="48"/>
      <c r="K125" s="49"/>
      <c r="L125" s="28"/>
      <c r="M125" s="28"/>
      <c r="N125" s="28"/>
      <c r="O125" s="28"/>
      <c r="P125" s="28"/>
      <c r="Q125" s="28"/>
      <c r="S125" s="28"/>
      <c r="T125" s="33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2:29" outlineLevel="1" x14ac:dyDescent="0.25">
      <c r="B126" s="27">
        <v>113</v>
      </c>
      <c r="C126" s="48"/>
      <c r="D126" s="48"/>
      <c r="E126" s="48"/>
      <c r="F126" s="48"/>
      <c r="G126" s="48"/>
      <c r="H126" s="48"/>
      <c r="I126" s="48"/>
      <c r="J126" s="48"/>
      <c r="K126" s="49"/>
      <c r="L126" s="28"/>
      <c r="M126" s="28"/>
      <c r="N126" s="28"/>
      <c r="O126" s="28"/>
      <c r="P126" s="28"/>
      <c r="Q126" s="28"/>
      <c r="S126" s="28"/>
      <c r="T126" s="33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2:29" outlineLevel="1" x14ac:dyDescent="0.25">
      <c r="B127" s="27">
        <v>114</v>
      </c>
      <c r="C127" s="48"/>
      <c r="D127" s="48"/>
      <c r="E127" s="48"/>
      <c r="F127" s="48"/>
      <c r="G127" s="48"/>
      <c r="H127" s="48"/>
      <c r="I127" s="48"/>
      <c r="J127" s="48"/>
      <c r="K127" s="49"/>
      <c r="L127" s="28"/>
      <c r="M127" s="28"/>
      <c r="N127" s="28"/>
      <c r="O127" s="28"/>
      <c r="P127" s="28"/>
      <c r="Q127" s="28"/>
      <c r="S127" s="28"/>
      <c r="T127" s="33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2:29" outlineLevel="1" x14ac:dyDescent="0.25">
      <c r="B128" s="27">
        <v>115</v>
      </c>
      <c r="C128" s="48"/>
      <c r="D128" s="48"/>
      <c r="E128" s="48"/>
      <c r="F128" s="48"/>
      <c r="G128" s="48"/>
      <c r="H128" s="48"/>
      <c r="I128" s="48"/>
      <c r="J128" s="48"/>
      <c r="K128" s="49"/>
      <c r="L128" s="28"/>
      <c r="M128" s="28"/>
      <c r="N128" s="28"/>
      <c r="O128" s="28"/>
      <c r="P128" s="28"/>
      <c r="Q128" s="28"/>
      <c r="S128" s="28"/>
      <c r="T128" s="33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2:29" outlineLevel="1" x14ac:dyDescent="0.25">
      <c r="B129" s="27">
        <v>116</v>
      </c>
      <c r="C129" s="48"/>
      <c r="D129" s="48"/>
      <c r="E129" s="48"/>
      <c r="F129" s="48"/>
      <c r="G129" s="48"/>
      <c r="H129" s="48"/>
      <c r="I129" s="48"/>
      <c r="J129" s="48"/>
      <c r="K129" s="49"/>
      <c r="L129" s="28"/>
      <c r="M129" s="28"/>
      <c r="N129" s="28"/>
      <c r="O129" s="28"/>
      <c r="P129" s="28"/>
      <c r="Q129" s="28"/>
      <c r="S129" s="28"/>
      <c r="T129" s="33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2:29" outlineLevel="1" x14ac:dyDescent="0.25">
      <c r="B130" s="27">
        <v>117</v>
      </c>
      <c r="C130" s="48"/>
      <c r="D130" s="48"/>
      <c r="E130" s="48"/>
      <c r="F130" s="48"/>
      <c r="G130" s="48"/>
      <c r="H130" s="48"/>
      <c r="I130" s="48"/>
      <c r="J130" s="48"/>
      <c r="K130" s="49"/>
      <c r="L130" s="28"/>
      <c r="M130" s="28"/>
      <c r="N130" s="28"/>
      <c r="O130" s="28"/>
      <c r="P130" s="28"/>
      <c r="Q130" s="28"/>
      <c r="S130" s="28"/>
      <c r="T130" s="33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2:29" outlineLevel="1" x14ac:dyDescent="0.25">
      <c r="B131" s="27">
        <v>118</v>
      </c>
      <c r="C131" s="48"/>
      <c r="D131" s="48"/>
      <c r="E131" s="48"/>
      <c r="F131" s="48"/>
      <c r="G131" s="48"/>
      <c r="H131" s="48"/>
      <c r="I131" s="48"/>
      <c r="J131" s="48"/>
      <c r="K131" s="49"/>
      <c r="L131" s="28"/>
      <c r="M131" s="28"/>
      <c r="N131" s="28"/>
      <c r="O131" s="28"/>
      <c r="P131" s="28"/>
      <c r="Q131" s="28"/>
      <c r="S131" s="28"/>
      <c r="T131" s="33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2:29" outlineLevel="1" x14ac:dyDescent="0.25">
      <c r="B132" s="27">
        <v>119</v>
      </c>
      <c r="C132" s="48"/>
      <c r="D132" s="48"/>
      <c r="E132" s="48"/>
      <c r="F132" s="48"/>
      <c r="G132" s="48"/>
      <c r="H132" s="48"/>
      <c r="I132" s="48"/>
      <c r="J132" s="48"/>
      <c r="K132" s="49"/>
      <c r="L132" s="28"/>
      <c r="M132" s="28"/>
      <c r="N132" s="28"/>
      <c r="O132" s="28"/>
      <c r="P132" s="28"/>
      <c r="Q132" s="28"/>
      <c r="S132" s="28"/>
      <c r="T132" s="33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2:29" outlineLevel="1" x14ac:dyDescent="0.25">
      <c r="B133" s="27">
        <v>120</v>
      </c>
      <c r="C133" s="48"/>
      <c r="D133" s="48"/>
      <c r="E133" s="48"/>
      <c r="F133" s="48"/>
      <c r="G133" s="48"/>
      <c r="H133" s="48"/>
      <c r="I133" s="48"/>
      <c r="J133" s="48"/>
      <c r="K133" s="49"/>
      <c r="L133" s="28"/>
      <c r="M133" s="28"/>
      <c r="N133" s="28"/>
      <c r="O133" s="28"/>
      <c r="P133" s="28"/>
      <c r="Q133" s="28"/>
      <c r="S133" s="28"/>
      <c r="T133" s="33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2:29" outlineLevel="1" x14ac:dyDescent="0.25">
      <c r="B134" s="27">
        <v>121</v>
      </c>
      <c r="C134" s="48"/>
      <c r="D134" s="48"/>
      <c r="E134" s="48"/>
      <c r="F134" s="48"/>
      <c r="G134" s="48"/>
      <c r="H134" s="48"/>
      <c r="I134" s="48"/>
      <c r="J134" s="48"/>
      <c r="K134" s="49"/>
      <c r="L134" s="28"/>
      <c r="M134" s="28"/>
      <c r="N134" s="28"/>
      <c r="O134" s="28"/>
      <c r="P134" s="28"/>
      <c r="Q134" s="28"/>
      <c r="S134" s="28"/>
      <c r="T134" s="33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2:29" outlineLevel="1" x14ac:dyDescent="0.25">
      <c r="B135" s="27">
        <v>122</v>
      </c>
      <c r="C135" s="48"/>
      <c r="D135" s="48"/>
      <c r="E135" s="48"/>
      <c r="F135" s="48"/>
      <c r="G135" s="48"/>
      <c r="H135" s="48"/>
      <c r="I135" s="48"/>
      <c r="J135" s="48"/>
      <c r="K135" s="49"/>
      <c r="L135" s="28"/>
      <c r="M135" s="28"/>
      <c r="N135" s="28"/>
      <c r="O135" s="28"/>
      <c r="P135" s="28"/>
      <c r="Q135" s="28"/>
      <c r="S135" s="28"/>
      <c r="T135" s="33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2:29" outlineLevel="1" x14ac:dyDescent="0.25">
      <c r="B136" s="27">
        <v>123</v>
      </c>
      <c r="C136" s="48"/>
      <c r="D136" s="48"/>
      <c r="E136" s="48"/>
      <c r="F136" s="48"/>
      <c r="G136" s="48"/>
      <c r="H136" s="48"/>
      <c r="I136" s="48"/>
      <c r="J136" s="48"/>
      <c r="K136" s="49"/>
      <c r="L136" s="28"/>
      <c r="M136" s="28"/>
      <c r="N136" s="28"/>
      <c r="O136" s="28"/>
      <c r="P136" s="28"/>
      <c r="Q136" s="28"/>
      <c r="S136" s="28"/>
      <c r="T136" s="33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2:29" outlineLevel="1" x14ac:dyDescent="0.25">
      <c r="B137" s="27">
        <v>124</v>
      </c>
      <c r="C137" s="48"/>
      <c r="D137" s="48"/>
      <c r="E137" s="48"/>
      <c r="F137" s="48"/>
      <c r="G137" s="48"/>
      <c r="H137" s="48"/>
      <c r="I137" s="48"/>
      <c r="J137" s="48"/>
      <c r="K137" s="49"/>
      <c r="L137" s="28"/>
      <c r="M137" s="28"/>
      <c r="N137" s="28"/>
      <c r="O137" s="28"/>
      <c r="P137" s="28"/>
      <c r="Q137" s="28"/>
      <c r="S137" s="28"/>
      <c r="T137" s="33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2:29" outlineLevel="1" x14ac:dyDescent="0.25">
      <c r="B138" s="27">
        <v>125</v>
      </c>
      <c r="C138" s="48"/>
      <c r="D138" s="48"/>
      <c r="E138" s="48"/>
      <c r="F138" s="48"/>
      <c r="G138" s="48"/>
      <c r="H138" s="48"/>
      <c r="I138" s="48"/>
      <c r="J138" s="48"/>
      <c r="K138" s="49"/>
      <c r="L138" s="28"/>
      <c r="M138" s="28"/>
      <c r="N138" s="28"/>
      <c r="O138" s="28"/>
      <c r="P138" s="28"/>
      <c r="Q138" s="28"/>
      <c r="S138" s="28"/>
      <c r="T138" s="33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2:29" outlineLevel="1" x14ac:dyDescent="0.25">
      <c r="B139" s="27">
        <v>126</v>
      </c>
      <c r="C139" s="48"/>
      <c r="D139" s="48"/>
      <c r="E139" s="48"/>
      <c r="F139" s="48"/>
      <c r="G139" s="48"/>
      <c r="H139" s="48"/>
      <c r="I139" s="48"/>
      <c r="J139" s="48"/>
      <c r="K139" s="49"/>
      <c r="L139" s="28"/>
      <c r="M139" s="28"/>
      <c r="N139" s="28"/>
      <c r="O139" s="28"/>
      <c r="P139" s="28"/>
      <c r="Q139" s="28"/>
      <c r="S139" s="28"/>
      <c r="T139" s="33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2:29" outlineLevel="1" x14ac:dyDescent="0.25">
      <c r="B140" s="27">
        <v>127</v>
      </c>
      <c r="C140" s="48"/>
      <c r="D140" s="48"/>
      <c r="E140" s="48"/>
      <c r="F140" s="48"/>
      <c r="G140" s="48"/>
      <c r="H140" s="48"/>
      <c r="I140" s="48"/>
      <c r="J140" s="48"/>
      <c r="K140" s="49"/>
      <c r="L140" s="28"/>
      <c r="M140" s="28"/>
      <c r="N140" s="28"/>
      <c r="O140" s="28"/>
      <c r="P140" s="28"/>
      <c r="Q140" s="28"/>
      <c r="S140" s="28"/>
      <c r="T140" s="33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2:29" outlineLevel="1" x14ac:dyDescent="0.25">
      <c r="B141" s="27">
        <v>128</v>
      </c>
      <c r="C141" s="48"/>
      <c r="D141" s="48"/>
      <c r="E141" s="48"/>
      <c r="F141" s="48"/>
      <c r="G141" s="48"/>
      <c r="H141" s="48"/>
      <c r="I141" s="48"/>
      <c r="J141" s="48"/>
      <c r="K141" s="49"/>
      <c r="L141" s="28"/>
      <c r="M141" s="28"/>
      <c r="N141" s="28"/>
      <c r="O141" s="28"/>
      <c r="P141" s="28"/>
      <c r="Q141" s="28"/>
      <c r="S141" s="28"/>
      <c r="T141" s="33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2:29" outlineLevel="1" x14ac:dyDescent="0.25">
      <c r="B142" s="27">
        <v>129</v>
      </c>
      <c r="C142" s="48"/>
      <c r="D142" s="48"/>
      <c r="E142" s="48"/>
      <c r="F142" s="48"/>
      <c r="G142" s="48"/>
      <c r="H142" s="48"/>
      <c r="I142" s="48"/>
      <c r="J142" s="48"/>
      <c r="K142" s="49"/>
      <c r="L142" s="28"/>
      <c r="M142" s="28"/>
      <c r="N142" s="28"/>
      <c r="O142" s="28"/>
      <c r="P142" s="28"/>
      <c r="Q142" s="28"/>
      <c r="S142" s="28"/>
      <c r="T142" s="33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2:29" outlineLevel="1" x14ac:dyDescent="0.25">
      <c r="B143" s="27">
        <v>130</v>
      </c>
      <c r="C143" s="48"/>
      <c r="D143" s="48"/>
      <c r="E143" s="48"/>
      <c r="F143" s="48"/>
      <c r="G143" s="48"/>
      <c r="H143" s="48"/>
      <c r="I143" s="48"/>
      <c r="J143" s="48"/>
      <c r="K143" s="49"/>
      <c r="L143" s="28"/>
      <c r="M143" s="28"/>
      <c r="N143" s="28"/>
      <c r="O143" s="28"/>
      <c r="P143" s="28"/>
      <c r="Q143" s="28"/>
      <c r="S143" s="28"/>
      <c r="T143" s="33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2:29" outlineLevel="1" x14ac:dyDescent="0.25">
      <c r="B144" s="27">
        <v>131</v>
      </c>
      <c r="C144" s="48"/>
      <c r="D144" s="48"/>
      <c r="E144" s="48"/>
      <c r="F144" s="48"/>
      <c r="G144" s="48"/>
      <c r="H144" s="48"/>
      <c r="I144" s="48"/>
      <c r="J144" s="48"/>
      <c r="K144" s="49"/>
      <c r="L144" s="28"/>
      <c r="M144" s="28"/>
      <c r="N144" s="28"/>
      <c r="O144" s="28"/>
      <c r="P144" s="28"/>
      <c r="Q144" s="28"/>
      <c r="S144" s="28"/>
      <c r="T144" s="33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2:29" outlineLevel="1" x14ac:dyDescent="0.25">
      <c r="B145" s="27">
        <v>132</v>
      </c>
      <c r="C145" s="48"/>
      <c r="D145" s="48"/>
      <c r="E145" s="48"/>
      <c r="F145" s="48"/>
      <c r="G145" s="48"/>
      <c r="H145" s="48"/>
      <c r="I145" s="48"/>
      <c r="J145" s="48"/>
      <c r="K145" s="49"/>
      <c r="L145" s="28"/>
      <c r="M145" s="28"/>
      <c r="N145" s="28"/>
      <c r="O145" s="28"/>
      <c r="P145" s="28"/>
      <c r="Q145" s="28"/>
      <c r="S145" s="28"/>
      <c r="T145" s="33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2:29" outlineLevel="1" x14ac:dyDescent="0.25">
      <c r="B146" s="27">
        <v>133</v>
      </c>
      <c r="C146" s="48"/>
      <c r="D146" s="48"/>
      <c r="E146" s="48"/>
      <c r="F146" s="48"/>
      <c r="G146" s="48"/>
      <c r="H146" s="48"/>
      <c r="I146" s="48"/>
      <c r="J146" s="48"/>
      <c r="K146" s="49"/>
      <c r="L146" s="28"/>
      <c r="M146" s="28"/>
      <c r="N146" s="28"/>
      <c r="O146" s="28"/>
      <c r="P146" s="28"/>
      <c r="Q146" s="28"/>
      <c r="S146" s="28"/>
      <c r="T146" s="33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2:29" outlineLevel="1" x14ac:dyDescent="0.25">
      <c r="B147" s="27">
        <v>134</v>
      </c>
      <c r="C147" s="48"/>
      <c r="D147" s="48"/>
      <c r="E147" s="48"/>
      <c r="F147" s="48"/>
      <c r="G147" s="48"/>
      <c r="H147" s="48"/>
      <c r="I147" s="48"/>
      <c r="J147" s="48"/>
      <c r="K147" s="49"/>
      <c r="L147" s="28"/>
      <c r="M147" s="28"/>
      <c r="N147" s="28"/>
      <c r="O147" s="28"/>
      <c r="P147" s="28"/>
      <c r="Q147" s="28"/>
      <c r="S147" s="28"/>
      <c r="T147" s="33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2:29" outlineLevel="1" x14ac:dyDescent="0.25">
      <c r="B148" s="27">
        <v>135</v>
      </c>
      <c r="C148" s="48"/>
      <c r="D148" s="48"/>
      <c r="E148" s="48"/>
      <c r="F148" s="48"/>
      <c r="G148" s="48"/>
      <c r="H148" s="48"/>
      <c r="I148" s="48"/>
      <c r="J148" s="48"/>
      <c r="K148" s="49"/>
      <c r="L148" s="28"/>
      <c r="M148" s="28"/>
      <c r="N148" s="28"/>
      <c r="O148" s="28"/>
      <c r="P148" s="28"/>
      <c r="Q148" s="28"/>
      <c r="S148" s="28"/>
      <c r="T148" s="33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2:29" outlineLevel="1" x14ac:dyDescent="0.25">
      <c r="B149" s="27">
        <v>136</v>
      </c>
      <c r="C149" s="48"/>
      <c r="D149" s="48"/>
      <c r="E149" s="48"/>
      <c r="F149" s="48"/>
      <c r="G149" s="48"/>
      <c r="H149" s="48"/>
      <c r="I149" s="48"/>
      <c r="J149" s="48"/>
      <c r="K149" s="49"/>
      <c r="L149" s="28"/>
      <c r="M149" s="28"/>
      <c r="N149" s="28"/>
      <c r="O149" s="28"/>
      <c r="P149" s="28"/>
      <c r="Q149" s="28"/>
      <c r="S149" s="28"/>
      <c r="T149" s="33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2:29" outlineLevel="1" x14ac:dyDescent="0.25">
      <c r="B150" s="27">
        <v>137</v>
      </c>
      <c r="C150" s="48"/>
      <c r="D150" s="48"/>
      <c r="E150" s="48"/>
      <c r="F150" s="48"/>
      <c r="G150" s="48"/>
      <c r="H150" s="48"/>
      <c r="I150" s="48"/>
      <c r="J150" s="48"/>
      <c r="K150" s="49"/>
      <c r="L150" s="28"/>
      <c r="M150" s="28"/>
      <c r="N150" s="28"/>
      <c r="O150" s="28"/>
      <c r="P150" s="28"/>
      <c r="Q150" s="28"/>
      <c r="S150" s="28"/>
      <c r="T150" s="33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2:29" outlineLevel="1" x14ac:dyDescent="0.25">
      <c r="B151" s="27">
        <v>138</v>
      </c>
      <c r="C151" s="48"/>
      <c r="D151" s="48"/>
      <c r="E151" s="48"/>
      <c r="F151" s="48"/>
      <c r="G151" s="48"/>
      <c r="H151" s="48"/>
      <c r="I151" s="48"/>
      <c r="J151" s="48"/>
      <c r="K151" s="49"/>
      <c r="L151" s="28"/>
      <c r="M151" s="28"/>
      <c r="N151" s="28"/>
      <c r="O151" s="28"/>
      <c r="P151" s="28"/>
      <c r="Q151" s="28"/>
      <c r="S151" s="28"/>
      <c r="T151" s="33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2:29" outlineLevel="1" x14ac:dyDescent="0.25">
      <c r="B152" s="27">
        <v>139</v>
      </c>
      <c r="C152" s="48"/>
      <c r="D152" s="48"/>
      <c r="E152" s="48"/>
      <c r="F152" s="48"/>
      <c r="G152" s="48"/>
      <c r="H152" s="48"/>
      <c r="I152" s="48"/>
      <c r="J152" s="48"/>
      <c r="K152" s="49"/>
      <c r="L152" s="28"/>
      <c r="M152" s="28"/>
      <c r="N152" s="28"/>
      <c r="O152" s="28"/>
      <c r="P152" s="28"/>
      <c r="Q152" s="28"/>
      <c r="S152" s="28"/>
      <c r="T152" s="33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2:29" outlineLevel="1" x14ac:dyDescent="0.25">
      <c r="B153" s="27">
        <v>140</v>
      </c>
      <c r="C153" s="48"/>
      <c r="D153" s="48"/>
      <c r="E153" s="48"/>
      <c r="F153" s="48"/>
      <c r="G153" s="48"/>
      <c r="H153" s="48"/>
      <c r="I153" s="48"/>
      <c r="J153" s="48"/>
      <c r="K153" s="49"/>
      <c r="L153" s="28"/>
      <c r="M153" s="28"/>
      <c r="N153" s="28"/>
      <c r="O153" s="28"/>
      <c r="P153" s="28"/>
      <c r="Q153" s="28"/>
      <c r="S153" s="28"/>
      <c r="T153" s="33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2:29" outlineLevel="1" x14ac:dyDescent="0.25">
      <c r="B154" s="27">
        <v>141</v>
      </c>
      <c r="C154" s="48"/>
      <c r="D154" s="48"/>
      <c r="E154" s="48"/>
      <c r="F154" s="48"/>
      <c r="G154" s="48"/>
      <c r="H154" s="48"/>
      <c r="I154" s="48"/>
      <c r="J154" s="48"/>
      <c r="K154" s="49"/>
      <c r="L154" s="28"/>
      <c r="M154" s="28"/>
      <c r="N154" s="28"/>
      <c r="O154" s="28"/>
      <c r="P154" s="28"/>
      <c r="Q154" s="28"/>
      <c r="S154" s="28"/>
      <c r="T154" s="33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2:29" outlineLevel="1" x14ac:dyDescent="0.25">
      <c r="B155" s="27">
        <v>142</v>
      </c>
      <c r="C155" s="48"/>
      <c r="D155" s="48"/>
      <c r="E155" s="48"/>
      <c r="F155" s="48"/>
      <c r="G155" s="48"/>
      <c r="H155" s="48"/>
      <c r="I155" s="48"/>
      <c r="J155" s="48"/>
      <c r="K155" s="49"/>
      <c r="L155" s="28"/>
      <c r="M155" s="28"/>
      <c r="N155" s="28"/>
      <c r="O155" s="28"/>
      <c r="P155" s="28"/>
      <c r="Q155" s="28"/>
      <c r="S155" s="28"/>
      <c r="T155" s="33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2:29" outlineLevel="1" x14ac:dyDescent="0.25">
      <c r="B156" s="27">
        <v>143</v>
      </c>
      <c r="C156" s="48"/>
      <c r="D156" s="48"/>
      <c r="E156" s="48"/>
      <c r="F156" s="48"/>
      <c r="G156" s="48"/>
      <c r="H156" s="48"/>
      <c r="I156" s="48"/>
      <c r="J156" s="48"/>
      <c r="K156" s="49"/>
      <c r="L156" s="28"/>
      <c r="M156" s="28"/>
      <c r="N156" s="28"/>
      <c r="O156" s="28"/>
      <c r="P156" s="28"/>
      <c r="Q156" s="28"/>
      <c r="S156" s="28"/>
      <c r="T156" s="33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2:29" outlineLevel="1" x14ac:dyDescent="0.25">
      <c r="B157" s="27">
        <v>144</v>
      </c>
      <c r="C157" s="48"/>
      <c r="D157" s="48"/>
      <c r="E157" s="48"/>
      <c r="F157" s="48"/>
      <c r="G157" s="48"/>
      <c r="H157" s="48"/>
      <c r="I157" s="48"/>
      <c r="J157" s="48"/>
      <c r="K157" s="49"/>
      <c r="L157" s="28"/>
      <c r="M157" s="28"/>
      <c r="N157" s="28"/>
      <c r="O157" s="28"/>
      <c r="P157" s="28"/>
      <c r="Q157" s="28"/>
      <c r="S157" s="28"/>
      <c r="T157" s="33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2:29" outlineLevel="1" x14ac:dyDescent="0.25">
      <c r="B158" s="27">
        <v>145</v>
      </c>
      <c r="C158" s="48"/>
      <c r="D158" s="48"/>
      <c r="E158" s="48"/>
      <c r="F158" s="48"/>
      <c r="G158" s="48"/>
      <c r="H158" s="48"/>
      <c r="I158" s="48"/>
      <c r="J158" s="48"/>
      <c r="K158" s="49"/>
      <c r="L158" s="28"/>
      <c r="M158" s="28"/>
      <c r="N158" s="28"/>
      <c r="O158" s="28"/>
      <c r="P158" s="28"/>
      <c r="Q158" s="28"/>
      <c r="S158" s="28"/>
      <c r="T158" s="33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2:29" outlineLevel="1" x14ac:dyDescent="0.25">
      <c r="B159" s="27">
        <v>146</v>
      </c>
      <c r="C159" s="48"/>
      <c r="D159" s="48"/>
      <c r="E159" s="48"/>
      <c r="F159" s="48"/>
      <c r="G159" s="48"/>
      <c r="H159" s="48"/>
      <c r="I159" s="48"/>
      <c r="J159" s="48"/>
      <c r="K159" s="49"/>
      <c r="L159" s="28"/>
      <c r="M159" s="28"/>
      <c r="N159" s="28"/>
      <c r="O159" s="28"/>
      <c r="P159" s="28"/>
      <c r="Q159" s="28"/>
      <c r="S159" s="28"/>
      <c r="T159" s="33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2:29" outlineLevel="1" x14ac:dyDescent="0.25">
      <c r="B160" s="27">
        <v>147</v>
      </c>
      <c r="C160" s="48"/>
      <c r="D160" s="48"/>
      <c r="E160" s="48"/>
      <c r="F160" s="48"/>
      <c r="G160" s="48"/>
      <c r="H160" s="48"/>
      <c r="I160" s="48"/>
      <c r="J160" s="48"/>
      <c r="K160" s="49"/>
      <c r="L160" s="28"/>
      <c r="M160" s="28"/>
      <c r="N160" s="28"/>
      <c r="O160" s="28"/>
      <c r="P160" s="28"/>
      <c r="Q160" s="28"/>
      <c r="S160" s="28"/>
      <c r="T160" s="33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2:29" outlineLevel="1" x14ac:dyDescent="0.25">
      <c r="B161" s="27">
        <v>148</v>
      </c>
      <c r="C161" s="48"/>
      <c r="D161" s="48"/>
      <c r="E161" s="48"/>
      <c r="F161" s="48"/>
      <c r="G161" s="48"/>
      <c r="H161" s="48"/>
      <c r="I161" s="48"/>
      <c r="J161" s="48"/>
      <c r="K161" s="49"/>
      <c r="L161" s="28"/>
      <c r="M161" s="28"/>
      <c r="N161" s="28"/>
      <c r="O161" s="28"/>
      <c r="P161" s="28"/>
      <c r="Q161" s="28"/>
      <c r="S161" s="28"/>
      <c r="T161" s="33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2:29" outlineLevel="1" x14ac:dyDescent="0.25">
      <c r="B162" s="27">
        <v>149</v>
      </c>
      <c r="C162" s="48"/>
      <c r="D162" s="48"/>
      <c r="E162" s="48"/>
      <c r="F162" s="48"/>
      <c r="G162" s="48"/>
      <c r="H162" s="48"/>
      <c r="I162" s="48"/>
      <c r="J162" s="48"/>
      <c r="K162" s="49"/>
      <c r="L162" s="28"/>
      <c r="M162" s="28"/>
      <c r="N162" s="28"/>
      <c r="O162" s="28"/>
      <c r="P162" s="28"/>
      <c r="Q162" s="28"/>
      <c r="S162" s="28"/>
      <c r="T162" s="33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2:29" outlineLevel="1" x14ac:dyDescent="0.25">
      <c r="B163" s="27">
        <v>150</v>
      </c>
      <c r="C163" s="48"/>
      <c r="D163" s="48"/>
      <c r="E163" s="48"/>
      <c r="F163" s="48"/>
      <c r="G163" s="48"/>
      <c r="H163" s="48"/>
      <c r="I163" s="48"/>
      <c r="J163" s="48"/>
      <c r="K163" s="49"/>
      <c r="L163" s="28"/>
      <c r="M163" s="28"/>
      <c r="N163" s="28"/>
      <c r="O163" s="28"/>
      <c r="P163" s="28"/>
      <c r="Q163" s="28"/>
      <c r="S163" s="28"/>
      <c r="T163" s="33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2:29" outlineLevel="1" x14ac:dyDescent="0.25">
      <c r="B164" s="27">
        <v>151</v>
      </c>
      <c r="C164" s="48"/>
      <c r="D164" s="48"/>
      <c r="E164" s="48"/>
      <c r="F164" s="48"/>
      <c r="G164" s="48"/>
      <c r="H164" s="48"/>
      <c r="I164" s="48"/>
      <c r="J164" s="48"/>
      <c r="K164" s="49"/>
      <c r="L164" s="28"/>
      <c r="M164" s="28"/>
      <c r="N164" s="28"/>
      <c r="O164" s="28"/>
      <c r="P164" s="28"/>
      <c r="Q164" s="28"/>
      <c r="S164" s="28"/>
      <c r="T164" s="33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2:29" outlineLevel="1" x14ac:dyDescent="0.25">
      <c r="B165" s="27">
        <v>152</v>
      </c>
      <c r="C165" s="48"/>
      <c r="D165" s="48"/>
      <c r="E165" s="48"/>
      <c r="F165" s="48"/>
      <c r="G165" s="48"/>
      <c r="H165" s="48"/>
      <c r="I165" s="48"/>
      <c r="J165" s="48"/>
      <c r="K165" s="49"/>
      <c r="L165" s="28"/>
      <c r="M165" s="28"/>
      <c r="N165" s="28"/>
      <c r="O165" s="28"/>
      <c r="P165" s="28"/>
      <c r="Q165" s="28"/>
      <c r="S165" s="28"/>
      <c r="T165" s="33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2:29" outlineLevel="1" x14ac:dyDescent="0.25">
      <c r="B166" s="27">
        <v>153</v>
      </c>
      <c r="C166" s="48"/>
      <c r="D166" s="48"/>
      <c r="E166" s="48"/>
      <c r="F166" s="48"/>
      <c r="G166" s="48"/>
      <c r="H166" s="48"/>
      <c r="I166" s="48"/>
      <c r="J166" s="48"/>
      <c r="K166" s="49"/>
      <c r="L166" s="28"/>
      <c r="M166" s="28"/>
      <c r="N166" s="28"/>
      <c r="O166" s="28"/>
      <c r="P166" s="28"/>
      <c r="Q166" s="28"/>
      <c r="S166" s="28"/>
      <c r="T166" s="33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2:29" outlineLevel="1" x14ac:dyDescent="0.25">
      <c r="B167" s="27">
        <v>154</v>
      </c>
      <c r="C167" s="48"/>
      <c r="D167" s="48"/>
      <c r="E167" s="48"/>
      <c r="F167" s="48"/>
      <c r="G167" s="48"/>
      <c r="H167" s="48"/>
      <c r="I167" s="48"/>
      <c r="J167" s="48"/>
      <c r="K167" s="49"/>
      <c r="L167" s="28"/>
      <c r="M167" s="28"/>
      <c r="N167" s="28"/>
      <c r="O167" s="28"/>
      <c r="P167" s="28"/>
      <c r="Q167" s="28"/>
      <c r="S167" s="28"/>
      <c r="T167" s="33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2:29" outlineLevel="1" x14ac:dyDescent="0.25">
      <c r="B168" s="27">
        <v>155</v>
      </c>
      <c r="C168" s="48"/>
      <c r="D168" s="48"/>
      <c r="E168" s="48"/>
      <c r="F168" s="48"/>
      <c r="G168" s="48"/>
      <c r="H168" s="48"/>
      <c r="I168" s="48"/>
      <c r="J168" s="48"/>
      <c r="K168" s="49"/>
      <c r="L168" s="28"/>
      <c r="M168" s="28"/>
      <c r="N168" s="28"/>
      <c r="O168" s="28"/>
      <c r="P168" s="28"/>
      <c r="Q168" s="28"/>
      <c r="S168" s="28"/>
      <c r="T168" s="33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2:29" outlineLevel="1" x14ac:dyDescent="0.25">
      <c r="B169" s="27">
        <v>156</v>
      </c>
      <c r="C169" s="48"/>
      <c r="D169" s="48"/>
      <c r="E169" s="48"/>
      <c r="F169" s="48"/>
      <c r="G169" s="48"/>
      <c r="H169" s="48"/>
      <c r="I169" s="48"/>
      <c r="J169" s="48"/>
      <c r="K169" s="49"/>
      <c r="L169" s="28"/>
      <c r="M169" s="28"/>
      <c r="N169" s="28"/>
      <c r="O169" s="28"/>
      <c r="P169" s="28"/>
      <c r="Q169" s="28"/>
      <c r="S169" s="28"/>
      <c r="T169" s="33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2:29" outlineLevel="1" x14ac:dyDescent="0.25">
      <c r="B170" s="27">
        <v>157</v>
      </c>
      <c r="C170" s="48"/>
      <c r="D170" s="48"/>
      <c r="E170" s="48"/>
      <c r="F170" s="48"/>
      <c r="G170" s="48"/>
      <c r="H170" s="48"/>
      <c r="I170" s="48"/>
      <c r="J170" s="48"/>
      <c r="K170" s="49"/>
      <c r="L170" s="28"/>
      <c r="M170" s="28"/>
      <c r="N170" s="28"/>
      <c r="O170" s="28"/>
      <c r="P170" s="28"/>
      <c r="Q170" s="28"/>
      <c r="S170" s="28"/>
      <c r="T170" s="33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2:29" outlineLevel="1" x14ac:dyDescent="0.25">
      <c r="B171" s="27">
        <v>158</v>
      </c>
      <c r="C171" s="48"/>
      <c r="D171" s="48"/>
      <c r="E171" s="48"/>
      <c r="F171" s="48"/>
      <c r="G171" s="48"/>
      <c r="H171" s="48"/>
      <c r="I171" s="48"/>
      <c r="J171" s="48"/>
      <c r="K171" s="49"/>
      <c r="L171" s="28"/>
      <c r="M171" s="28"/>
      <c r="N171" s="28"/>
      <c r="O171" s="28"/>
      <c r="P171" s="28"/>
      <c r="Q171" s="28"/>
      <c r="S171" s="28"/>
      <c r="T171" s="33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2:29" outlineLevel="1" x14ac:dyDescent="0.25">
      <c r="B172" s="27">
        <v>159</v>
      </c>
      <c r="C172" s="48"/>
      <c r="D172" s="48"/>
      <c r="E172" s="48"/>
      <c r="F172" s="48"/>
      <c r="G172" s="48"/>
      <c r="H172" s="48"/>
      <c r="I172" s="48"/>
      <c r="J172" s="48"/>
      <c r="K172" s="49"/>
      <c r="L172" s="28"/>
      <c r="M172" s="28"/>
      <c r="N172" s="28"/>
      <c r="O172" s="28"/>
      <c r="P172" s="28"/>
      <c r="Q172" s="28"/>
      <c r="S172" s="28"/>
      <c r="T172" s="33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2:29" outlineLevel="1" x14ac:dyDescent="0.25">
      <c r="B173" s="27">
        <v>160</v>
      </c>
      <c r="C173" s="48"/>
      <c r="D173" s="48"/>
      <c r="E173" s="48"/>
      <c r="F173" s="48"/>
      <c r="G173" s="48"/>
      <c r="H173" s="48"/>
      <c r="I173" s="48"/>
      <c r="J173" s="48"/>
      <c r="K173" s="49"/>
      <c r="L173" s="28"/>
      <c r="M173" s="28"/>
      <c r="N173" s="28"/>
      <c r="O173" s="28"/>
      <c r="P173" s="28"/>
      <c r="Q173" s="28"/>
      <c r="S173" s="28"/>
      <c r="T173" s="33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2:29" outlineLevel="1" x14ac:dyDescent="0.25">
      <c r="B174" s="27">
        <v>161</v>
      </c>
      <c r="C174" s="48"/>
      <c r="D174" s="48"/>
      <c r="E174" s="48"/>
      <c r="F174" s="48"/>
      <c r="G174" s="48"/>
      <c r="H174" s="48"/>
      <c r="I174" s="48"/>
      <c r="J174" s="48"/>
      <c r="K174" s="49"/>
      <c r="L174" s="28"/>
      <c r="M174" s="28"/>
      <c r="N174" s="28"/>
      <c r="O174" s="28"/>
      <c r="P174" s="28"/>
      <c r="Q174" s="28"/>
      <c r="S174" s="28"/>
      <c r="T174" s="33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2:29" outlineLevel="1" x14ac:dyDescent="0.25">
      <c r="B175" s="27">
        <v>162</v>
      </c>
      <c r="C175" s="48"/>
      <c r="D175" s="48"/>
      <c r="E175" s="48"/>
      <c r="F175" s="48"/>
      <c r="G175" s="48"/>
      <c r="H175" s="48"/>
      <c r="I175" s="48"/>
      <c r="J175" s="48"/>
      <c r="K175" s="49"/>
      <c r="L175" s="28"/>
      <c r="M175" s="28"/>
      <c r="N175" s="28"/>
      <c r="O175" s="28"/>
      <c r="P175" s="28"/>
      <c r="Q175" s="28"/>
      <c r="S175" s="28"/>
      <c r="T175" s="33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2:29" outlineLevel="1" x14ac:dyDescent="0.25">
      <c r="B176" s="27">
        <v>163</v>
      </c>
      <c r="C176" s="48"/>
      <c r="D176" s="48"/>
      <c r="E176" s="48"/>
      <c r="F176" s="48"/>
      <c r="G176" s="48"/>
      <c r="H176" s="48"/>
      <c r="I176" s="48"/>
      <c r="J176" s="48"/>
      <c r="K176" s="49"/>
      <c r="L176" s="28"/>
      <c r="M176" s="28"/>
      <c r="N176" s="28"/>
      <c r="O176" s="28"/>
      <c r="P176" s="28"/>
      <c r="Q176" s="28"/>
      <c r="S176" s="28"/>
      <c r="T176" s="33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2:29" outlineLevel="1" x14ac:dyDescent="0.25">
      <c r="B177" s="27">
        <v>164</v>
      </c>
      <c r="C177" s="48"/>
      <c r="D177" s="48"/>
      <c r="E177" s="48"/>
      <c r="F177" s="48"/>
      <c r="G177" s="48"/>
      <c r="H177" s="48"/>
      <c r="I177" s="48"/>
      <c r="J177" s="48"/>
      <c r="K177" s="49"/>
      <c r="L177" s="28"/>
      <c r="M177" s="28"/>
      <c r="N177" s="28"/>
      <c r="O177" s="28"/>
      <c r="P177" s="28"/>
      <c r="Q177" s="28"/>
      <c r="S177" s="28"/>
      <c r="T177" s="33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2:29" outlineLevel="1" x14ac:dyDescent="0.25">
      <c r="B178" s="27">
        <v>165</v>
      </c>
      <c r="C178" s="48"/>
      <c r="D178" s="48"/>
      <c r="E178" s="48"/>
      <c r="F178" s="48"/>
      <c r="G178" s="48"/>
      <c r="H178" s="48"/>
      <c r="I178" s="48"/>
      <c r="J178" s="48"/>
      <c r="K178" s="49"/>
      <c r="L178" s="28"/>
      <c r="M178" s="28"/>
      <c r="N178" s="28"/>
      <c r="O178" s="28"/>
      <c r="P178" s="28"/>
      <c r="Q178" s="28"/>
      <c r="S178" s="28"/>
      <c r="T178" s="33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2:29" outlineLevel="1" x14ac:dyDescent="0.25">
      <c r="B179" s="27">
        <v>166</v>
      </c>
      <c r="C179" s="48"/>
      <c r="D179" s="48"/>
      <c r="E179" s="48"/>
      <c r="F179" s="48"/>
      <c r="G179" s="48"/>
      <c r="H179" s="48"/>
      <c r="I179" s="48"/>
      <c r="J179" s="48"/>
      <c r="K179" s="49"/>
      <c r="L179" s="28"/>
      <c r="M179" s="28"/>
      <c r="N179" s="28"/>
      <c r="O179" s="28"/>
      <c r="P179" s="28"/>
      <c r="Q179" s="28"/>
      <c r="S179" s="28"/>
      <c r="T179" s="33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2:29" outlineLevel="1" x14ac:dyDescent="0.25">
      <c r="B180" s="27">
        <v>167</v>
      </c>
      <c r="C180" s="48"/>
      <c r="D180" s="48"/>
      <c r="E180" s="48"/>
      <c r="F180" s="48"/>
      <c r="G180" s="48"/>
      <c r="H180" s="48"/>
      <c r="I180" s="48"/>
      <c r="J180" s="48"/>
      <c r="K180" s="49"/>
      <c r="L180" s="28"/>
      <c r="M180" s="28"/>
      <c r="N180" s="28"/>
      <c r="O180" s="28"/>
      <c r="P180" s="28"/>
      <c r="Q180" s="28"/>
      <c r="S180" s="28"/>
      <c r="T180" s="33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2:29" outlineLevel="1" x14ac:dyDescent="0.25">
      <c r="B181" s="27">
        <v>168</v>
      </c>
      <c r="C181" s="48"/>
      <c r="D181" s="48"/>
      <c r="E181" s="48"/>
      <c r="F181" s="48"/>
      <c r="G181" s="48"/>
      <c r="H181" s="48"/>
      <c r="I181" s="48"/>
      <c r="J181" s="48"/>
      <c r="K181" s="49"/>
      <c r="L181" s="28"/>
      <c r="M181" s="28"/>
      <c r="N181" s="28"/>
      <c r="O181" s="28"/>
      <c r="P181" s="28"/>
      <c r="Q181" s="28"/>
      <c r="S181" s="28"/>
      <c r="T181" s="33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2:29" outlineLevel="1" x14ac:dyDescent="0.25">
      <c r="B182" s="27">
        <v>169</v>
      </c>
      <c r="C182" s="48"/>
      <c r="D182" s="48"/>
      <c r="E182" s="48"/>
      <c r="F182" s="48"/>
      <c r="G182" s="48"/>
      <c r="H182" s="48"/>
      <c r="I182" s="48"/>
      <c r="J182" s="48"/>
      <c r="K182" s="49"/>
      <c r="L182" s="28"/>
      <c r="M182" s="28"/>
      <c r="N182" s="28"/>
      <c r="O182" s="28"/>
      <c r="P182" s="28"/>
      <c r="Q182" s="28"/>
      <c r="S182" s="28"/>
      <c r="T182" s="33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2:29" outlineLevel="1" x14ac:dyDescent="0.25">
      <c r="B183" s="27">
        <v>170</v>
      </c>
      <c r="C183" s="48"/>
      <c r="D183" s="48"/>
      <c r="E183" s="48"/>
      <c r="F183" s="48"/>
      <c r="G183" s="48"/>
      <c r="H183" s="48"/>
      <c r="I183" s="48"/>
      <c r="J183" s="48"/>
      <c r="K183" s="49"/>
      <c r="L183" s="28"/>
      <c r="M183" s="28"/>
      <c r="N183" s="28"/>
      <c r="O183" s="28"/>
      <c r="P183" s="28"/>
      <c r="Q183" s="28"/>
      <c r="S183" s="28"/>
      <c r="T183" s="33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2:29" outlineLevel="1" x14ac:dyDescent="0.25">
      <c r="B184" s="27">
        <v>171</v>
      </c>
      <c r="C184" s="48"/>
      <c r="D184" s="48"/>
      <c r="E184" s="48"/>
      <c r="F184" s="48"/>
      <c r="G184" s="48"/>
      <c r="H184" s="48"/>
      <c r="I184" s="48"/>
      <c r="J184" s="48"/>
      <c r="K184" s="49"/>
      <c r="L184" s="28"/>
      <c r="M184" s="28"/>
      <c r="N184" s="28"/>
      <c r="O184" s="28"/>
      <c r="P184" s="28"/>
      <c r="Q184" s="28"/>
      <c r="S184" s="28"/>
      <c r="T184" s="33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2:29" outlineLevel="1" x14ac:dyDescent="0.25">
      <c r="B185" s="27">
        <v>172</v>
      </c>
      <c r="C185" s="48"/>
      <c r="D185" s="48"/>
      <c r="E185" s="48"/>
      <c r="F185" s="48"/>
      <c r="G185" s="48"/>
      <c r="H185" s="48"/>
      <c r="I185" s="48"/>
      <c r="J185" s="48"/>
      <c r="K185" s="49"/>
      <c r="L185" s="28"/>
      <c r="M185" s="28"/>
      <c r="N185" s="28"/>
      <c r="O185" s="28"/>
      <c r="P185" s="28"/>
      <c r="Q185" s="28"/>
      <c r="S185" s="28"/>
      <c r="T185" s="33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2:29" outlineLevel="1" x14ac:dyDescent="0.25">
      <c r="B186" s="27">
        <v>173</v>
      </c>
      <c r="C186" s="48"/>
      <c r="D186" s="48"/>
      <c r="E186" s="48"/>
      <c r="F186" s="48"/>
      <c r="G186" s="48"/>
      <c r="H186" s="48"/>
      <c r="I186" s="48"/>
      <c r="J186" s="48"/>
      <c r="K186" s="49"/>
      <c r="L186" s="28"/>
      <c r="M186" s="28"/>
      <c r="N186" s="28"/>
      <c r="O186" s="28"/>
      <c r="P186" s="28"/>
      <c r="Q186" s="28"/>
      <c r="S186" s="28"/>
      <c r="T186" s="33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2:29" outlineLevel="1" x14ac:dyDescent="0.25">
      <c r="B187" s="27">
        <v>174</v>
      </c>
      <c r="C187" s="48"/>
      <c r="D187" s="48"/>
      <c r="E187" s="48"/>
      <c r="F187" s="48"/>
      <c r="G187" s="48"/>
      <c r="H187" s="48"/>
      <c r="I187" s="48"/>
      <c r="J187" s="48"/>
      <c r="K187" s="49"/>
      <c r="L187" s="28"/>
      <c r="M187" s="28"/>
      <c r="N187" s="28"/>
      <c r="O187" s="28"/>
      <c r="P187" s="28"/>
      <c r="Q187" s="28"/>
      <c r="S187" s="28"/>
      <c r="T187" s="33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2:29" outlineLevel="1" x14ac:dyDescent="0.25">
      <c r="B188" s="27">
        <v>175</v>
      </c>
      <c r="C188" s="48"/>
      <c r="D188" s="48"/>
      <c r="E188" s="48"/>
      <c r="F188" s="48"/>
      <c r="G188" s="48"/>
      <c r="H188" s="48"/>
      <c r="I188" s="48"/>
      <c r="J188" s="48"/>
      <c r="K188" s="49"/>
      <c r="L188" s="28"/>
      <c r="M188" s="28"/>
      <c r="N188" s="28"/>
      <c r="O188" s="28"/>
      <c r="P188" s="28"/>
      <c r="Q188" s="28"/>
      <c r="S188" s="28"/>
      <c r="T188" s="33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2:29" outlineLevel="1" x14ac:dyDescent="0.25">
      <c r="B189" s="27">
        <v>176</v>
      </c>
      <c r="C189" s="48"/>
      <c r="D189" s="48"/>
      <c r="E189" s="48"/>
      <c r="F189" s="48"/>
      <c r="G189" s="48"/>
      <c r="H189" s="48"/>
      <c r="I189" s="48"/>
      <c r="J189" s="48"/>
      <c r="K189" s="49"/>
      <c r="L189" s="28"/>
      <c r="M189" s="28"/>
      <c r="N189" s="28"/>
      <c r="O189" s="28"/>
      <c r="P189" s="28"/>
      <c r="Q189" s="28"/>
      <c r="S189" s="28"/>
      <c r="T189" s="33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2:29" outlineLevel="1" x14ac:dyDescent="0.25">
      <c r="B190" s="27">
        <v>177</v>
      </c>
      <c r="C190" s="48"/>
      <c r="D190" s="48"/>
      <c r="E190" s="48"/>
      <c r="F190" s="48"/>
      <c r="G190" s="48"/>
      <c r="H190" s="48"/>
      <c r="I190" s="48"/>
      <c r="J190" s="48"/>
      <c r="K190" s="49"/>
      <c r="L190" s="28"/>
      <c r="M190" s="28"/>
      <c r="N190" s="28"/>
      <c r="O190" s="28"/>
      <c r="P190" s="28"/>
      <c r="Q190" s="28"/>
      <c r="S190" s="28"/>
      <c r="T190" s="33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2:29" outlineLevel="1" x14ac:dyDescent="0.25">
      <c r="B191" s="27">
        <v>178</v>
      </c>
      <c r="C191" s="48"/>
      <c r="D191" s="48"/>
      <c r="E191" s="48"/>
      <c r="F191" s="48"/>
      <c r="G191" s="48"/>
      <c r="H191" s="48"/>
      <c r="I191" s="48"/>
      <c r="J191" s="48"/>
      <c r="K191" s="49"/>
      <c r="L191" s="28"/>
      <c r="M191" s="28"/>
      <c r="N191" s="28"/>
      <c r="O191" s="28"/>
      <c r="P191" s="28"/>
      <c r="Q191" s="28"/>
      <c r="S191" s="28"/>
      <c r="T191" s="33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2:29" outlineLevel="1" x14ac:dyDescent="0.25">
      <c r="B192" s="27">
        <v>179</v>
      </c>
      <c r="C192" s="48"/>
      <c r="D192" s="48"/>
      <c r="E192" s="48"/>
      <c r="F192" s="48"/>
      <c r="G192" s="48"/>
      <c r="H192" s="48"/>
      <c r="I192" s="48"/>
      <c r="J192" s="48"/>
      <c r="K192" s="49"/>
      <c r="L192" s="28"/>
      <c r="M192" s="28"/>
      <c r="N192" s="28"/>
      <c r="O192" s="28"/>
      <c r="P192" s="28"/>
      <c r="Q192" s="28"/>
      <c r="S192" s="28"/>
      <c r="T192" s="33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2:29" outlineLevel="1" x14ac:dyDescent="0.25">
      <c r="B193" s="27">
        <v>180</v>
      </c>
      <c r="C193" s="48"/>
      <c r="D193" s="48"/>
      <c r="E193" s="48"/>
      <c r="F193" s="48"/>
      <c r="G193" s="48"/>
      <c r="H193" s="48"/>
      <c r="I193" s="48"/>
      <c r="J193" s="48"/>
      <c r="K193" s="49"/>
      <c r="L193" s="28"/>
      <c r="M193" s="28"/>
      <c r="N193" s="28"/>
      <c r="O193" s="28"/>
      <c r="P193" s="28"/>
      <c r="Q193" s="28"/>
      <c r="S193" s="28"/>
      <c r="T193" s="33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2:29" outlineLevel="1" x14ac:dyDescent="0.25">
      <c r="B194" s="27">
        <v>181</v>
      </c>
      <c r="C194" s="48"/>
      <c r="D194" s="48"/>
      <c r="E194" s="48"/>
      <c r="F194" s="48"/>
      <c r="G194" s="48"/>
      <c r="H194" s="48"/>
      <c r="I194" s="48"/>
      <c r="J194" s="48"/>
      <c r="K194" s="49"/>
      <c r="L194" s="28"/>
      <c r="M194" s="28"/>
      <c r="N194" s="28"/>
      <c r="O194" s="28"/>
      <c r="P194" s="28"/>
      <c r="Q194" s="28"/>
      <c r="S194" s="28"/>
      <c r="T194" s="33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2:29" outlineLevel="1" x14ac:dyDescent="0.25">
      <c r="B195" s="27">
        <v>182</v>
      </c>
      <c r="C195" s="48"/>
      <c r="D195" s="48"/>
      <c r="E195" s="48"/>
      <c r="F195" s="48"/>
      <c r="G195" s="48"/>
      <c r="H195" s="48"/>
      <c r="I195" s="48"/>
      <c r="J195" s="48"/>
      <c r="K195" s="49"/>
      <c r="L195" s="28"/>
      <c r="M195" s="28"/>
      <c r="N195" s="28"/>
      <c r="O195" s="28"/>
      <c r="P195" s="28"/>
      <c r="Q195" s="28"/>
      <c r="S195" s="28"/>
      <c r="T195" s="33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2:29" outlineLevel="1" x14ac:dyDescent="0.25">
      <c r="B196" s="27">
        <v>183</v>
      </c>
      <c r="C196" s="48"/>
      <c r="D196" s="48"/>
      <c r="E196" s="48"/>
      <c r="F196" s="48"/>
      <c r="G196" s="48"/>
      <c r="H196" s="48"/>
      <c r="I196" s="48"/>
      <c r="J196" s="48"/>
      <c r="K196" s="49"/>
      <c r="L196" s="28"/>
      <c r="M196" s="28"/>
      <c r="N196" s="28"/>
      <c r="O196" s="28"/>
      <c r="P196" s="28"/>
      <c r="Q196" s="28"/>
      <c r="S196" s="28"/>
      <c r="T196" s="33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2:29" outlineLevel="1" x14ac:dyDescent="0.25">
      <c r="B197" s="27">
        <v>184</v>
      </c>
      <c r="C197" s="48"/>
      <c r="D197" s="48"/>
      <c r="E197" s="48"/>
      <c r="F197" s="48"/>
      <c r="G197" s="48"/>
      <c r="H197" s="48"/>
      <c r="I197" s="48"/>
      <c r="J197" s="48"/>
      <c r="K197" s="49"/>
      <c r="L197" s="28"/>
      <c r="M197" s="28"/>
      <c r="N197" s="28"/>
      <c r="O197" s="28"/>
      <c r="P197" s="28"/>
      <c r="Q197" s="28"/>
      <c r="S197" s="28"/>
      <c r="T197" s="33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2:29" outlineLevel="1" x14ac:dyDescent="0.25">
      <c r="B198" s="27">
        <v>185</v>
      </c>
      <c r="C198" s="48"/>
      <c r="D198" s="48"/>
      <c r="E198" s="48"/>
      <c r="F198" s="48"/>
      <c r="G198" s="48"/>
      <c r="H198" s="48"/>
      <c r="I198" s="48"/>
      <c r="J198" s="48"/>
      <c r="K198" s="49"/>
      <c r="L198" s="28"/>
      <c r="M198" s="28"/>
      <c r="N198" s="28"/>
      <c r="O198" s="28"/>
      <c r="P198" s="28"/>
      <c r="Q198" s="28"/>
      <c r="S198" s="28"/>
      <c r="T198" s="33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2:29" outlineLevel="1" x14ac:dyDescent="0.25">
      <c r="B199" s="27">
        <v>186</v>
      </c>
      <c r="C199" s="48"/>
      <c r="D199" s="48"/>
      <c r="E199" s="48"/>
      <c r="F199" s="48"/>
      <c r="G199" s="48"/>
      <c r="H199" s="48"/>
      <c r="I199" s="48"/>
      <c r="J199" s="48"/>
      <c r="K199" s="49"/>
      <c r="L199" s="28"/>
      <c r="M199" s="28"/>
      <c r="N199" s="28"/>
      <c r="O199" s="28"/>
      <c r="P199" s="28"/>
      <c r="Q199" s="28"/>
      <c r="S199" s="28"/>
      <c r="T199" s="33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2:29" outlineLevel="1" x14ac:dyDescent="0.25">
      <c r="B200" s="27">
        <v>187</v>
      </c>
      <c r="C200" s="48"/>
      <c r="D200" s="48"/>
      <c r="E200" s="48"/>
      <c r="F200" s="48"/>
      <c r="G200" s="48"/>
      <c r="H200" s="48"/>
      <c r="I200" s="48"/>
      <c r="J200" s="48"/>
      <c r="K200" s="49"/>
      <c r="L200" s="28"/>
      <c r="M200" s="28"/>
      <c r="N200" s="28"/>
      <c r="O200" s="28"/>
      <c r="P200" s="28"/>
      <c r="Q200" s="28"/>
      <c r="S200" s="28"/>
      <c r="T200" s="33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2:29" outlineLevel="1" x14ac:dyDescent="0.25">
      <c r="B201" s="27">
        <v>188</v>
      </c>
      <c r="C201" s="48"/>
      <c r="D201" s="48"/>
      <c r="E201" s="48"/>
      <c r="F201" s="48"/>
      <c r="G201" s="48"/>
      <c r="H201" s="48"/>
      <c r="I201" s="48"/>
      <c r="J201" s="48"/>
      <c r="K201" s="49"/>
      <c r="L201" s="28"/>
      <c r="M201" s="28"/>
      <c r="N201" s="28"/>
      <c r="O201" s="28"/>
      <c r="P201" s="28"/>
      <c r="Q201" s="28"/>
      <c r="S201" s="28"/>
      <c r="T201" s="33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2:29" outlineLevel="1" x14ac:dyDescent="0.25">
      <c r="B202" s="27">
        <v>189</v>
      </c>
      <c r="C202" s="48"/>
      <c r="D202" s="48"/>
      <c r="E202" s="48"/>
      <c r="F202" s="48"/>
      <c r="G202" s="48"/>
      <c r="H202" s="48"/>
      <c r="I202" s="48"/>
      <c r="J202" s="48"/>
      <c r="K202" s="49"/>
      <c r="L202" s="28"/>
      <c r="M202" s="28"/>
      <c r="N202" s="28"/>
      <c r="O202" s="28"/>
      <c r="P202" s="28"/>
      <c r="Q202" s="28"/>
      <c r="S202" s="28"/>
      <c r="T202" s="33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2:29" outlineLevel="1" x14ac:dyDescent="0.25">
      <c r="B203" s="27">
        <v>190</v>
      </c>
      <c r="C203" s="48"/>
      <c r="D203" s="48"/>
      <c r="E203" s="48"/>
      <c r="F203" s="48"/>
      <c r="G203" s="48"/>
      <c r="H203" s="48"/>
      <c r="I203" s="48"/>
      <c r="J203" s="48"/>
      <c r="K203" s="49"/>
      <c r="L203" s="28"/>
      <c r="M203" s="28"/>
      <c r="N203" s="28"/>
      <c r="O203" s="28"/>
      <c r="P203" s="28"/>
      <c r="Q203" s="28"/>
      <c r="S203" s="28"/>
      <c r="T203" s="33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2:29" outlineLevel="1" x14ac:dyDescent="0.25">
      <c r="B204" s="27">
        <v>191</v>
      </c>
      <c r="C204" s="48"/>
      <c r="D204" s="48"/>
      <c r="E204" s="48"/>
      <c r="F204" s="48"/>
      <c r="G204" s="48"/>
      <c r="H204" s="48"/>
      <c r="I204" s="48"/>
      <c r="J204" s="48"/>
      <c r="K204" s="49"/>
      <c r="L204" s="28"/>
      <c r="M204" s="28"/>
      <c r="N204" s="28"/>
      <c r="O204" s="28"/>
      <c r="P204" s="28"/>
      <c r="Q204" s="28"/>
      <c r="S204" s="28"/>
      <c r="T204" s="33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2:29" outlineLevel="1" x14ac:dyDescent="0.25">
      <c r="B205" s="27">
        <v>192</v>
      </c>
      <c r="C205" s="48"/>
      <c r="D205" s="48"/>
      <c r="E205" s="48"/>
      <c r="F205" s="48"/>
      <c r="G205" s="48"/>
      <c r="H205" s="48"/>
      <c r="I205" s="48"/>
      <c r="J205" s="48"/>
      <c r="K205" s="49"/>
      <c r="L205" s="28"/>
      <c r="M205" s="28"/>
      <c r="N205" s="28"/>
      <c r="O205" s="28"/>
      <c r="P205" s="28"/>
      <c r="Q205" s="28"/>
      <c r="S205" s="28"/>
      <c r="T205" s="33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2:29" outlineLevel="1" x14ac:dyDescent="0.25">
      <c r="B206" s="27">
        <v>193</v>
      </c>
      <c r="C206" s="48"/>
      <c r="D206" s="48"/>
      <c r="E206" s="48"/>
      <c r="F206" s="48"/>
      <c r="G206" s="48"/>
      <c r="H206" s="48"/>
      <c r="I206" s="48"/>
      <c r="J206" s="48"/>
      <c r="K206" s="49"/>
      <c r="L206" s="28"/>
      <c r="M206" s="28"/>
      <c r="N206" s="28"/>
      <c r="O206" s="28"/>
      <c r="P206" s="28"/>
      <c r="Q206" s="28"/>
      <c r="S206" s="28"/>
      <c r="T206" s="33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2:29" outlineLevel="1" x14ac:dyDescent="0.25">
      <c r="B207" s="27">
        <v>194</v>
      </c>
      <c r="C207" s="48"/>
      <c r="D207" s="48"/>
      <c r="E207" s="48"/>
      <c r="F207" s="48"/>
      <c r="G207" s="48"/>
      <c r="H207" s="48"/>
      <c r="I207" s="48"/>
      <c r="J207" s="48"/>
      <c r="K207" s="49"/>
      <c r="L207" s="28"/>
      <c r="M207" s="28"/>
      <c r="N207" s="28"/>
      <c r="O207" s="28"/>
      <c r="P207" s="28"/>
      <c r="Q207" s="28"/>
      <c r="S207" s="28"/>
      <c r="T207" s="33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2:29" outlineLevel="1" x14ac:dyDescent="0.25">
      <c r="B208" s="27">
        <v>195</v>
      </c>
      <c r="C208" s="48"/>
      <c r="D208" s="48"/>
      <c r="E208" s="48"/>
      <c r="F208" s="48"/>
      <c r="G208" s="48"/>
      <c r="H208" s="48"/>
      <c r="I208" s="48"/>
      <c r="J208" s="48"/>
      <c r="K208" s="49"/>
      <c r="L208" s="28"/>
      <c r="M208" s="28"/>
      <c r="N208" s="28"/>
      <c r="O208" s="28"/>
      <c r="P208" s="28"/>
      <c r="Q208" s="28"/>
      <c r="S208" s="28"/>
      <c r="T208" s="33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2:29" outlineLevel="1" x14ac:dyDescent="0.25">
      <c r="B209" s="27">
        <v>196</v>
      </c>
      <c r="C209" s="48"/>
      <c r="D209" s="48"/>
      <c r="E209" s="48"/>
      <c r="F209" s="48"/>
      <c r="G209" s="48"/>
      <c r="H209" s="48"/>
      <c r="I209" s="48"/>
      <c r="J209" s="48"/>
      <c r="K209" s="49"/>
      <c r="L209" s="28"/>
      <c r="M209" s="28"/>
      <c r="N209" s="28"/>
      <c r="O209" s="28"/>
      <c r="P209" s="28"/>
      <c r="Q209" s="28"/>
      <c r="S209" s="28"/>
      <c r="T209" s="33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2:29" outlineLevel="1" x14ac:dyDescent="0.25">
      <c r="B210" s="27">
        <v>197</v>
      </c>
      <c r="C210" s="48"/>
      <c r="D210" s="48"/>
      <c r="E210" s="48"/>
      <c r="F210" s="48"/>
      <c r="G210" s="48"/>
      <c r="H210" s="48"/>
      <c r="I210" s="48"/>
      <c r="J210" s="48"/>
      <c r="K210" s="49"/>
      <c r="L210" s="28"/>
      <c r="M210" s="28"/>
      <c r="N210" s="28"/>
      <c r="O210" s="28"/>
      <c r="P210" s="28"/>
      <c r="Q210" s="28"/>
      <c r="S210" s="28"/>
      <c r="T210" s="33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2:29" outlineLevel="1" x14ac:dyDescent="0.25">
      <c r="B211" s="27">
        <v>198</v>
      </c>
      <c r="C211" s="48"/>
      <c r="D211" s="48"/>
      <c r="E211" s="48"/>
      <c r="F211" s="48"/>
      <c r="G211" s="48"/>
      <c r="H211" s="48"/>
      <c r="I211" s="48"/>
      <c r="J211" s="48"/>
      <c r="K211" s="49"/>
      <c r="L211" s="28"/>
      <c r="M211" s="28"/>
      <c r="N211" s="28"/>
      <c r="O211" s="28"/>
      <c r="P211" s="28"/>
      <c r="Q211" s="28"/>
      <c r="S211" s="28"/>
      <c r="T211" s="33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2:29" outlineLevel="1" x14ac:dyDescent="0.25">
      <c r="B212" s="27">
        <v>199</v>
      </c>
      <c r="C212" s="48"/>
      <c r="D212" s="48"/>
      <c r="E212" s="48"/>
      <c r="F212" s="48"/>
      <c r="G212" s="48"/>
      <c r="H212" s="48"/>
      <c r="I212" s="48"/>
      <c r="J212" s="48"/>
      <c r="K212" s="49"/>
      <c r="L212" s="28"/>
      <c r="M212" s="28"/>
      <c r="N212" s="28"/>
      <c r="O212" s="28"/>
      <c r="P212" s="28"/>
      <c r="Q212" s="28"/>
      <c r="S212" s="28"/>
      <c r="T212" s="33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2:29" outlineLevel="1" x14ac:dyDescent="0.25">
      <c r="B213" s="27">
        <v>200</v>
      </c>
      <c r="C213" s="48"/>
      <c r="D213" s="48"/>
      <c r="E213" s="48"/>
      <c r="F213" s="48"/>
      <c r="G213" s="48"/>
      <c r="H213" s="48"/>
      <c r="I213" s="48"/>
      <c r="J213" s="48"/>
      <c r="K213" s="49"/>
      <c r="L213" s="28"/>
      <c r="M213" s="28"/>
      <c r="N213" s="28"/>
      <c r="O213" s="28"/>
      <c r="P213" s="28"/>
      <c r="Q213" s="28"/>
      <c r="R213" s="25" t="str">
        <f>IF(AND(C213&lt;&gt;"",SUM(I213,K213,M213,O213,Q213)=1),"pass",IF(AND(C213="",SUM(I213,K213,M213,O213,Q213)=0),"pass","fail"))</f>
        <v>pass</v>
      </c>
      <c r="S213" s="28"/>
      <c r="T213" s="33"/>
      <c r="U213" s="28"/>
      <c r="V213" s="28"/>
      <c r="W213" s="28"/>
      <c r="X213" s="28"/>
      <c r="Y213" s="28"/>
      <c r="Z213" s="28"/>
      <c r="AA213" s="28"/>
      <c r="AB213" s="28"/>
      <c r="AC213" s="28"/>
    </row>
    <row r="216" spans="2:29" ht="15.75" customHeight="1" x14ac:dyDescent="0.25">
      <c r="B216" s="29" t="s">
        <v>65</v>
      </c>
    </row>
    <row r="217" spans="2:29" ht="15.75" customHeight="1" x14ac:dyDescent="0.25">
      <c r="S217" s="72" t="s">
        <v>18</v>
      </c>
      <c r="T217" s="73"/>
      <c r="U217" s="73"/>
      <c r="V217" s="73"/>
      <c r="W217" s="73"/>
    </row>
    <row r="218" spans="2:29" s="55" customFormat="1" ht="30" customHeight="1" x14ac:dyDescent="0.25">
      <c r="B218" s="52" t="s">
        <v>19</v>
      </c>
      <c r="C218" s="52" t="s">
        <v>66</v>
      </c>
      <c r="D218" s="52" t="s">
        <v>21</v>
      </c>
      <c r="E218" s="52" t="s">
        <v>67</v>
      </c>
      <c r="F218" s="52" t="s">
        <v>68</v>
      </c>
      <c r="G218" s="52" t="s">
        <v>24</v>
      </c>
      <c r="H218" s="52" t="s">
        <v>25</v>
      </c>
      <c r="I218" s="52" t="s">
        <v>26</v>
      </c>
      <c r="J218" s="52" t="s">
        <v>27</v>
      </c>
      <c r="K218" s="52" t="s">
        <v>28</v>
      </c>
      <c r="L218" s="52" t="s">
        <v>29</v>
      </c>
      <c r="M218" s="52" t="s">
        <v>30</v>
      </c>
      <c r="N218" s="52" t="s">
        <v>31</v>
      </c>
      <c r="O218" s="52" t="s">
        <v>32</v>
      </c>
      <c r="P218" s="52" t="s">
        <v>33</v>
      </c>
      <c r="Q218" s="52" t="s">
        <v>34</v>
      </c>
      <c r="R218" s="52" t="s">
        <v>35</v>
      </c>
      <c r="S218" s="52" t="s">
        <v>36</v>
      </c>
      <c r="T218" s="52" t="s">
        <v>37</v>
      </c>
      <c r="U218" s="52" t="s">
        <v>38</v>
      </c>
      <c r="V218" s="52" t="s">
        <v>39</v>
      </c>
      <c r="W218" s="53" t="s">
        <v>40</v>
      </c>
      <c r="X218" s="53" t="s">
        <v>41</v>
      </c>
      <c r="Y218" s="53" t="s">
        <v>42</v>
      </c>
      <c r="Z218" s="53" t="s">
        <v>43</v>
      </c>
      <c r="AA218" s="53" t="s">
        <v>44</v>
      </c>
    </row>
    <row r="219" spans="2:29" x14ac:dyDescent="0.25">
      <c r="B219" s="27">
        <v>1</v>
      </c>
      <c r="C219" s="48" t="str">
        <f t="shared" ref="C219:D224" si="1">C14</f>
        <v>Professional Lines</v>
      </c>
      <c r="D219" s="48" t="str">
        <f t="shared" si="1"/>
        <v>Mixed</v>
      </c>
      <c r="E219" s="48" t="str">
        <f t="shared" ref="E219:E224" si="2">C219</f>
        <v>Professional Lines</v>
      </c>
      <c r="F219" s="50"/>
      <c r="G219" s="48" t="s">
        <v>98</v>
      </c>
      <c r="H219" s="48" t="s">
        <v>99</v>
      </c>
      <c r="I219" s="48" t="s">
        <v>100</v>
      </c>
      <c r="J219" s="48" t="s">
        <v>101</v>
      </c>
      <c r="K219" s="49">
        <v>1</v>
      </c>
      <c r="L219" s="50"/>
      <c r="M219" s="50"/>
      <c r="N219" s="50"/>
      <c r="O219" s="50"/>
      <c r="P219" s="50"/>
      <c r="Q219" s="50"/>
      <c r="R219" s="50"/>
      <c r="S219" s="50"/>
      <c r="T219" s="26" t="str">
        <f t="shared" ref="T219:T250" si="3">IF(AND(C219&lt;&gt;"",SUM(K219,M219,O219,Q219,S219)=1),"pass",IF(AND(C219="",SUM(K219,M219,O219,Q219,S219)=0),"pass","fail"))</f>
        <v>pass</v>
      </c>
      <c r="U219" s="50"/>
      <c r="V219" s="50"/>
      <c r="W219" s="50"/>
      <c r="X219" s="50"/>
      <c r="Y219" s="50"/>
      <c r="Z219" s="50"/>
      <c r="AA219" s="50"/>
    </row>
    <row r="220" spans="2:29" x14ac:dyDescent="0.25">
      <c r="B220" s="27">
        <v>2</v>
      </c>
      <c r="C220" s="48" t="str">
        <f t="shared" si="1"/>
        <v>Liability</v>
      </c>
      <c r="D220" s="48" t="str">
        <f t="shared" si="1"/>
        <v>Mixed</v>
      </c>
      <c r="E220" s="48" t="str">
        <f t="shared" si="2"/>
        <v>Liability</v>
      </c>
      <c r="F220" s="50"/>
      <c r="G220" s="48" t="s">
        <v>98</v>
      </c>
      <c r="H220" s="48" t="s">
        <v>99</v>
      </c>
      <c r="I220" s="48" t="s">
        <v>100</v>
      </c>
      <c r="J220" s="48" t="s">
        <v>52</v>
      </c>
      <c r="K220" s="49">
        <v>1</v>
      </c>
      <c r="L220" s="50"/>
      <c r="M220" s="50"/>
      <c r="N220" s="50"/>
      <c r="O220" s="50"/>
      <c r="P220" s="50"/>
      <c r="Q220" s="50"/>
      <c r="R220" s="50"/>
      <c r="S220" s="50"/>
      <c r="T220" s="26" t="str">
        <f t="shared" si="3"/>
        <v>pass</v>
      </c>
      <c r="U220" s="50"/>
      <c r="V220" s="50"/>
      <c r="W220" s="50"/>
      <c r="X220" s="50"/>
      <c r="Y220" s="50"/>
      <c r="Z220" s="50"/>
      <c r="AA220" s="50"/>
    </row>
    <row r="221" spans="2:29" x14ac:dyDescent="0.25">
      <c r="B221" s="27">
        <v>3</v>
      </c>
      <c r="C221" s="48" t="str">
        <f t="shared" si="1"/>
        <v>Credit &amp; Surety</v>
      </c>
      <c r="D221" s="48" t="str">
        <f t="shared" si="1"/>
        <v>Mixed</v>
      </c>
      <c r="E221" s="48" t="str">
        <f t="shared" si="2"/>
        <v>Credit &amp; Surety</v>
      </c>
      <c r="F221" s="50"/>
      <c r="G221" s="48" t="s">
        <v>98</v>
      </c>
      <c r="H221" s="48" t="s">
        <v>99</v>
      </c>
      <c r="I221" s="48" t="s">
        <v>100</v>
      </c>
      <c r="J221" s="48" t="s">
        <v>104</v>
      </c>
      <c r="K221" s="49">
        <v>1</v>
      </c>
      <c r="L221" s="50"/>
      <c r="M221" s="50"/>
      <c r="N221" s="50"/>
      <c r="O221" s="50"/>
      <c r="P221" s="50"/>
      <c r="Q221" s="50"/>
      <c r="R221" s="50"/>
      <c r="S221" s="50"/>
      <c r="T221" s="26" t="str">
        <f t="shared" si="3"/>
        <v>pass</v>
      </c>
      <c r="U221" s="50"/>
      <c r="V221" s="50"/>
      <c r="W221" s="50"/>
      <c r="X221" s="50"/>
      <c r="Y221" s="50"/>
      <c r="Z221" s="50"/>
      <c r="AA221" s="50"/>
    </row>
    <row r="222" spans="2:29" x14ac:dyDescent="0.25">
      <c r="B222" s="27">
        <v>4</v>
      </c>
      <c r="C222" s="48" t="str">
        <f t="shared" si="1"/>
        <v>Motor NP</v>
      </c>
      <c r="D222" s="48" t="str">
        <f t="shared" si="1"/>
        <v>Non Proportional</v>
      </c>
      <c r="E222" s="48" t="str">
        <f t="shared" si="2"/>
        <v>Motor NP</v>
      </c>
      <c r="F222" s="50"/>
      <c r="G222" s="48" t="s">
        <v>106</v>
      </c>
      <c r="H222" s="48" t="s">
        <v>99</v>
      </c>
      <c r="I222" s="48" t="s">
        <v>100</v>
      </c>
      <c r="J222" s="48" t="s">
        <v>107</v>
      </c>
      <c r="K222" s="49">
        <v>1</v>
      </c>
      <c r="L222" s="50"/>
      <c r="M222" s="50"/>
      <c r="N222" s="50"/>
      <c r="O222" s="50"/>
      <c r="P222" s="50"/>
      <c r="Q222" s="50"/>
      <c r="R222" s="50"/>
      <c r="S222" s="50"/>
      <c r="T222" s="26" t="str">
        <f t="shared" si="3"/>
        <v>pass</v>
      </c>
      <c r="U222" s="50"/>
      <c r="V222" s="50"/>
      <c r="W222" s="50"/>
      <c r="X222" s="50"/>
      <c r="Y222" s="50"/>
      <c r="Z222" s="50"/>
      <c r="AA222" s="50"/>
    </row>
    <row r="223" spans="2:29" x14ac:dyDescent="0.25">
      <c r="B223" s="27">
        <v>5</v>
      </c>
      <c r="C223" s="48" t="str">
        <f t="shared" si="1"/>
        <v>Motor PR</v>
      </c>
      <c r="D223" s="48" t="str">
        <f t="shared" si="1"/>
        <v>Proportional</v>
      </c>
      <c r="E223" s="48" t="str">
        <f t="shared" si="2"/>
        <v>Motor PR</v>
      </c>
      <c r="F223" s="50"/>
      <c r="G223" s="48" t="s">
        <v>106</v>
      </c>
      <c r="H223" s="48" t="s">
        <v>99</v>
      </c>
      <c r="I223" s="48" t="s">
        <v>100</v>
      </c>
      <c r="J223" s="48" t="s">
        <v>107</v>
      </c>
      <c r="K223" s="49">
        <v>1</v>
      </c>
      <c r="L223" s="50"/>
      <c r="M223" s="50"/>
      <c r="N223" s="50"/>
      <c r="O223" s="50"/>
      <c r="P223" s="50"/>
      <c r="Q223" s="50"/>
      <c r="R223" s="50"/>
      <c r="S223" s="50"/>
      <c r="T223" s="26" t="str">
        <f t="shared" si="3"/>
        <v>pass</v>
      </c>
      <c r="U223" s="50"/>
      <c r="V223" s="50"/>
      <c r="W223" s="50"/>
      <c r="X223" s="50"/>
      <c r="Y223" s="50"/>
      <c r="Z223" s="50"/>
      <c r="AA223" s="50"/>
    </row>
    <row r="224" spans="2:29" x14ac:dyDescent="0.25">
      <c r="B224" s="27">
        <v>6</v>
      </c>
      <c r="C224" s="48" t="str">
        <f t="shared" si="1"/>
        <v>Cyber</v>
      </c>
      <c r="D224" s="48" t="str">
        <f t="shared" si="1"/>
        <v>Mixed</v>
      </c>
      <c r="E224" s="48" t="str">
        <f t="shared" si="2"/>
        <v>Cyber</v>
      </c>
      <c r="F224" s="50"/>
      <c r="G224" s="48" t="s">
        <v>98</v>
      </c>
      <c r="H224" s="48" t="s">
        <v>99</v>
      </c>
      <c r="I224" s="48" t="s">
        <v>100</v>
      </c>
      <c r="J224" s="48" t="s">
        <v>109</v>
      </c>
      <c r="K224" s="49">
        <v>1</v>
      </c>
      <c r="L224" s="50"/>
      <c r="M224" s="50"/>
      <c r="N224" s="50"/>
      <c r="O224" s="50"/>
      <c r="P224" s="50"/>
      <c r="Q224" s="50"/>
      <c r="R224" s="50"/>
      <c r="S224" s="50"/>
      <c r="T224" s="26" t="str">
        <f t="shared" si="3"/>
        <v>pass</v>
      </c>
      <c r="U224" s="50"/>
      <c r="V224" s="50"/>
      <c r="W224" s="50"/>
      <c r="X224" s="50"/>
      <c r="Y224" s="50"/>
      <c r="Z224" s="50"/>
      <c r="AA224" s="50"/>
    </row>
    <row r="225" spans="2:27" x14ac:dyDescent="0.25">
      <c r="B225" s="27">
        <v>7</v>
      </c>
      <c r="C225" s="48"/>
      <c r="D225" s="48"/>
      <c r="E225" s="48"/>
      <c r="F225" s="50"/>
      <c r="G225" s="48"/>
      <c r="H225" s="48"/>
      <c r="I225" s="48"/>
      <c r="J225" s="48"/>
      <c r="K225" s="49"/>
      <c r="L225" s="50"/>
      <c r="M225" s="50"/>
      <c r="N225" s="50"/>
      <c r="O225" s="50"/>
      <c r="P225" s="50"/>
      <c r="Q225" s="50"/>
      <c r="R225" s="50"/>
      <c r="S225" s="50"/>
      <c r="T225" s="26" t="str">
        <f t="shared" si="3"/>
        <v>pass</v>
      </c>
      <c r="U225" s="50"/>
      <c r="V225" s="50"/>
      <c r="W225" s="50"/>
      <c r="X225" s="50"/>
      <c r="Y225" s="50"/>
      <c r="Z225" s="50"/>
      <c r="AA225" s="50"/>
    </row>
    <row r="226" spans="2:27" x14ac:dyDescent="0.25">
      <c r="B226" s="27">
        <v>8</v>
      </c>
      <c r="C226" s="48"/>
      <c r="D226" s="48"/>
      <c r="E226" s="48"/>
      <c r="F226" s="50"/>
      <c r="G226" s="48"/>
      <c r="H226" s="48"/>
      <c r="I226" s="48"/>
      <c r="J226" s="48"/>
      <c r="K226" s="49"/>
      <c r="L226" s="50"/>
      <c r="M226" s="50"/>
      <c r="N226" s="50"/>
      <c r="O226" s="50"/>
      <c r="P226" s="50"/>
      <c r="Q226" s="50"/>
      <c r="R226" s="50"/>
      <c r="S226" s="50"/>
      <c r="T226" s="26" t="str">
        <f t="shared" si="3"/>
        <v>pass</v>
      </c>
      <c r="U226" s="50"/>
      <c r="V226" s="50"/>
      <c r="W226" s="50"/>
      <c r="X226" s="50"/>
      <c r="Y226" s="50"/>
      <c r="Z226" s="50"/>
      <c r="AA226" s="50"/>
    </row>
    <row r="227" spans="2:27" x14ac:dyDescent="0.25">
      <c r="B227" s="27">
        <v>9</v>
      </c>
      <c r="C227" s="48"/>
      <c r="D227" s="48"/>
      <c r="E227" s="48"/>
      <c r="F227" s="50"/>
      <c r="G227" s="48"/>
      <c r="H227" s="48"/>
      <c r="I227" s="48"/>
      <c r="J227" s="48"/>
      <c r="K227" s="49"/>
      <c r="L227" s="50"/>
      <c r="M227" s="50"/>
      <c r="N227" s="50"/>
      <c r="O227" s="50"/>
      <c r="P227" s="50"/>
      <c r="Q227" s="50"/>
      <c r="R227" s="50"/>
      <c r="S227" s="50"/>
      <c r="T227" s="26" t="str">
        <f t="shared" si="3"/>
        <v>pass</v>
      </c>
      <c r="U227" s="50"/>
      <c r="V227" s="50"/>
      <c r="W227" s="50"/>
      <c r="X227" s="50"/>
      <c r="Y227" s="50"/>
      <c r="Z227" s="50"/>
      <c r="AA227" s="50"/>
    </row>
    <row r="228" spans="2:27" x14ac:dyDescent="0.25">
      <c r="B228" s="27">
        <v>10</v>
      </c>
      <c r="C228" s="48"/>
      <c r="D228" s="48"/>
      <c r="E228" s="48"/>
      <c r="F228" s="50"/>
      <c r="G228" s="48"/>
      <c r="H228" s="48"/>
      <c r="I228" s="48"/>
      <c r="J228" s="48"/>
      <c r="K228" s="49"/>
      <c r="L228" s="50"/>
      <c r="M228" s="50"/>
      <c r="N228" s="50"/>
      <c r="O228" s="50"/>
      <c r="P228" s="50"/>
      <c r="Q228" s="50"/>
      <c r="R228" s="50"/>
      <c r="S228" s="50"/>
      <c r="T228" s="26" t="str">
        <f t="shared" si="3"/>
        <v>pass</v>
      </c>
      <c r="U228" s="50"/>
      <c r="V228" s="50"/>
      <c r="W228" s="50"/>
      <c r="X228" s="50"/>
      <c r="Y228" s="50"/>
      <c r="Z228" s="50"/>
      <c r="AA228" s="50"/>
    </row>
    <row r="229" spans="2:27" x14ac:dyDescent="0.25">
      <c r="B229" s="27">
        <v>11</v>
      </c>
      <c r="C229" s="48"/>
      <c r="D229" s="48"/>
      <c r="E229" s="48"/>
      <c r="F229" s="50"/>
      <c r="G229" s="48"/>
      <c r="H229" s="48"/>
      <c r="I229" s="48"/>
      <c r="J229" s="48"/>
      <c r="K229" s="49"/>
      <c r="L229" s="50"/>
      <c r="M229" s="50"/>
      <c r="N229" s="50"/>
      <c r="O229" s="50"/>
      <c r="P229" s="50"/>
      <c r="Q229" s="50"/>
      <c r="R229" s="50"/>
      <c r="S229" s="50"/>
      <c r="T229" s="26" t="str">
        <f t="shared" si="3"/>
        <v>pass</v>
      </c>
      <c r="U229" s="50"/>
      <c r="V229" s="50"/>
      <c r="W229" s="50"/>
      <c r="X229" s="50"/>
      <c r="Y229" s="50"/>
      <c r="Z229" s="50"/>
      <c r="AA229" s="50"/>
    </row>
    <row r="230" spans="2:27" x14ac:dyDescent="0.25">
      <c r="B230" s="27">
        <v>12</v>
      </c>
      <c r="C230" s="48"/>
      <c r="D230" s="48"/>
      <c r="E230" s="48"/>
      <c r="F230" s="50"/>
      <c r="G230" s="48"/>
      <c r="H230" s="48"/>
      <c r="I230" s="48"/>
      <c r="J230" s="48"/>
      <c r="K230" s="49"/>
      <c r="L230" s="50"/>
      <c r="M230" s="50"/>
      <c r="N230" s="50"/>
      <c r="O230" s="50"/>
      <c r="P230" s="50"/>
      <c r="Q230" s="50"/>
      <c r="R230" s="50"/>
      <c r="S230" s="50"/>
      <c r="T230" s="26" t="str">
        <f t="shared" si="3"/>
        <v>pass</v>
      </c>
      <c r="U230" s="50"/>
      <c r="V230" s="50"/>
      <c r="W230" s="50"/>
      <c r="X230" s="50"/>
      <c r="Y230" s="50"/>
      <c r="Z230" s="50"/>
      <c r="AA230" s="50"/>
    </row>
    <row r="231" spans="2:27" x14ac:dyDescent="0.25">
      <c r="B231" s="27">
        <v>13</v>
      </c>
      <c r="C231" s="48"/>
      <c r="D231" s="48"/>
      <c r="E231" s="48"/>
      <c r="F231" s="50"/>
      <c r="G231" s="48"/>
      <c r="H231" s="48"/>
      <c r="I231" s="48"/>
      <c r="J231" s="48"/>
      <c r="K231" s="49"/>
      <c r="L231" s="50"/>
      <c r="M231" s="50"/>
      <c r="N231" s="50"/>
      <c r="O231" s="50"/>
      <c r="P231" s="50"/>
      <c r="Q231" s="50"/>
      <c r="R231" s="50"/>
      <c r="S231" s="50"/>
      <c r="T231" s="26" t="str">
        <f t="shared" si="3"/>
        <v>pass</v>
      </c>
      <c r="U231" s="50"/>
      <c r="V231" s="50"/>
      <c r="W231" s="50"/>
      <c r="X231" s="50"/>
      <c r="Y231" s="50"/>
      <c r="Z231" s="50"/>
      <c r="AA231" s="50"/>
    </row>
    <row r="232" spans="2:27" x14ac:dyDescent="0.25">
      <c r="B232" s="27">
        <v>14</v>
      </c>
      <c r="C232" s="48"/>
      <c r="D232" s="48"/>
      <c r="E232" s="48"/>
      <c r="F232" s="50"/>
      <c r="G232" s="48"/>
      <c r="H232" s="48"/>
      <c r="I232" s="48"/>
      <c r="J232" s="48"/>
      <c r="K232" s="49"/>
      <c r="L232" s="50"/>
      <c r="M232" s="50"/>
      <c r="N232" s="50"/>
      <c r="O232" s="50"/>
      <c r="P232" s="50"/>
      <c r="Q232" s="50"/>
      <c r="R232" s="50"/>
      <c r="S232" s="50"/>
      <c r="T232" s="26" t="str">
        <f t="shared" si="3"/>
        <v>pass</v>
      </c>
      <c r="U232" s="50"/>
      <c r="V232" s="50"/>
      <c r="W232" s="50"/>
      <c r="X232" s="50"/>
      <c r="Y232" s="50"/>
      <c r="Z232" s="50"/>
      <c r="AA232" s="50"/>
    </row>
    <row r="233" spans="2:27" x14ac:dyDescent="0.25">
      <c r="B233" s="27">
        <v>15</v>
      </c>
      <c r="C233" s="48"/>
      <c r="D233" s="48"/>
      <c r="E233" s="48"/>
      <c r="F233" s="50"/>
      <c r="G233" s="48"/>
      <c r="H233" s="48"/>
      <c r="I233" s="48"/>
      <c r="J233" s="48"/>
      <c r="K233" s="49"/>
      <c r="L233" s="50"/>
      <c r="M233" s="50"/>
      <c r="N233" s="50"/>
      <c r="O233" s="50"/>
      <c r="P233" s="50"/>
      <c r="Q233" s="50"/>
      <c r="R233" s="50"/>
      <c r="S233" s="50"/>
      <c r="T233" s="26" t="str">
        <f t="shared" si="3"/>
        <v>pass</v>
      </c>
      <c r="U233" s="50"/>
      <c r="V233" s="50"/>
      <c r="W233" s="50"/>
      <c r="X233" s="50"/>
      <c r="Y233" s="50"/>
      <c r="Z233" s="50"/>
      <c r="AA233" s="50"/>
    </row>
    <row r="234" spans="2:27" x14ac:dyDescent="0.25">
      <c r="B234" s="27">
        <v>16</v>
      </c>
      <c r="C234" s="48"/>
      <c r="D234" s="48"/>
      <c r="E234" s="48"/>
      <c r="F234" s="50"/>
      <c r="G234" s="48"/>
      <c r="H234" s="48"/>
      <c r="I234" s="48"/>
      <c r="J234" s="48"/>
      <c r="K234" s="49"/>
      <c r="L234" s="50"/>
      <c r="M234" s="50"/>
      <c r="N234" s="50"/>
      <c r="O234" s="50"/>
      <c r="P234" s="50"/>
      <c r="Q234" s="50"/>
      <c r="R234" s="50"/>
      <c r="S234" s="50"/>
      <c r="T234" s="26" t="str">
        <f t="shared" si="3"/>
        <v>pass</v>
      </c>
      <c r="U234" s="50"/>
      <c r="V234" s="50"/>
      <c r="W234" s="50"/>
      <c r="X234" s="50"/>
      <c r="Y234" s="50"/>
      <c r="Z234" s="50"/>
      <c r="AA234" s="50"/>
    </row>
    <row r="235" spans="2:27" x14ac:dyDescent="0.25">
      <c r="B235" s="27">
        <v>17</v>
      </c>
      <c r="C235" s="48"/>
      <c r="D235" s="48"/>
      <c r="E235" s="48"/>
      <c r="F235" s="50"/>
      <c r="G235" s="48"/>
      <c r="H235" s="48"/>
      <c r="I235" s="48"/>
      <c r="J235" s="48"/>
      <c r="K235" s="49"/>
      <c r="L235" s="50"/>
      <c r="M235" s="50"/>
      <c r="N235" s="50"/>
      <c r="O235" s="50"/>
      <c r="P235" s="50"/>
      <c r="Q235" s="50"/>
      <c r="R235" s="50"/>
      <c r="S235" s="50"/>
      <c r="T235" s="26" t="str">
        <f t="shared" si="3"/>
        <v>pass</v>
      </c>
      <c r="U235" s="50"/>
      <c r="V235" s="50"/>
      <c r="W235" s="50"/>
      <c r="X235" s="50"/>
      <c r="Y235" s="50"/>
      <c r="Z235" s="50"/>
      <c r="AA235" s="50"/>
    </row>
    <row r="236" spans="2:27" x14ac:dyDescent="0.25">
      <c r="B236" s="27">
        <v>18</v>
      </c>
      <c r="C236" s="48"/>
      <c r="D236" s="48"/>
      <c r="E236" s="48"/>
      <c r="F236" s="50"/>
      <c r="G236" s="48"/>
      <c r="H236" s="48"/>
      <c r="I236" s="48"/>
      <c r="J236" s="48"/>
      <c r="K236" s="49"/>
      <c r="L236" s="50"/>
      <c r="M236" s="50"/>
      <c r="N236" s="50"/>
      <c r="O236" s="50"/>
      <c r="P236" s="50"/>
      <c r="Q236" s="50"/>
      <c r="R236" s="50"/>
      <c r="S236" s="50"/>
      <c r="T236" s="26" t="str">
        <f t="shared" si="3"/>
        <v>pass</v>
      </c>
      <c r="U236" s="50"/>
      <c r="V236" s="50"/>
      <c r="W236" s="50"/>
      <c r="X236" s="50"/>
      <c r="Y236" s="50"/>
      <c r="Z236" s="50"/>
      <c r="AA236" s="50"/>
    </row>
    <row r="237" spans="2:27" x14ac:dyDescent="0.25">
      <c r="B237" s="27">
        <v>19</v>
      </c>
      <c r="C237" s="48"/>
      <c r="D237" s="48"/>
      <c r="E237" s="48"/>
      <c r="F237" s="50"/>
      <c r="G237" s="48"/>
      <c r="H237" s="48"/>
      <c r="I237" s="48"/>
      <c r="J237" s="48"/>
      <c r="K237" s="49"/>
      <c r="L237" s="50"/>
      <c r="M237" s="50"/>
      <c r="N237" s="50"/>
      <c r="O237" s="50"/>
      <c r="P237" s="50"/>
      <c r="Q237" s="50"/>
      <c r="R237" s="50"/>
      <c r="S237" s="50"/>
      <c r="T237" s="26" t="str">
        <f t="shared" si="3"/>
        <v>pass</v>
      </c>
      <c r="U237" s="50"/>
      <c r="V237" s="50"/>
      <c r="W237" s="50"/>
      <c r="X237" s="50"/>
      <c r="Y237" s="50"/>
      <c r="Z237" s="50"/>
      <c r="AA237" s="50"/>
    </row>
    <row r="238" spans="2:27" x14ac:dyDescent="0.25">
      <c r="B238" s="27">
        <v>20</v>
      </c>
      <c r="C238" s="48"/>
      <c r="D238" s="48"/>
      <c r="E238" s="48"/>
      <c r="F238" s="50"/>
      <c r="G238" s="48"/>
      <c r="H238" s="48"/>
      <c r="I238" s="48"/>
      <c r="J238" s="48"/>
      <c r="K238" s="49"/>
      <c r="L238" s="50"/>
      <c r="M238" s="50"/>
      <c r="N238" s="50"/>
      <c r="O238" s="50"/>
      <c r="P238" s="50"/>
      <c r="Q238" s="50"/>
      <c r="R238" s="50"/>
      <c r="S238" s="50"/>
      <c r="T238" s="26" t="str">
        <f t="shared" si="3"/>
        <v>pass</v>
      </c>
      <c r="U238" s="50"/>
      <c r="V238" s="50"/>
      <c r="W238" s="50"/>
      <c r="X238" s="50"/>
      <c r="Y238" s="50"/>
      <c r="Z238" s="50"/>
      <c r="AA238" s="50"/>
    </row>
    <row r="239" spans="2:27" x14ac:dyDescent="0.25">
      <c r="B239" s="27">
        <v>21</v>
      </c>
      <c r="C239" s="48"/>
      <c r="D239" s="48"/>
      <c r="E239" s="48"/>
      <c r="F239" s="50"/>
      <c r="G239" s="48"/>
      <c r="H239" s="48"/>
      <c r="I239" s="48"/>
      <c r="J239" s="48"/>
      <c r="K239" s="49"/>
      <c r="L239" s="50"/>
      <c r="M239" s="50"/>
      <c r="N239" s="50"/>
      <c r="O239" s="50"/>
      <c r="P239" s="50"/>
      <c r="Q239" s="50"/>
      <c r="R239" s="50"/>
      <c r="S239" s="50"/>
      <c r="T239" s="26" t="str">
        <f t="shared" si="3"/>
        <v>pass</v>
      </c>
      <c r="U239" s="50"/>
      <c r="V239" s="50"/>
      <c r="W239" s="50"/>
      <c r="X239" s="50"/>
      <c r="Y239" s="50"/>
      <c r="Z239" s="50"/>
      <c r="AA239" s="50"/>
    </row>
    <row r="240" spans="2:27" x14ac:dyDescent="0.25">
      <c r="B240" s="27">
        <v>22</v>
      </c>
      <c r="C240" s="48"/>
      <c r="D240" s="48"/>
      <c r="E240" s="48"/>
      <c r="F240" s="50"/>
      <c r="G240" s="48"/>
      <c r="H240" s="48"/>
      <c r="I240" s="48"/>
      <c r="J240" s="48"/>
      <c r="K240" s="49"/>
      <c r="L240" s="50"/>
      <c r="M240" s="50"/>
      <c r="N240" s="50"/>
      <c r="O240" s="50"/>
      <c r="P240" s="50"/>
      <c r="Q240" s="50"/>
      <c r="R240" s="50"/>
      <c r="S240" s="50"/>
      <c r="T240" s="26" t="str">
        <f t="shared" si="3"/>
        <v>pass</v>
      </c>
      <c r="U240" s="50"/>
      <c r="V240" s="50"/>
      <c r="W240" s="50"/>
      <c r="X240" s="50"/>
      <c r="Y240" s="50"/>
      <c r="Z240" s="50"/>
      <c r="AA240" s="50"/>
    </row>
    <row r="241" spans="2:27" x14ac:dyDescent="0.25">
      <c r="B241" s="27">
        <v>23</v>
      </c>
      <c r="C241" s="48"/>
      <c r="D241" s="48"/>
      <c r="E241" s="48"/>
      <c r="F241" s="50"/>
      <c r="G241" s="48"/>
      <c r="H241" s="48"/>
      <c r="I241" s="48"/>
      <c r="J241" s="48"/>
      <c r="K241" s="49"/>
      <c r="L241" s="50"/>
      <c r="M241" s="50"/>
      <c r="N241" s="50"/>
      <c r="O241" s="50"/>
      <c r="P241" s="50"/>
      <c r="Q241" s="50"/>
      <c r="R241" s="50"/>
      <c r="S241" s="50"/>
      <c r="T241" s="26" t="str">
        <f t="shared" si="3"/>
        <v>pass</v>
      </c>
      <c r="U241" s="50"/>
      <c r="V241" s="50"/>
      <c r="W241" s="50"/>
      <c r="X241" s="50"/>
      <c r="Y241" s="50"/>
      <c r="Z241" s="50"/>
      <c r="AA241" s="50"/>
    </row>
    <row r="242" spans="2:27" x14ac:dyDescent="0.25">
      <c r="B242" s="27">
        <v>24</v>
      </c>
      <c r="C242" s="48"/>
      <c r="D242" s="48"/>
      <c r="E242" s="48"/>
      <c r="F242" s="50"/>
      <c r="G242" s="48"/>
      <c r="H242" s="48"/>
      <c r="I242" s="48"/>
      <c r="J242" s="48"/>
      <c r="K242" s="49"/>
      <c r="L242" s="50"/>
      <c r="M242" s="50"/>
      <c r="N242" s="50"/>
      <c r="O242" s="50"/>
      <c r="P242" s="50"/>
      <c r="Q242" s="50"/>
      <c r="R242" s="50"/>
      <c r="S242" s="50"/>
      <c r="T242" s="26" t="str">
        <f t="shared" si="3"/>
        <v>pass</v>
      </c>
      <c r="U242" s="50"/>
      <c r="V242" s="50"/>
      <c r="W242" s="50"/>
      <c r="X242" s="50"/>
      <c r="Y242" s="50"/>
      <c r="Z242" s="50"/>
      <c r="AA242" s="50"/>
    </row>
    <row r="243" spans="2:27" x14ac:dyDescent="0.25">
      <c r="B243" s="27">
        <v>25</v>
      </c>
      <c r="C243" s="48"/>
      <c r="D243" s="48"/>
      <c r="E243" s="48"/>
      <c r="F243" s="50"/>
      <c r="G243" s="48"/>
      <c r="H243" s="48"/>
      <c r="I243" s="48"/>
      <c r="J243" s="48"/>
      <c r="K243" s="49"/>
      <c r="L243" s="50"/>
      <c r="M243" s="50"/>
      <c r="N243" s="50"/>
      <c r="O243" s="50"/>
      <c r="P243" s="50"/>
      <c r="Q243" s="50"/>
      <c r="R243" s="50"/>
      <c r="S243" s="50"/>
      <c r="T243" s="26" t="str">
        <f t="shared" si="3"/>
        <v>pass</v>
      </c>
      <c r="U243" s="50"/>
      <c r="V243" s="50"/>
      <c r="W243" s="50"/>
      <c r="X243" s="50"/>
      <c r="Y243" s="50"/>
      <c r="Z243" s="50"/>
      <c r="AA243" s="50"/>
    </row>
    <row r="244" spans="2:27" outlineLevel="2" x14ac:dyDescent="0.25">
      <c r="B244" s="27">
        <v>26</v>
      </c>
      <c r="C244" s="28"/>
      <c r="D244" s="28"/>
      <c r="E244" s="28"/>
      <c r="F244" s="28"/>
      <c r="G244" s="48"/>
      <c r="H244" s="48"/>
      <c r="I244" s="48"/>
      <c r="J244" s="48"/>
      <c r="K244" s="49"/>
      <c r="L244" s="28"/>
      <c r="M244" s="28"/>
      <c r="N244" s="28"/>
      <c r="O244" s="28"/>
      <c r="P244" s="28"/>
      <c r="Q244" s="28"/>
      <c r="R244" s="28"/>
      <c r="S244" s="28"/>
      <c r="T244" s="25" t="str">
        <f t="shared" si="3"/>
        <v>pass</v>
      </c>
      <c r="U244" s="28"/>
      <c r="V244" s="28"/>
      <c r="W244" s="28"/>
      <c r="X244" s="28"/>
      <c r="Y244" s="28"/>
      <c r="Z244" s="28"/>
      <c r="AA244" s="28"/>
    </row>
    <row r="245" spans="2:27" outlineLevel="2" x14ac:dyDescent="0.25">
      <c r="B245" s="27">
        <v>27</v>
      </c>
      <c r="C245" s="28"/>
      <c r="D245" s="28"/>
      <c r="E245" s="28"/>
      <c r="F245" s="28"/>
      <c r="G245" s="48"/>
      <c r="H245" s="48"/>
      <c r="I245" s="48"/>
      <c r="J245" s="48"/>
      <c r="K245" s="49"/>
      <c r="L245" s="28"/>
      <c r="M245" s="28"/>
      <c r="N245" s="28"/>
      <c r="O245" s="28"/>
      <c r="P245" s="28"/>
      <c r="Q245" s="28"/>
      <c r="R245" s="28"/>
      <c r="S245" s="28"/>
      <c r="T245" s="25" t="str">
        <f t="shared" si="3"/>
        <v>pass</v>
      </c>
      <c r="U245" s="28"/>
      <c r="V245" s="28"/>
      <c r="W245" s="28"/>
      <c r="X245" s="28"/>
      <c r="Y245" s="28"/>
      <c r="Z245" s="28"/>
      <c r="AA245" s="28"/>
    </row>
    <row r="246" spans="2:27" outlineLevel="2" x14ac:dyDescent="0.25">
      <c r="B246" s="27">
        <v>28</v>
      </c>
      <c r="C246" s="28"/>
      <c r="D246" s="28"/>
      <c r="E246" s="28"/>
      <c r="F246" s="28"/>
      <c r="G246" s="48"/>
      <c r="H246" s="48"/>
      <c r="I246" s="48"/>
      <c r="J246" s="48"/>
      <c r="K246" s="49"/>
      <c r="L246" s="28"/>
      <c r="M246" s="28"/>
      <c r="N246" s="28"/>
      <c r="O246" s="28"/>
      <c r="P246" s="28"/>
      <c r="Q246" s="28"/>
      <c r="R246" s="28"/>
      <c r="S246" s="28"/>
      <c r="T246" s="25" t="str">
        <f t="shared" si="3"/>
        <v>pass</v>
      </c>
      <c r="U246" s="28"/>
      <c r="V246" s="28"/>
      <c r="W246" s="28"/>
      <c r="X246" s="28"/>
      <c r="Y246" s="28"/>
      <c r="Z246" s="28"/>
      <c r="AA246" s="28"/>
    </row>
    <row r="247" spans="2:27" outlineLevel="2" x14ac:dyDescent="0.25">
      <c r="B247" s="27">
        <v>29</v>
      </c>
      <c r="C247" s="28"/>
      <c r="D247" s="28"/>
      <c r="E247" s="28"/>
      <c r="F247" s="28"/>
      <c r="G247" s="48"/>
      <c r="H247" s="48"/>
      <c r="I247" s="48"/>
      <c r="J247" s="48"/>
      <c r="K247" s="49"/>
      <c r="L247" s="28"/>
      <c r="M247" s="28"/>
      <c r="N247" s="28"/>
      <c r="O247" s="28"/>
      <c r="P247" s="28"/>
      <c r="Q247" s="28"/>
      <c r="R247" s="28"/>
      <c r="S247" s="28"/>
      <c r="T247" s="25" t="str">
        <f t="shared" si="3"/>
        <v>pass</v>
      </c>
      <c r="U247" s="28"/>
      <c r="V247" s="28"/>
      <c r="W247" s="28"/>
      <c r="X247" s="28"/>
      <c r="Y247" s="28"/>
      <c r="Z247" s="28"/>
      <c r="AA247" s="28"/>
    </row>
    <row r="248" spans="2:27" outlineLevel="2" x14ac:dyDescent="0.25">
      <c r="B248" s="27">
        <v>30</v>
      </c>
      <c r="C248" s="28"/>
      <c r="D248" s="28"/>
      <c r="E248" s="28"/>
      <c r="F248" s="28"/>
      <c r="G248" s="48"/>
      <c r="H248" s="48"/>
      <c r="I248" s="48"/>
      <c r="J248" s="48"/>
      <c r="K248" s="49"/>
      <c r="L248" s="28"/>
      <c r="M248" s="28"/>
      <c r="N248" s="28"/>
      <c r="O248" s="28"/>
      <c r="P248" s="28"/>
      <c r="Q248" s="28"/>
      <c r="R248" s="28"/>
      <c r="S248" s="28"/>
      <c r="T248" s="25" t="str">
        <f t="shared" si="3"/>
        <v>pass</v>
      </c>
      <c r="U248" s="28"/>
      <c r="V248" s="28"/>
      <c r="W248" s="28"/>
      <c r="X248" s="28"/>
      <c r="Y248" s="28"/>
      <c r="Z248" s="28"/>
      <c r="AA248" s="28"/>
    </row>
    <row r="249" spans="2:27" outlineLevel="2" x14ac:dyDescent="0.25">
      <c r="B249" s="27">
        <v>31</v>
      </c>
      <c r="C249" s="28"/>
      <c r="D249" s="28"/>
      <c r="E249" s="28"/>
      <c r="F249" s="28"/>
      <c r="G249" s="48"/>
      <c r="H249" s="48"/>
      <c r="I249" s="48"/>
      <c r="J249" s="48"/>
      <c r="K249" s="49"/>
      <c r="L249" s="28"/>
      <c r="M249" s="28"/>
      <c r="N249" s="28"/>
      <c r="O249" s="28"/>
      <c r="P249" s="28"/>
      <c r="Q249" s="28"/>
      <c r="R249" s="28"/>
      <c r="S249" s="28"/>
      <c r="T249" s="25" t="str">
        <f t="shared" si="3"/>
        <v>pass</v>
      </c>
      <c r="U249" s="28"/>
      <c r="V249" s="28"/>
      <c r="W249" s="28"/>
      <c r="X249" s="28"/>
      <c r="Y249" s="28"/>
      <c r="Z249" s="28"/>
      <c r="AA249" s="28"/>
    </row>
    <row r="250" spans="2:27" outlineLevel="2" x14ac:dyDescent="0.25">
      <c r="B250" s="27">
        <v>32</v>
      </c>
      <c r="C250" s="28"/>
      <c r="D250" s="28"/>
      <c r="E250" s="28"/>
      <c r="F250" s="28"/>
      <c r="G250" s="48"/>
      <c r="H250" s="48"/>
      <c r="I250" s="48"/>
      <c r="J250" s="48"/>
      <c r="K250" s="49"/>
      <c r="L250" s="28"/>
      <c r="M250" s="28"/>
      <c r="N250" s="28"/>
      <c r="O250" s="28"/>
      <c r="P250" s="28"/>
      <c r="Q250" s="28"/>
      <c r="R250" s="28"/>
      <c r="S250" s="28"/>
      <c r="T250" s="25" t="str">
        <f t="shared" si="3"/>
        <v>pass</v>
      </c>
      <c r="U250" s="28"/>
      <c r="V250" s="28"/>
      <c r="W250" s="28"/>
      <c r="X250" s="28"/>
      <c r="Y250" s="28"/>
      <c r="Z250" s="28"/>
      <c r="AA250" s="28"/>
    </row>
    <row r="251" spans="2:27" outlineLevel="2" x14ac:dyDescent="0.25">
      <c r="B251" s="27">
        <v>33</v>
      </c>
      <c r="C251" s="28"/>
      <c r="D251" s="28"/>
      <c r="E251" s="28"/>
      <c r="F251" s="28"/>
      <c r="G251" s="48"/>
      <c r="H251" s="48"/>
      <c r="I251" s="48"/>
      <c r="J251" s="48"/>
      <c r="K251" s="49"/>
      <c r="L251" s="28"/>
      <c r="M251" s="28"/>
      <c r="N251" s="28"/>
      <c r="O251" s="28"/>
      <c r="P251" s="28"/>
      <c r="Q251" s="28"/>
      <c r="R251" s="28"/>
      <c r="S251" s="28"/>
      <c r="T251" s="25" t="str">
        <f t="shared" ref="T251:T282" si="4">IF(AND(C251&lt;&gt;"",SUM(K251,M251,O251,Q251,S251)=1),"pass",IF(AND(C251="",SUM(K251,M251,O251,Q251,S251)=0),"pass","fail"))</f>
        <v>pass</v>
      </c>
      <c r="U251" s="28"/>
      <c r="V251" s="28"/>
      <c r="W251" s="28"/>
      <c r="X251" s="28"/>
      <c r="Y251" s="28"/>
      <c r="Z251" s="28"/>
      <c r="AA251" s="28"/>
    </row>
    <row r="252" spans="2:27" outlineLevel="2" x14ac:dyDescent="0.25">
      <c r="B252" s="27">
        <v>34</v>
      </c>
      <c r="C252" s="28"/>
      <c r="D252" s="28"/>
      <c r="E252" s="28"/>
      <c r="F252" s="28"/>
      <c r="G252" s="48"/>
      <c r="H252" s="48"/>
      <c r="I252" s="48"/>
      <c r="J252" s="48"/>
      <c r="K252" s="49"/>
      <c r="L252" s="28"/>
      <c r="M252" s="28"/>
      <c r="N252" s="28"/>
      <c r="O252" s="28"/>
      <c r="P252" s="28"/>
      <c r="Q252" s="28"/>
      <c r="R252" s="28"/>
      <c r="S252" s="28"/>
      <c r="T252" s="25" t="str">
        <f t="shared" si="4"/>
        <v>pass</v>
      </c>
      <c r="U252" s="28"/>
      <c r="V252" s="28"/>
      <c r="W252" s="28"/>
      <c r="X252" s="28"/>
      <c r="Y252" s="28"/>
      <c r="Z252" s="28"/>
      <c r="AA252" s="28"/>
    </row>
    <row r="253" spans="2:27" outlineLevel="2" x14ac:dyDescent="0.25">
      <c r="B253" s="27">
        <v>35</v>
      </c>
      <c r="C253" s="28"/>
      <c r="D253" s="28"/>
      <c r="E253" s="28"/>
      <c r="F253" s="28"/>
      <c r="G253" s="48"/>
      <c r="H253" s="48"/>
      <c r="I253" s="48"/>
      <c r="J253" s="48"/>
      <c r="K253" s="49"/>
      <c r="L253" s="28"/>
      <c r="M253" s="28"/>
      <c r="N253" s="28"/>
      <c r="O253" s="28"/>
      <c r="P253" s="28"/>
      <c r="Q253" s="28"/>
      <c r="R253" s="28"/>
      <c r="S253" s="28"/>
      <c r="T253" s="25" t="str">
        <f t="shared" si="4"/>
        <v>pass</v>
      </c>
      <c r="U253" s="28"/>
      <c r="V253" s="28"/>
      <c r="W253" s="28"/>
      <c r="X253" s="28"/>
      <c r="Y253" s="28"/>
      <c r="Z253" s="28"/>
      <c r="AA253" s="28"/>
    </row>
    <row r="254" spans="2:27" outlineLevel="2" x14ac:dyDescent="0.25">
      <c r="B254" s="27">
        <v>36</v>
      </c>
      <c r="C254" s="28"/>
      <c r="D254" s="28"/>
      <c r="E254" s="28"/>
      <c r="F254" s="28"/>
      <c r="G254" s="48"/>
      <c r="H254" s="48"/>
      <c r="I254" s="48"/>
      <c r="J254" s="48"/>
      <c r="K254" s="49"/>
      <c r="L254" s="28"/>
      <c r="M254" s="28"/>
      <c r="N254" s="28"/>
      <c r="O254" s="28"/>
      <c r="P254" s="28"/>
      <c r="Q254" s="28"/>
      <c r="R254" s="28"/>
      <c r="S254" s="28"/>
      <c r="T254" s="25" t="str">
        <f t="shared" si="4"/>
        <v>pass</v>
      </c>
      <c r="U254" s="28"/>
      <c r="V254" s="28"/>
      <c r="W254" s="28"/>
      <c r="X254" s="28"/>
      <c r="Y254" s="28"/>
      <c r="Z254" s="28"/>
      <c r="AA254" s="28"/>
    </row>
    <row r="255" spans="2:27" outlineLevel="2" x14ac:dyDescent="0.25">
      <c r="B255" s="27">
        <v>37</v>
      </c>
      <c r="C255" s="28"/>
      <c r="D255" s="28"/>
      <c r="E255" s="28"/>
      <c r="F255" s="28"/>
      <c r="G255" s="48"/>
      <c r="H255" s="48"/>
      <c r="I255" s="48"/>
      <c r="J255" s="48"/>
      <c r="K255" s="49"/>
      <c r="L255" s="28"/>
      <c r="M255" s="28"/>
      <c r="N255" s="28"/>
      <c r="O255" s="28"/>
      <c r="P255" s="28"/>
      <c r="Q255" s="28"/>
      <c r="R255" s="28"/>
      <c r="S255" s="28"/>
      <c r="T255" s="25" t="str">
        <f t="shared" si="4"/>
        <v>pass</v>
      </c>
      <c r="U255" s="28"/>
      <c r="V255" s="28"/>
      <c r="W255" s="28"/>
      <c r="X255" s="28"/>
      <c r="Y255" s="28"/>
      <c r="Z255" s="28"/>
      <c r="AA255" s="28"/>
    </row>
    <row r="256" spans="2:27" outlineLevel="2" x14ac:dyDescent="0.25">
      <c r="B256" s="27">
        <v>38</v>
      </c>
      <c r="C256" s="28"/>
      <c r="D256" s="28"/>
      <c r="E256" s="28"/>
      <c r="F256" s="28"/>
      <c r="G256" s="48"/>
      <c r="H256" s="48"/>
      <c r="I256" s="48"/>
      <c r="J256" s="48"/>
      <c r="K256" s="49"/>
      <c r="L256" s="28"/>
      <c r="M256" s="28"/>
      <c r="N256" s="28"/>
      <c r="O256" s="28"/>
      <c r="P256" s="28"/>
      <c r="Q256" s="28"/>
      <c r="R256" s="28"/>
      <c r="S256" s="28"/>
      <c r="T256" s="25" t="str">
        <f t="shared" si="4"/>
        <v>pass</v>
      </c>
      <c r="U256" s="28"/>
      <c r="V256" s="28"/>
      <c r="W256" s="28"/>
      <c r="X256" s="28"/>
      <c r="Y256" s="28"/>
      <c r="Z256" s="28"/>
      <c r="AA256" s="28"/>
    </row>
    <row r="257" spans="2:27" outlineLevel="2" x14ac:dyDescent="0.25">
      <c r="B257" s="27">
        <v>39</v>
      </c>
      <c r="C257" s="28"/>
      <c r="D257" s="28"/>
      <c r="E257" s="28"/>
      <c r="F257" s="28"/>
      <c r="G257" s="48"/>
      <c r="H257" s="48"/>
      <c r="I257" s="48"/>
      <c r="J257" s="48"/>
      <c r="K257" s="49"/>
      <c r="L257" s="28"/>
      <c r="M257" s="28"/>
      <c r="N257" s="28"/>
      <c r="O257" s="28"/>
      <c r="P257" s="28"/>
      <c r="Q257" s="28"/>
      <c r="R257" s="28"/>
      <c r="S257" s="28"/>
      <c r="T257" s="25" t="str">
        <f t="shared" si="4"/>
        <v>pass</v>
      </c>
      <c r="U257" s="28"/>
      <c r="V257" s="28"/>
      <c r="W257" s="28"/>
      <c r="X257" s="28"/>
      <c r="Y257" s="28"/>
      <c r="Z257" s="28"/>
      <c r="AA257" s="28"/>
    </row>
    <row r="258" spans="2:27" outlineLevel="2" x14ac:dyDescent="0.25">
      <c r="B258" s="27">
        <v>40</v>
      </c>
      <c r="C258" s="28"/>
      <c r="D258" s="28"/>
      <c r="E258" s="28"/>
      <c r="F258" s="28"/>
      <c r="G258" s="48"/>
      <c r="H258" s="48"/>
      <c r="I258" s="48"/>
      <c r="J258" s="48"/>
      <c r="K258" s="49"/>
      <c r="L258" s="28"/>
      <c r="M258" s="28"/>
      <c r="N258" s="28"/>
      <c r="O258" s="28"/>
      <c r="P258" s="28"/>
      <c r="Q258" s="28"/>
      <c r="R258" s="28"/>
      <c r="S258" s="28"/>
      <c r="T258" s="25" t="str">
        <f t="shared" si="4"/>
        <v>pass</v>
      </c>
      <c r="U258" s="28"/>
      <c r="V258" s="28"/>
      <c r="W258" s="28"/>
      <c r="X258" s="28"/>
      <c r="Y258" s="28"/>
      <c r="Z258" s="28"/>
      <c r="AA258" s="28"/>
    </row>
    <row r="259" spans="2:27" outlineLevel="2" x14ac:dyDescent="0.25">
      <c r="B259" s="27">
        <v>41</v>
      </c>
      <c r="C259" s="28"/>
      <c r="D259" s="28"/>
      <c r="E259" s="28"/>
      <c r="F259" s="28"/>
      <c r="G259" s="48"/>
      <c r="H259" s="48"/>
      <c r="I259" s="48"/>
      <c r="J259" s="48"/>
      <c r="K259" s="49"/>
      <c r="L259" s="28"/>
      <c r="M259" s="28"/>
      <c r="N259" s="28"/>
      <c r="O259" s="28"/>
      <c r="P259" s="28"/>
      <c r="Q259" s="28"/>
      <c r="R259" s="28"/>
      <c r="S259" s="28"/>
      <c r="T259" s="25" t="str">
        <f t="shared" si="4"/>
        <v>pass</v>
      </c>
      <c r="U259" s="28"/>
      <c r="V259" s="28"/>
      <c r="W259" s="28"/>
      <c r="X259" s="28"/>
      <c r="Y259" s="28"/>
      <c r="Z259" s="28"/>
      <c r="AA259" s="28"/>
    </row>
    <row r="260" spans="2:27" outlineLevel="2" x14ac:dyDescent="0.25">
      <c r="B260" s="27">
        <v>42</v>
      </c>
      <c r="C260" s="28"/>
      <c r="D260" s="28"/>
      <c r="E260" s="28"/>
      <c r="F260" s="28"/>
      <c r="G260" s="48"/>
      <c r="H260" s="48"/>
      <c r="I260" s="48"/>
      <c r="J260" s="48"/>
      <c r="K260" s="49"/>
      <c r="L260" s="28"/>
      <c r="M260" s="28"/>
      <c r="N260" s="28"/>
      <c r="O260" s="28"/>
      <c r="P260" s="28"/>
      <c r="Q260" s="28"/>
      <c r="R260" s="28"/>
      <c r="S260" s="28"/>
      <c r="T260" s="25" t="str">
        <f t="shared" si="4"/>
        <v>pass</v>
      </c>
      <c r="U260" s="28"/>
      <c r="V260" s="28"/>
      <c r="W260" s="28"/>
      <c r="X260" s="28"/>
      <c r="Y260" s="28"/>
      <c r="Z260" s="28"/>
      <c r="AA260" s="28"/>
    </row>
    <row r="261" spans="2:27" outlineLevel="2" x14ac:dyDescent="0.25">
      <c r="B261" s="27">
        <v>43</v>
      </c>
      <c r="C261" s="28"/>
      <c r="D261" s="28"/>
      <c r="E261" s="28"/>
      <c r="F261" s="28"/>
      <c r="G261" s="48"/>
      <c r="H261" s="48"/>
      <c r="I261" s="48"/>
      <c r="J261" s="48"/>
      <c r="K261" s="49"/>
      <c r="L261" s="28"/>
      <c r="M261" s="28"/>
      <c r="N261" s="28"/>
      <c r="O261" s="28"/>
      <c r="P261" s="28"/>
      <c r="Q261" s="28"/>
      <c r="R261" s="28"/>
      <c r="S261" s="28"/>
      <c r="T261" s="25" t="str">
        <f t="shared" si="4"/>
        <v>pass</v>
      </c>
      <c r="U261" s="28"/>
      <c r="V261" s="28"/>
      <c r="W261" s="28"/>
      <c r="X261" s="28"/>
      <c r="Y261" s="28"/>
      <c r="Z261" s="28"/>
      <c r="AA261" s="28"/>
    </row>
    <row r="262" spans="2:27" outlineLevel="2" x14ac:dyDescent="0.25">
      <c r="B262" s="27">
        <v>44</v>
      </c>
      <c r="C262" s="28"/>
      <c r="D262" s="28"/>
      <c r="E262" s="28"/>
      <c r="F262" s="28"/>
      <c r="G262" s="48"/>
      <c r="H262" s="48"/>
      <c r="I262" s="48"/>
      <c r="J262" s="48"/>
      <c r="K262" s="49"/>
      <c r="L262" s="28"/>
      <c r="M262" s="28"/>
      <c r="N262" s="28"/>
      <c r="O262" s="28"/>
      <c r="P262" s="28"/>
      <c r="Q262" s="28"/>
      <c r="R262" s="28"/>
      <c r="S262" s="28"/>
      <c r="T262" s="25" t="str">
        <f t="shared" si="4"/>
        <v>pass</v>
      </c>
      <c r="U262" s="28"/>
      <c r="V262" s="28"/>
      <c r="W262" s="28"/>
      <c r="X262" s="28"/>
      <c r="Y262" s="28"/>
      <c r="Z262" s="28"/>
      <c r="AA262" s="28"/>
    </row>
    <row r="263" spans="2:27" outlineLevel="2" x14ac:dyDescent="0.25">
      <c r="B263" s="27">
        <v>45</v>
      </c>
      <c r="C263" s="28"/>
      <c r="D263" s="28"/>
      <c r="E263" s="28"/>
      <c r="F263" s="28"/>
      <c r="G263" s="48"/>
      <c r="H263" s="48"/>
      <c r="I263" s="48"/>
      <c r="J263" s="48"/>
      <c r="K263" s="49"/>
      <c r="L263" s="28"/>
      <c r="M263" s="28"/>
      <c r="N263" s="28"/>
      <c r="O263" s="28"/>
      <c r="P263" s="28"/>
      <c r="Q263" s="28"/>
      <c r="R263" s="28"/>
      <c r="S263" s="28"/>
      <c r="T263" s="25" t="str">
        <f t="shared" si="4"/>
        <v>pass</v>
      </c>
      <c r="U263" s="28"/>
      <c r="V263" s="28"/>
      <c r="W263" s="28"/>
      <c r="X263" s="28"/>
      <c r="Y263" s="28"/>
      <c r="Z263" s="28"/>
      <c r="AA263" s="28"/>
    </row>
    <row r="264" spans="2:27" outlineLevel="2" x14ac:dyDescent="0.25">
      <c r="B264" s="27">
        <v>46</v>
      </c>
      <c r="C264" s="28"/>
      <c r="D264" s="28"/>
      <c r="E264" s="28"/>
      <c r="F264" s="28"/>
      <c r="G264" s="48"/>
      <c r="H264" s="48"/>
      <c r="I264" s="48"/>
      <c r="J264" s="48"/>
      <c r="K264" s="49"/>
      <c r="L264" s="28"/>
      <c r="M264" s="28"/>
      <c r="N264" s="28"/>
      <c r="O264" s="28"/>
      <c r="P264" s="28"/>
      <c r="Q264" s="28"/>
      <c r="R264" s="28"/>
      <c r="S264" s="28"/>
      <c r="T264" s="25" t="str">
        <f t="shared" si="4"/>
        <v>pass</v>
      </c>
      <c r="U264" s="28"/>
      <c r="V264" s="28"/>
      <c r="W264" s="28"/>
      <c r="X264" s="28"/>
      <c r="Y264" s="28"/>
      <c r="Z264" s="28"/>
      <c r="AA264" s="28"/>
    </row>
    <row r="265" spans="2:27" outlineLevel="2" x14ac:dyDescent="0.25">
      <c r="B265" s="27">
        <v>47</v>
      </c>
      <c r="C265" s="28"/>
      <c r="D265" s="28"/>
      <c r="E265" s="28"/>
      <c r="F265" s="28"/>
      <c r="G265" s="48"/>
      <c r="H265" s="48"/>
      <c r="I265" s="48"/>
      <c r="J265" s="48"/>
      <c r="K265" s="49"/>
      <c r="L265" s="28"/>
      <c r="M265" s="28"/>
      <c r="N265" s="28"/>
      <c r="O265" s="28"/>
      <c r="P265" s="28"/>
      <c r="Q265" s="28"/>
      <c r="R265" s="28"/>
      <c r="S265" s="28"/>
      <c r="T265" s="25" t="str">
        <f t="shared" si="4"/>
        <v>pass</v>
      </c>
      <c r="U265" s="28"/>
      <c r="V265" s="28"/>
      <c r="W265" s="28"/>
      <c r="X265" s="28"/>
      <c r="Y265" s="28"/>
      <c r="Z265" s="28"/>
      <c r="AA265" s="28"/>
    </row>
    <row r="266" spans="2:27" outlineLevel="2" x14ac:dyDescent="0.25">
      <c r="B266" s="27">
        <v>48</v>
      </c>
      <c r="C266" s="28"/>
      <c r="D266" s="28"/>
      <c r="E266" s="28"/>
      <c r="F266" s="28"/>
      <c r="G266" s="48"/>
      <c r="H266" s="48"/>
      <c r="I266" s="48"/>
      <c r="J266" s="48"/>
      <c r="K266" s="49"/>
      <c r="L266" s="28"/>
      <c r="M266" s="28"/>
      <c r="N266" s="28"/>
      <c r="O266" s="28"/>
      <c r="P266" s="28"/>
      <c r="Q266" s="28"/>
      <c r="R266" s="28"/>
      <c r="S266" s="28"/>
      <c r="T266" s="25" t="str">
        <f t="shared" si="4"/>
        <v>pass</v>
      </c>
      <c r="U266" s="28"/>
      <c r="V266" s="28"/>
      <c r="W266" s="28"/>
      <c r="X266" s="28"/>
      <c r="Y266" s="28"/>
      <c r="Z266" s="28"/>
      <c r="AA266" s="28"/>
    </row>
    <row r="267" spans="2:27" outlineLevel="2" x14ac:dyDescent="0.25">
      <c r="B267" s="27">
        <v>49</v>
      </c>
      <c r="C267" s="28"/>
      <c r="D267" s="28"/>
      <c r="E267" s="28"/>
      <c r="F267" s="28"/>
      <c r="G267" s="48"/>
      <c r="H267" s="48"/>
      <c r="I267" s="48"/>
      <c r="J267" s="48"/>
      <c r="K267" s="49"/>
      <c r="L267" s="28"/>
      <c r="M267" s="28"/>
      <c r="N267" s="28"/>
      <c r="O267" s="28"/>
      <c r="P267" s="28"/>
      <c r="Q267" s="28"/>
      <c r="R267" s="28"/>
      <c r="S267" s="28"/>
      <c r="T267" s="25" t="str">
        <f t="shared" si="4"/>
        <v>pass</v>
      </c>
      <c r="U267" s="28"/>
      <c r="V267" s="28"/>
      <c r="W267" s="28"/>
      <c r="X267" s="28"/>
      <c r="Y267" s="28"/>
      <c r="Z267" s="28"/>
      <c r="AA267" s="28"/>
    </row>
    <row r="268" spans="2:27" outlineLevel="2" x14ac:dyDescent="0.25">
      <c r="B268" s="27">
        <v>50</v>
      </c>
      <c r="C268" s="28"/>
      <c r="D268" s="28"/>
      <c r="E268" s="28"/>
      <c r="F268" s="28"/>
      <c r="G268" s="48"/>
      <c r="H268" s="48"/>
      <c r="I268" s="48"/>
      <c r="J268" s="48"/>
      <c r="K268" s="49"/>
      <c r="L268" s="28"/>
      <c r="M268" s="28"/>
      <c r="N268" s="28"/>
      <c r="O268" s="28"/>
      <c r="P268" s="28"/>
      <c r="Q268" s="28"/>
      <c r="R268" s="28"/>
      <c r="S268" s="28"/>
      <c r="T268" s="25" t="str">
        <f t="shared" si="4"/>
        <v>pass</v>
      </c>
      <c r="U268" s="28"/>
      <c r="V268" s="28"/>
      <c r="W268" s="28"/>
      <c r="X268" s="28"/>
      <c r="Y268" s="28"/>
      <c r="Z268" s="28"/>
      <c r="AA268" s="28"/>
    </row>
    <row r="269" spans="2:27" outlineLevel="2" x14ac:dyDescent="0.25">
      <c r="B269" s="27">
        <v>51</v>
      </c>
      <c r="C269" s="28"/>
      <c r="D269" s="28"/>
      <c r="E269" s="28"/>
      <c r="F269" s="28"/>
      <c r="G269" s="48"/>
      <c r="H269" s="48"/>
      <c r="I269" s="48"/>
      <c r="J269" s="48"/>
      <c r="K269" s="49"/>
      <c r="L269" s="28"/>
      <c r="M269" s="28"/>
      <c r="N269" s="28"/>
      <c r="O269" s="28"/>
      <c r="P269" s="28"/>
      <c r="Q269" s="28"/>
      <c r="R269" s="28"/>
      <c r="S269" s="28"/>
      <c r="T269" s="25" t="str">
        <f t="shared" si="4"/>
        <v>pass</v>
      </c>
      <c r="U269" s="28"/>
      <c r="V269" s="28"/>
      <c r="W269" s="28"/>
      <c r="X269" s="28"/>
      <c r="Y269" s="28"/>
      <c r="Z269" s="28"/>
      <c r="AA269" s="28"/>
    </row>
    <row r="270" spans="2:27" outlineLevel="2" x14ac:dyDescent="0.25">
      <c r="B270" s="27">
        <v>52</v>
      </c>
      <c r="C270" s="28"/>
      <c r="D270" s="28"/>
      <c r="E270" s="28"/>
      <c r="F270" s="28"/>
      <c r="G270" s="48"/>
      <c r="H270" s="48"/>
      <c r="I270" s="48"/>
      <c r="J270" s="48"/>
      <c r="K270" s="49"/>
      <c r="L270" s="28"/>
      <c r="M270" s="28"/>
      <c r="N270" s="28"/>
      <c r="O270" s="28"/>
      <c r="P270" s="28"/>
      <c r="Q270" s="28"/>
      <c r="R270" s="28"/>
      <c r="S270" s="28"/>
      <c r="T270" s="25" t="str">
        <f t="shared" si="4"/>
        <v>pass</v>
      </c>
      <c r="U270" s="28"/>
      <c r="V270" s="28"/>
      <c r="W270" s="28"/>
      <c r="X270" s="28"/>
      <c r="Y270" s="28"/>
      <c r="Z270" s="28"/>
      <c r="AA270" s="28"/>
    </row>
    <row r="271" spans="2:27" outlineLevel="2" x14ac:dyDescent="0.25">
      <c r="B271" s="27">
        <v>53</v>
      </c>
      <c r="C271" s="28"/>
      <c r="D271" s="28"/>
      <c r="E271" s="28"/>
      <c r="F271" s="28"/>
      <c r="G271" s="48"/>
      <c r="H271" s="48"/>
      <c r="I271" s="48"/>
      <c r="J271" s="48"/>
      <c r="K271" s="49"/>
      <c r="L271" s="28"/>
      <c r="M271" s="28"/>
      <c r="N271" s="28"/>
      <c r="O271" s="28"/>
      <c r="P271" s="28"/>
      <c r="Q271" s="28"/>
      <c r="R271" s="28"/>
      <c r="S271" s="28"/>
      <c r="T271" s="25" t="str">
        <f t="shared" si="4"/>
        <v>pass</v>
      </c>
      <c r="U271" s="28"/>
      <c r="V271" s="28"/>
      <c r="W271" s="28"/>
      <c r="X271" s="28"/>
      <c r="Y271" s="28"/>
      <c r="Z271" s="28"/>
      <c r="AA271" s="28"/>
    </row>
    <row r="272" spans="2:27" outlineLevel="2" x14ac:dyDescent="0.25">
      <c r="B272" s="27">
        <v>54</v>
      </c>
      <c r="C272" s="28"/>
      <c r="D272" s="28"/>
      <c r="E272" s="28"/>
      <c r="F272" s="28"/>
      <c r="G272" s="48"/>
      <c r="H272" s="48"/>
      <c r="I272" s="48"/>
      <c r="J272" s="48"/>
      <c r="K272" s="49"/>
      <c r="L272" s="28"/>
      <c r="M272" s="28"/>
      <c r="N272" s="28"/>
      <c r="O272" s="28"/>
      <c r="P272" s="28"/>
      <c r="Q272" s="28"/>
      <c r="R272" s="28"/>
      <c r="S272" s="28"/>
      <c r="T272" s="25" t="str">
        <f t="shared" si="4"/>
        <v>pass</v>
      </c>
      <c r="U272" s="28"/>
      <c r="V272" s="28"/>
      <c r="W272" s="28"/>
      <c r="X272" s="28"/>
      <c r="Y272" s="28"/>
      <c r="Z272" s="28"/>
      <c r="AA272" s="28"/>
    </row>
    <row r="273" spans="2:27" outlineLevel="2" x14ac:dyDescent="0.25">
      <c r="B273" s="27">
        <v>55</v>
      </c>
      <c r="C273" s="28"/>
      <c r="D273" s="28"/>
      <c r="E273" s="28"/>
      <c r="F273" s="28"/>
      <c r="G273" s="48"/>
      <c r="H273" s="48"/>
      <c r="I273" s="48"/>
      <c r="J273" s="48"/>
      <c r="K273" s="49"/>
      <c r="L273" s="28"/>
      <c r="M273" s="28"/>
      <c r="N273" s="28"/>
      <c r="O273" s="28"/>
      <c r="P273" s="28"/>
      <c r="Q273" s="28"/>
      <c r="R273" s="28"/>
      <c r="S273" s="28"/>
      <c r="T273" s="25" t="str">
        <f t="shared" si="4"/>
        <v>pass</v>
      </c>
      <c r="U273" s="28"/>
      <c r="V273" s="28"/>
      <c r="W273" s="28"/>
      <c r="X273" s="28"/>
      <c r="Y273" s="28"/>
      <c r="Z273" s="28"/>
      <c r="AA273" s="28"/>
    </row>
    <row r="274" spans="2:27" outlineLevel="2" x14ac:dyDescent="0.25">
      <c r="B274" s="27">
        <v>56</v>
      </c>
      <c r="C274" s="28"/>
      <c r="D274" s="28"/>
      <c r="E274" s="28"/>
      <c r="F274" s="28"/>
      <c r="G274" s="48"/>
      <c r="H274" s="48"/>
      <c r="I274" s="48"/>
      <c r="J274" s="48"/>
      <c r="K274" s="49"/>
      <c r="L274" s="28"/>
      <c r="M274" s="28"/>
      <c r="N274" s="28"/>
      <c r="O274" s="28"/>
      <c r="P274" s="28"/>
      <c r="Q274" s="28"/>
      <c r="R274" s="28"/>
      <c r="S274" s="28"/>
      <c r="T274" s="25" t="str">
        <f t="shared" si="4"/>
        <v>pass</v>
      </c>
      <c r="U274" s="28"/>
      <c r="V274" s="28"/>
      <c r="W274" s="28"/>
      <c r="X274" s="28"/>
      <c r="Y274" s="28"/>
      <c r="Z274" s="28"/>
      <c r="AA274" s="28"/>
    </row>
    <row r="275" spans="2:27" outlineLevel="2" x14ac:dyDescent="0.25">
      <c r="B275" s="27">
        <v>57</v>
      </c>
      <c r="C275" s="28"/>
      <c r="D275" s="28"/>
      <c r="E275" s="28"/>
      <c r="F275" s="28"/>
      <c r="G275" s="48"/>
      <c r="H275" s="48"/>
      <c r="I275" s="48"/>
      <c r="J275" s="48"/>
      <c r="K275" s="49"/>
      <c r="L275" s="28"/>
      <c r="M275" s="28"/>
      <c r="N275" s="28"/>
      <c r="O275" s="28"/>
      <c r="P275" s="28"/>
      <c r="Q275" s="28"/>
      <c r="R275" s="28"/>
      <c r="S275" s="28"/>
      <c r="T275" s="25" t="str">
        <f t="shared" si="4"/>
        <v>pass</v>
      </c>
      <c r="U275" s="28"/>
      <c r="V275" s="28"/>
      <c r="W275" s="28"/>
      <c r="X275" s="28"/>
      <c r="Y275" s="28"/>
      <c r="Z275" s="28"/>
      <c r="AA275" s="28"/>
    </row>
    <row r="276" spans="2:27" outlineLevel="2" x14ac:dyDescent="0.25">
      <c r="B276" s="27">
        <v>58</v>
      </c>
      <c r="C276" s="28"/>
      <c r="D276" s="28"/>
      <c r="E276" s="28"/>
      <c r="F276" s="28"/>
      <c r="G276" s="48"/>
      <c r="H276" s="48"/>
      <c r="I276" s="48"/>
      <c r="J276" s="48"/>
      <c r="K276" s="49"/>
      <c r="L276" s="28"/>
      <c r="M276" s="28"/>
      <c r="N276" s="28"/>
      <c r="O276" s="28"/>
      <c r="P276" s="28"/>
      <c r="Q276" s="28"/>
      <c r="R276" s="28"/>
      <c r="S276" s="28"/>
      <c r="T276" s="25" t="str">
        <f t="shared" si="4"/>
        <v>pass</v>
      </c>
      <c r="U276" s="28"/>
      <c r="V276" s="28"/>
      <c r="W276" s="28"/>
      <c r="X276" s="28"/>
      <c r="Y276" s="28"/>
      <c r="Z276" s="28"/>
      <c r="AA276" s="28"/>
    </row>
    <row r="277" spans="2:27" outlineLevel="2" x14ac:dyDescent="0.25">
      <c r="B277" s="27">
        <v>59</v>
      </c>
      <c r="C277" s="28"/>
      <c r="D277" s="28"/>
      <c r="E277" s="28"/>
      <c r="F277" s="28"/>
      <c r="G277" s="48"/>
      <c r="H277" s="48"/>
      <c r="I277" s="48"/>
      <c r="J277" s="48"/>
      <c r="K277" s="49"/>
      <c r="L277" s="28"/>
      <c r="M277" s="28"/>
      <c r="N277" s="28"/>
      <c r="O277" s="28"/>
      <c r="P277" s="28"/>
      <c r="Q277" s="28"/>
      <c r="R277" s="28"/>
      <c r="S277" s="28"/>
      <c r="T277" s="25" t="str">
        <f t="shared" si="4"/>
        <v>pass</v>
      </c>
      <c r="U277" s="28"/>
      <c r="V277" s="28"/>
      <c r="W277" s="28"/>
      <c r="X277" s="28"/>
      <c r="Y277" s="28"/>
      <c r="Z277" s="28"/>
      <c r="AA277" s="28"/>
    </row>
    <row r="278" spans="2:27" outlineLevel="2" x14ac:dyDescent="0.25">
      <c r="B278" s="27">
        <v>60</v>
      </c>
      <c r="C278" s="28"/>
      <c r="D278" s="28"/>
      <c r="E278" s="28"/>
      <c r="F278" s="28"/>
      <c r="G278" s="48"/>
      <c r="H278" s="48"/>
      <c r="I278" s="48"/>
      <c r="J278" s="48"/>
      <c r="K278" s="49"/>
      <c r="L278" s="28"/>
      <c r="M278" s="28"/>
      <c r="N278" s="28"/>
      <c r="O278" s="28"/>
      <c r="P278" s="28"/>
      <c r="Q278" s="28"/>
      <c r="R278" s="28"/>
      <c r="S278" s="28"/>
      <c r="T278" s="25" t="str">
        <f t="shared" si="4"/>
        <v>pass</v>
      </c>
      <c r="U278" s="28"/>
      <c r="V278" s="28"/>
      <c r="W278" s="28"/>
      <c r="X278" s="28"/>
      <c r="Y278" s="28"/>
      <c r="Z278" s="28"/>
      <c r="AA278" s="28"/>
    </row>
    <row r="279" spans="2:27" outlineLevel="2" x14ac:dyDescent="0.25">
      <c r="B279" s="27">
        <v>61</v>
      </c>
      <c r="C279" s="28"/>
      <c r="D279" s="28"/>
      <c r="E279" s="28"/>
      <c r="F279" s="28"/>
      <c r="G279" s="48"/>
      <c r="H279" s="48"/>
      <c r="I279" s="48"/>
      <c r="J279" s="48"/>
      <c r="K279" s="49"/>
      <c r="L279" s="28"/>
      <c r="M279" s="28"/>
      <c r="N279" s="28"/>
      <c r="O279" s="28"/>
      <c r="P279" s="28"/>
      <c r="Q279" s="28"/>
      <c r="R279" s="28"/>
      <c r="S279" s="28"/>
      <c r="T279" s="25" t="str">
        <f t="shared" si="4"/>
        <v>pass</v>
      </c>
      <c r="U279" s="28"/>
      <c r="V279" s="28"/>
      <c r="W279" s="28"/>
      <c r="X279" s="28"/>
      <c r="Y279" s="28"/>
      <c r="Z279" s="28"/>
      <c r="AA279" s="28"/>
    </row>
    <row r="280" spans="2:27" outlineLevel="2" x14ac:dyDescent="0.25">
      <c r="B280" s="27">
        <v>62</v>
      </c>
      <c r="C280" s="28"/>
      <c r="D280" s="28"/>
      <c r="E280" s="28"/>
      <c r="F280" s="28"/>
      <c r="G280" s="48"/>
      <c r="H280" s="48"/>
      <c r="I280" s="48"/>
      <c r="J280" s="48"/>
      <c r="K280" s="49"/>
      <c r="L280" s="28"/>
      <c r="M280" s="28"/>
      <c r="N280" s="28"/>
      <c r="O280" s="28"/>
      <c r="P280" s="28"/>
      <c r="Q280" s="28"/>
      <c r="R280" s="28"/>
      <c r="S280" s="28"/>
      <c r="T280" s="25" t="str">
        <f t="shared" si="4"/>
        <v>pass</v>
      </c>
      <c r="U280" s="28"/>
      <c r="V280" s="28"/>
      <c r="W280" s="28"/>
      <c r="X280" s="28"/>
      <c r="Y280" s="28"/>
      <c r="Z280" s="28"/>
      <c r="AA280" s="28"/>
    </row>
    <row r="281" spans="2:27" outlineLevel="2" x14ac:dyDescent="0.25">
      <c r="B281" s="27">
        <v>63</v>
      </c>
      <c r="C281" s="28"/>
      <c r="D281" s="28"/>
      <c r="E281" s="28"/>
      <c r="F281" s="28"/>
      <c r="G281" s="48"/>
      <c r="H281" s="48"/>
      <c r="I281" s="48"/>
      <c r="J281" s="48"/>
      <c r="K281" s="49"/>
      <c r="L281" s="28"/>
      <c r="M281" s="28"/>
      <c r="N281" s="28"/>
      <c r="O281" s="28"/>
      <c r="P281" s="28"/>
      <c r="Q281" s="28"/>
      <c r="R281" s="28"/>
      <c r="S281" s="28"/>
      <c r="T281" s="25" t="str">
        <f t="shared" si="4"/>
        <v>pass</v>
      </c>
      <c r="U281" s="28"/>
      <c r="V281" s="28"/>
      <c r="W281" s="28"/>
      <c r="X281" s="28"/>
      <c r="Y281" s="28"/>
      <c r="Z281" s="28"/>
      <c r="AA281" s="28"/>
    </row>
    <row r="282" spans="2:27" outlineLevel="2" x14ac:dyDescent="0.25">
      <c r="B282" s="27">
        <v>64</v>
      </c>
      <c r="C282" s="28"/>
      <c r="D282" s="28"/>
      <c r="E282" s="28"/>
      <c r="F282" s="28"/>
      <c r="G282" s="48"/>
      <c r="H282" s="48"/>
      <c r="I282" s="48"/>
      <c r="J282" s="48"/>
      <c r="K282" s="49"/>
      <c r="L282" s="28"/>
      <c r="M282" s="28"/>
      <c r="N282" s="28"/>
      <c r="O282" s="28"/>
      <c r="P282" s="28"/>
      <c r="Q282" s="28"/>
      <c r="R282" s="28"/>
      <c r="S282" s="28"/>
      <c r="T282" s="25" t="str">
        <f t="shared" si="4"/>
        <v>pass</v>
      </c>
      <c r="U282" s="28"/>
      <c r="V282" s="28"/>
      <c r="W282" s="28"/>
      <c r="X282" s="28"/>
      <c r="Y282" s="28"/>
      <c r="Z282" s="28"/>
      <c r="AA282" s="28"/>
    </row>
    <row r="283" spans="2:27" outlineLevel="2" x14ac:dyDescent="0.25">
      <c r="B283" s="27">
        <v>65</v>
      </c>
      <c r="C283" s="28"/>
      <c r="D283" s="28"/>
      <c r="E283" s="28"/>
      <c r="F283" s="28"/>
      <c r="G283" s="48"/>
      <c r="H283" s="48"/>
      <c r="I283" s="48"/>
      <c r="J283" s="48"/>
      <c r="K283" s="49"/>
      <c r="L283" s="28"/>
      <c r="M283" s="28"/>
      <c r="N283" s="28"/>
      <c r="O283" s="28"/>
      <c r="P283" s="28"/>
      <c r="Q283" s="28"/>
      <c r="R283" s="28"/>
      <c r="S283" s="28"/>
      <c r="T283" s="25" t="str">
        <f t="shared" ref="T283:T314" si="5">IF(AND(C283&lt;&gt;"",SUM(K283,M283,O283,Q283,S283)=1),"pass",IF(AND(C283="",SUM(K283,M283,O283,Q283,S283)=0),"pass","fail"))</f>
        <v>pass</v>
      </c>
      <c r="U283" s="28"/>
      <c r="V283" s="28"/>
      <c r="W283" s="28"/>
      <c r="X283" s="28"/>
      <c r="Y283" s="28"/>
      <c r="Z283" s="28"/>
      <c r="AA283" s="28"/>
    </row>
    <row r="284" spans="2:27" outlineLevel="2" x14ac:dyDescent="0.25">
      <c r="B284" s="27">
        <v>66</v>
      </c>
      <c r="C284" s="28"/>
      <c r="D284" s="28"/>
      <c r="E284" s="28"/>
      <c r="F284" s="28"/>
      <c r="G284" s="48"/>
      <c r="H284" s="48"/>
      <c r="I284" s="48"/>
      <c r="J284" s="48"/>
      <c r="K284" s="49"/>
      <c r="L284" s="28"/>
      <c r="M284" s="28"/>
      <c r="N284" s="28"/>
      <c r="O284" s="28"/>
      <c r="P284" s="28"/>
      <c r="Q284" s="28"/>
      <c r="R284" s="28"/>
      <c r="S284" s="28"/>
      <c r="T284" s="25" t="str">
        <f t="shared" si="5"/>
        <v>pass</v>
      </c>
      <c r="U284" s="28"/>
      <c r="V284" s="28"/>
      <c r="W284" s="28"/>
      <c r="X284" s="28"/>
      <c r="Y284" s="28"/>
      <c r="Z284" s="28"/>
      <c r="AA284" s="28"/>
    </row>
    <row r="285" spans="2:27" outlineLevel="2" x14ac:dyDescent="0.25">
      <c r="B285" s="27">
        <v>67</v>
      </c>
      <c r="C285" s="28"/>
      <c r="D285" s="28"/>
      <c r="E285" s="28"/>
      <c r="F285" s="28"/>
      <c r="G285" s="48"/>
      <c r="H285" s="48"/>
      <c r="I285" s="48"/>
      <c r="J285" s="48"/>
      <c r="K285" s="49"/>
      <c r="L285" s="28"/>
      <c r="M285" s="28"/>
      <c r="N285" s="28"/>
      <c r="O285" s="28"/>
      <c r="P285" s="28"/>
      <c r="Q285" s="28"/>
      <c r="R285" s="28"/>
      <c r="S285" s="28"/>
      <c r="T285" s="25" t="str">
        <f t="shared" si="5"/>
        <v>pass</v>
      </c>
      <c r="U285" s="28"/>
      <c r="V285" s="28"/>
      <c r="W285" s="28"/>
      <c r="X285" s="28"/>
      <c r="Y285" s="28"/>
      <c r="Z285" s="28"/>
      <c r="AA285" s="28"/>
    </row>
    <row r="286" spans="2:27" outlineLevel="2" x14ac:dyDescent="0.25">
      <c r="B286" s="27">
        <v>68</v>
      </c>
      <c r="C286" s="28"/>
      <c r="D286" s="28"/>
      <c r="E286" s="28"/>
      <c r="F286" s="28"/>
      <c r="G286" s="48"/>
      <c r="H286" s="48"/>
      <c r="I286" s="48"/>
      <c r="J286" s="48"/>
      <c r="K286" s="49"/>
      <c r="L286" s="28"/>
      <c r="M286" s="28"/>
      <c r="N286" s="28"/>
      <c r="O286" s="28"/>
      <c r="P286" s="28"/>
      <c r="Q286" s="28"/>
      <c r="R286" s="28"/>
      <c r="S286" s="28"/>
      <c r="T286" s="25" t="str">
        <f t="shared" si="5"/>
        <v>pass</v>
      </c>
      <c r="U286" s="28"/>
      <c r="V286" s="28"/>
      <c r="W286" s="28"/>
      <c r="X286" s="28"/>
      <c r="Y286" s="28"/>
      <c r="Z286" s="28"/>
      <c r="AA286" s="28"/>
    </row>
    <row r="287" spans="2:27" outlineLevel="2" x14ac:dyDescent="0.25">
      <c r="B287" s="27">
        <v>69</v>
      </c>
      <c r="C287" s="28"/>
      <c r="D287" s="28"/>
      <c r="E287" s="28"/>
      <c r="F287" s="28"/>
      <c r="G287" s="48"/>
      <c r="H287" s="48"/>
      <c r="I287" s="48"/>
      <c r="J287" s="48"/>
      <c r="K287" s="49"/>
      <c r="L287" s="28"/>
      <c r="M287" s="28"/>
      <c r="N287" s="28"/>
      <c r="O287" s="28"/>
      <c r="P287" s="28"/>
      <c r="Q287" s="28"/>
      <c r="R287" s="28"/>
      <c r="S287" s="28"/>
      <c r="T287" s="25" t="str">
        <f t="shared" si="5"/>
        <v>pass</v>
      </c>
      <c r="U287" s="28"/>
      <c r="V287" s="28"/>
      <c r="W287" s="28"/>
      <c r="X287" s="28"/>
      <c r="Y287" s="28"/>
      <c r="Z287" s="28"/>
      <c r="AA287" s="28"/>
    </row>
    <row r="288" spans="2:27" outlineLevel="2" x14ac:dyDescent="0.25">
      <c r="B288" s="27">
        <v>70</v>
      </c>
      <c r="C288" s="28"/>
      <c r="D288" s="28"/>
      <c r="E288" s="28"/>
      <c r="F288" s="28"/>
      <c r="G288" s="48"/>
      <c r="H288" s="48"/>
      <c r="I288" s="48"/>
      <c r="J288" s="48"/>
      <c r="K288" s="49"/>
      <c r="L288" s="28"/>
      <c r="M288" s="28"/>
      <c r="N288" s="28"/>
      <c r="O288" s="28"/>
      <c r="P288" s="28"/>
      <c r="Q288" s="28"/>
      <c r="R288" s="28"/>
      <c r="S288" s="28"/>
      <c r="T288" s="25" t="str">
        <f t="shared" si="5"/>
        <v>pass</v>
      </c>
      <c r="U288" s="28"/>
      <c r="V288" s="28"/>
      <c r="W288" s="28"/>
      <c r="X288" s="28"/>
      <c r="Y288" s="28"/>
      <c r="Z288" s="28"/>
      <c r="AA288" s="28"/>
    </row>
    <row r="289" spans="2:27" outlineLevel="2" x14ac:dyDescent="0.25">
      <c r="B289" s="27">
        <v>71</v>
      </c>
      <c r="C289" s="28"/>
      <c r="D289" s="28"/>
      <c r="E289" s="28"/>
      <c r="F289" s="28"/>
      <c r="G289" s="48"/>
      <c r="H289" s="48"/>
      <c r="I289" s="48"/>
      <c r="J289" s="48"/>
      <c r="K289" s="49"/>
      <c r="L289" s="28"/>
      <c r="M289" s="28"/>
      <c r="N289" s="28"/>
      <c r="O289" s="28"/>
      <c r="P289" s="28"/>
      <c r="Q289" s="28"/>
      <c r="R289" s="28"/>
      <c r="S289" s="28"/>
      <c r="T289" s="25" t="str">
        <f t="shared" si="5"/>
        <v>pass</v>
      </c>
      <c r="U289" s="28"/>
      <c r="V289" s="28"/>
      <c r="W289" s="28"/>
      <c r="X289" s="28"/>
      <c r="Y289" s="28"/>
      <c r="Z289" s="28"/>
      <c r="AA289" s="28"/>
    </row>
    <row r="290" spans="2:27" outlineLevel="2" x14ac:dyDescent="0.25">
      <c r="B290" s="27">
        <v>72</v>
      </c>
      <c r="C290" s="28"/>
      <c r="D290" s="28"/>
      <c r="E290" s="28"/>
      <c r="F290" s="28"/>
      <c r="G290" s="48"/>
      <c r="H290" s="48"/>
      <c r="I290" s="48"/>
      <c r="J290" s="48"/>
      <c r="K290" s="49"/>
      <c r="L290" s="28"/>
      <c r="M290" s="28"/>
      <c r="N290" s="28"/>
      <c r="O290" s="28"/>
      <c r="P290" s="28"/>
      <c r="Q290" s="28"/>
      <c r="R290" s="28"/>
      <c r="S290" s="28"/>
      <c r="T290" s="25" t="str">
        <f t="shared" si="5"/>
        <v>pass</v>
      </c>
      <c r="U290" s="28"/>
      <c r="V290" s="28"/>
      <c r="W290" s="28"/>
      <c r="X290" s="28"/>
      <c r="Y290" s="28"/>
      <c r="Z290" s="28"/>
      <c r="AA290" s="28"/>
    </row>
    <row r="291" spans="2:27" outlineLevel="2" x14ac:dyDescent="0.25">
      <c r="B291" s="27">
        <v>73</v>
      </c>
      <c r="C291" s="28"/>
      <c r="D291" s="28"/>
      <c r="E291" s="28"/>
      <c r="F291" s="28"/>
      <c r="G291" s="48"/>
      <c r="H291" s="48"/>
      <c r="I291" s="48"/>
      <c r="J291" s="48"/>
      <c r="K291" s="49"/>
      <c r="L291" s="28"/>
      <c r="M291" s="28"/>
      <c r="N291" s="28"/>
      <c r="O291" s="28"/>
      <c r="P291" s="28"/>
      <c r="Q291" s="28"/>
      <c r="R291" s="28"/>
      <c r="S291" s="28"/>
      <c r="T291" s="25" t="str">
        <f t="shared" si="5"/>
        <v>pass</v>
      </c>
      <c r="U291" s="28"/>
      <c r="V291" s="28"/>
      <c r="W291" s="28"/>
      <c r="X291" s="28"/>
      <c r="Y291" s="28"/>
      <c r="Z291" s="28"/>
      <c r="AA291" s="28"/>
    </row>
    <row r="292" spans="2:27" outlineLevel="2" x14ac:dyDescent="0.25">
      <c r="B292" s="27">
        <v>74</v>
      </c>
      <c r="C292" s="28"/>
      <c r="D292" s="28"/>
      <c r="E292" s="28"/>
      <c r="F292" s="28"/>
      <c r="G292" s="48"/>
      <c r="H292" s="48"/>
      <c r="I292" s="48"/>
      <c r="J292" s="48"/>
      <c r="K292" s="49"/>
      <c r="L292" s="28"/>
      <c r="M292" s="28"/>
      <c r="N292" s="28"/>
      <c r="O292" s="28"/>
      <c r="P292" s="28"/>
      <c r="Q292" s="28"/>
      <c r="R292" s="28"/>
      <c r="S292" s="28"/>
      <c r="T292" s="25" t="str">
        <f t="shared" si="5"/>
        <v>pass</v>
      </c>
      <c r="U292" s="28"/>
      <c r="V292" s="28"/>
      <c r="W292" s="28"/>
      <c r="X292" s="28"/>
      <c r="Y292" s="28"/>
      <c r="Z292" s="28"/>
      <c r="AA292" s="28"/>
    </row>
    <row r="293" spans="2:27" outlineLevel="2" x14ac:dyDescent="0.25">
      <c r="B293" s="27">
        <v>75</v>
      </c>
      <c r="C293" s="28"/>
      <c r="D293" s="28"/>
      <c r="E293" s="28"/>
      <c r="F293" s="28"/>
      <c r="G293" s="48"/>
      <c r="H293" s="48"/>
      <c r="I293" s="48"/>
      <c r="J293" s="48"/>
      <c r="K293" s="49"/>
      <c r="L293" s="28"/>
      <c r="M293" s="28"/>
      <c r="N293" s="28"/>
      <c r="O293" s="28"/>
      <c r="P293" s="28"/>
      <c r="Q293" s="28"/>
      <c r="R293" s="28"/>
      <c r="S293" s="28"/>
      <c r="T293" s="25" t="str">
        <f t="shared" si="5"/>
        <v>pass</v>
      </c>
      <c r="U293" s="28"/>
      <c r="V293" s="28"/>
      <c r="W293" s="28"/>
      <c r="X293" s="28"/>
      <c r="Y293" s="28"/>
      <c r="Z293" s="28"/>
      <c r="AA293" s="28"/>
    </row>
    <row r="294" spans="2:27" outlineLevel="2" x14ac:dyDescent="0.25">
      <c r="B294" s="27">
        <v>76</v>
      </c>
      <c r="C294" s="28"/>
      <c r="D294" s="28"/>
      <c r="E294" s="28"/>
      <c r="F294" s="28"/>
      <c r="G294" s="48"/>
      <c r="H294" s="48"/>
      <c r="I294" s="48"/>
      <c r="J294" s="48"/>
      <c r="K294" s="49"/>
      <c r="L294" s="28"/>
      <c r="M294" s="28"/>
      <c r="N294" s="28"/>
      <c r="O294" s="28"/>
      <c r="P294" s="28"/>
      <c r="Q294" s="28"/>
      <c r="R294" s="28"/>
      <c r="S294" s="28"/>
      <c r="T294" s="25" t="str">
        <f t="shared" si="5"/>
        <v>pass</v>
      </c>
      <c r="U294" s="28"/>
      <c r="V294" s="28"/>
      <c r="W294" s="28"/>
      <c r="X294" s="28"/>
      <c r="Y294" s="28"/>
      <c r="Z294" s="28"/>
      <c r="AA294" s="28"/>
    </row>
    <row r="295" spans="2:27" outlineLevel="2" x14ac:dyDescent="0.25">
      <c r="B295" s="27">
        <v>77</v>
      </c>
      <c r="C295" s="28"/>
      <c r="D295" s="28"/>
      <c r="E295" s="28"/>
      <c r="F295" s="28"/>
      <c r="G295" s="48"/>
      <c r="H295" s="48"/>
      <c r="I295" s="48"/>
      <c r="J295" s="48"/>
      <c r="K295" s="49"/>
      <c r="L295" s="28"/>
      <c r="M295" s="28"/>
      <c r="N295" s="28"/>
      <c r="O295" s="28"/>
      <c r="P295" s="28"/>
      <c r="Q295" s="28"/>
      <c r="R295" s="28"/>
      <c r="S295" s="28"/>
      <c r="T295" s="25" t="str">
        <f t="shared" si="5"/>
        <v>pass</v>
      </c>
      <c r="U295" s="28"/>
      <c r="V295" s="28"/>
      <c r="W295" s="28"/>
      <c r="X295" s="28"/>
      <c r="Y295" s="28"/>
      <c r="Z295" s="28"/>
      <c r="AA295" s="28"/>
    </row>
    <row r="296" spans="2:27" outlineLevel="2" x14ac:dyDescent="0.25">
      <c r="B296" s="27">
        <v>78</v>
      </c>
      <c r="C296" s="28"/>
      <c r="D296" s="28"/>
      <c r="E296" s="28"/>
      <c r="F296" s="28"/>
      <c r="G296" s="48"/>
      <c r="H296" s="48"/>
      <c r="I296" s="48"/>
      <c r="J296" s="48"/>
      <c r="K296" s="49"/>
      <c r="L296" s="28"/>
      <c r="M296" s="28"/>
      <c r="N296" s="28"/>
      <c r="O296" s="28"/>
      <c r="P296" s="28"/>
      <c r="Q296" s="28"/>
      <c r="R296" s="28"/>
      <c r="S296" s="28"/>
      <c r="T296" s="25" t="str">
        <f t="shared" si="5"/>
        <v>pass</v>
      </c>
      <c r="U296" s="28"/>
      <c r="V296" s="28"/>
      <c r="W296" s="28"/>
      <c r="X296" s="28"/>
      <c r="Y296" s="28"/>
      <c r="Z296" s="28"/>
      <c r="AA296" s="28"/>
    </row>
    <row r="297" spans="2:27" outlineLevel="2" x14ac:dyDescent="0.25">
      <c r="B297" s="27">
        <v>79</v>
      </c>
      <c r="C297" s="28"/>
      <c r="D297" s="28"/>
      <c r="E297" s="28"/>
      <c r="F297" s="28"/>
      <c r="G297" s="48"/>
      <c r="H297" s="48"/>
      <c r="I297" s="48"/>
      <c r="J297" s="48"/>
      <c r="K297" s="49"/>
      <c r="L297" s="28"/>
      <c r="M297" s="28"/>
      <c r="N297" s="28"/>
      <c r="O297" s="28"/>
      <c r="P297" s="28"/>
      <c r="Q297" s="28"/>
      <c r="R297" s="28"/>
      <c r="S297" s="28"/>
      <c r="T297" s="25" t="str">
        <f t="shared" si="5"/>
        <v>pass</v>
      </c>
      <c r="U297" s="28"/>
      <c r="V297" s="28"/>
      <c r="W297" s="28"/>
      <c r="X297" s="28"/>
      <c r="Y297" s="28"/>
      <c r="Z297" s="28"/>
      <c r="AA297" s="28"/>
    </row>
    <row r="298" spans="2:27" outlineLevel="2" x14ac:dyDescent="0.25">
      <c r="B298" s="27">
        <v>80</v>
      </c>
      <c r="C298" s="28"/>
      <c r="D298" s="28"/>
      <c r="E298" s="28"/>
      <c r="F298" s="28"/>
      <c r="G298" s="48"/>
      <c r="H298" s="48"/>
      <c r="I298" s="48"/>
      <c r="J298" s="48"/>
      <c r="K298" s="49"/>
      <c r="L298" s="28"/>
      <c r="M298" s="28"/>
      <c r="N298" s="28"/>
      <c r="O298" s="28"/>
      <c r="P298" s="28"/>
      <c r="Q298" s="28"/>
      <c r="R298" s="28"/>
      <c r="S298" s="28"/>
      <c r="T298" s="25" t="str">
        <f t="shared" si="5"/>
        <v>pass</v>
      </c>
      <c r="U298" s="28"/>
      <c r="V298" s="28"/>
      <c r="W298" s="28"/>
      <c r="X298" s="28"/>
      <c r="Y298" s="28"/>
      <c r="Z298" s="28"/>
      <c r="AA298" s="28"/>
    </row>
    <row r="299" spans="2:27" outlineLevel="2" x14ac:dyDescent="0.25">
      <c r="B299" s="27">
        <v>81</v>
      </c>
      <c r="C299" s="28"/>
      <c r="D299" s="28"/>
      <c r="E299" s="28"/>
      <c r="F299" s="28"/>
      <c r="G299" s="48"/>
      <c r="H299" s="48"/>
      <c r="I299" s="48"/>
      <c r="J299" s="48"/>
      <c r="K299" s="49"/>
      <c r="L299" s="28"/>
      <c r="M299" s="28"/>
      <c r="N299" s="28"/>
      <c r="O299" s="28"/>
      <c r="P299" s="28"/>
      <c r="Q299" s="28"/>
      <c r="R299" s="28"/>
      <c r="S299" s="28"/>
      <c r="T299" s="25" t="str">
        <f t="shared" si="5"/>
        <v>pass</v>
      </c>
      <c r="U299" s="28"/>
      <c r="V299" s="28"/>
      <c r="W299" s="28"/>
      <c r="X299" s="28"/>
      <c r="Y299" s="28"/>
      <c r="Z299" s="28"/>
      <c r="AA299" s="28"/>
    </row>
    <row r="300" spans="2:27" outlineLevel="2" x14ac:dyDescent="0.25">
      <c r="B300" s="27">
        <v>82</v>
      </c>
      <c r="C300" s="28"/>
      <c r="D300" s="28"/>
      <c r="E300" s="28"/>
      <c r="F300" s="28"/>
      <c r="G300" s="48"/>
      <c r="H300" s="48"/>
      <c r="I300" s="48"/>
      <c r="J300" s="48"/>
      <c r="K300" s="49"/>
      <c r="L300" s="28"/>
      <c r="M300" s="28"/>
      <c r="N300" s="28"/>
      <c r="O300" s="28"/>
      <c r="P300" s="28"/>
      <c r="Q300" s="28"/>
      <c r="R300" s="28"/>
      <c r="S300" s="28"/>
      <c r="T300" s="25" t="str">
        <f t="shared" si="5"/>
        <v>pass</v>
      </c>
      <c r="U300" s="28"/>
      <c r="V300" s="28"/>
      <c r="W300" s="28"/>
      <c r="X300" s="28"/>
      <c r="Y300" s="28"/>
      <c r="Z300" s="28"/>
      <c r="AA300" s="28"/>
    </row>
    <row r="301" spans="2:27" outlineLevel="2" x14ac:dyDescent="0.25">
      <c r="B301" s="27">
        <v>83</v>
      </c>
      <c r="C301" s="28"/>
      <c r="D301" s="28"/>
      <c r="E301" s="28"/>
      <c r="F301" s="28"/>
      <c r="G301" s="48"/>
      <c r="H301" s="48"/>
      <c r="I301" s="48"/>
      <c r="J301" s="48"/>
      <c r="K301" s="49"/>
      <c r="L301" s="28"/>
      <c r="M301" s="28"/>
      <c r="N301" s="28"/>
      <c r="O301" s="28"/>
      <c r="P301" s="28"/>
      <c r="Q301" s="28"/>
      <c r="R301" s="28"/>
      <c r="S301" s="28"/>
      <c r="T301" s="25" t="str">
        <f t="shared" si="5"/>
        <v>pass</v>
      </c>
      <c r="U301" s="28"/>
      <c r="V301" s="28"/>
      <c r="W301" s="28"/>
      <c r="X301" s="28"/>
      <c r="Y301" s="28"/>
      <c r="Z301" s="28"/>
      <c r="AA301" s="28"/>
    </row>
    <row r="302" spans="2:27" outlineLevel="2" x14ac:dyDescent="0.25">
      <c r="B302" s="27">
        <v>84</v>
      </c>
      <c r="C302" s="28"/>
      <c r="D302" s="28"/>
      <c r="E302" s="28"/>
      <c r="F302" s="28"/>
      <c r="G302" s="48"/>
      <c r="H302" s="48"/>
      <c r="I302" s="48"/>
      <c r="J302" s="48"/>
      <c r="K302" s="49"/>
      <c r="L302" s="28"/>
      <c r="M302" s="28"/>
      <c r="N302" s="28"/>
      <c r="O302" s="28"/>
      <c r="P302" s="28"/>
      <c r="Q302" s="28"/>
      <c r="R302" s="28"/>
      <c r="S302" s="28"/>
      <c r="T302" s="25" t="str">
        <f t="shared" si="5"/>
        <v>pass</v>
      </c>
      <c r="U302" s="28"/>
      <c r="V302" s="28"/>
      <c r="W302" s="28"/>
      <c r="X302" s="28"/>
      <c r="Y302" s="28"/>
      <c r="Z302" s="28"/>
      <c r="AA302" s="28"/>
    </row>
    <row r="303" spans="2:27" outlineLevel="2" x14ac:dyDescent="0.25">
      <c r="B303" s="27">
        <v>85</v>
      </c>
      <c r="C303" s="28"/>
      <c r="D303" s="28"/>
      <c r="E303" s="28"/>
      <c r="F303" s="28"/>
      <c r="G303" s="48"/>
      <c r="H303" s="48"/>
      <c r="I303" s="48"/>
      <c r="J303" s="48"/>
      <c r="K303" s="49"/>
      <c r="L303" s="28"/>
      <c r="M303" s="28"/>
      <c r="N303" s="28"/>
      <c r="O303" s="28"/>
      <c r="P303" s="28"/>
      <c r="Q303" s="28"/>
      <c r="R303" s="28"/>
      <c r="S303" s="28"/>
      <c r="T303" s="25" t="str">
        <f t="shared" si="5"/>
        <v>pass</v>
      </c>
      <c r="U303" s="28"/>
      <c r="V303" s="28"/>
      <c r="W303" s="28"/>
      <c r="X303" s="28"/>
      <c r="Y303" s="28"/>
      <c r="Z303" s="28"/>
      <c r="AA303" s="28"/>
    </row>
    <row r="304" spans="2:27" outlineLevel="2" x14ac:dyDescent="0.25">
      <c r="B304" s="27">
        <v>86</v>
      </c>
      <c r="C304" s="28"/>
      <c r="D304" s="28"/>
      <c r="E304" s="28"/>
      <c r="F304" s="28"/>
      <c r="G304" s="48"/>
      <c r="H304" s="48"/>
      <c r="I304" s="48"/>
      <c r="J304" s="48"/>
      <c r="K304" s="49"/>
      <c r="L304" s="28"/>
      <c r="M304" s="28"/>
      <c r="N304" s="28"/>
      <c r="O304" s="28"/>
      <c r="P304" s="28"/>
      <c r="Q304" s="28"/>
      <c r="R304" s="28"/>
      <c r="S304" s="28"/>
      <c r="T304" s="25" t="str">
        <f t="shared" si="5"/>
        <v>pass</v>
      </c>
      <c r="U304" s="28"/>
      <c r="V304" s="28"/>
      <c r="W304" s="28"/>
      <c r="X304" s="28"/>
      <c r="Y304" s="28"/>
      <c r="Z304" s="28"/>
      <c r="AA304" s="28"/>
    </row>
    <row r="305" spans="2:27" outlineLevel="2" x14ac:dyDescent="0.25">
      <c r="B305" s="27">
        <v>87</v>
      </c>
      <c r="C305" s="28"/>
      <c r="D305" s="28"/>
      <c r="E305" s="28"/>
      <c r="F305" s="28"/>
      <c r="G305" s="48"/>
      <c r="H305" s="48"/>
      <c r="I305" s="48"/>
      <c r="J305" s="48"/>
      <c r="K305" s="49"/>
      <c r="L305" s="28"/>
      <c r="M305" s="28"/>
      <c r="N305" s="28"/>
      <c r="O305" s="28"/>
      <c r="P305" s="28"/>
      <c r="Q305" s="28"/>
      <c r="R305" s="28"/>
      <c r="S305" s="28"/>
      <c r="T305" s="25" t="str">
        <f t="shared" si="5"/>
        <v>pass</v>
      </c>
      <c r="U305" s="28"/>
      <c r="V305" s="28"/>
      <c r="W305" s="28"/>
      <c r="X305" s="28"/>
      <c r="Y305" s="28"/>
      <c r="Z305" s="28"/>
      <c r="AA305" s="28"/>
    </row>
    <row r="306" spans="2:27" outlineLevel="2" x14ac:dyDescent="0.25">
      <c r="B306" s="27">
        <v>88</v>
      </c>
      <c r="C306" s="28"/>
      <c r="D306" s="28"/>
      <c r="E306" s="28"/>
      <c r="F306" s="28"/>
      <c r="G306" s="48"/>
      <c r="H306" s="48"/>
      <c r="I306" s="48"/>
      <c r="J306" s="48"/>
      <c r="K306" s="49"/>
      <c r="L306" s="28"/>
      <c r="M306" s="28"/>
      <c r="N306" s="28"/>
      <c r="O306" s="28"/>
      <c r="P306" s="28"/>
      <c r="Q306" s="28"/>
      <c r="R306" s="28"/>
      <c r="S306" s="28"/>
      <c r="T306" s="25" t="str">
        <f t="shared" si="5"/>
        <v>pass</v>
      </c>
      <c r="U306" s="28"/>
      <c r="V306" s="28"/>
      <c r="W306" s="28"/>
      <c r="X306" s="28"/>
      <c r="Y306" s="28"/>
      <c r="Z306" s="28"/>
      <c r="AA306" s="28"/>
    </row>
    <row r="307" spans="2:27" outlineLevel="2" x14ac:dyDescent="0.25">
      <c r="B307" s="27">
        <v>89</v>
      </c>
      <c r="C307" s="28"/>
      <c r="D307" s="28"/>
      <c r="E307" s="28"/>
      <c r="F307" s="28"/>
      <c r="G307" s="48"/>
      <c r="H307" s="48"/>
      <c r="I307" s="48"/>
      <c r="J307" s="48"/>
      <c r="K307" s="49"/>
      <c r="L307" s="28"/>
      <c r="M307" s="28"/>
      <c r="N307" s="28"/>
      <c r="O307" s="28"/>
      <c r="P307" s="28"/>
      <c r="Q307" s="28"/>
      <c r="R307" s="28"/>
      <c r="S307" s="28"/>
      <c r="T307" s="25" t="str">
        <f t="shared" si="5"/>
        <v>pass</v>
      </c>
      <c r="U307" s="28"/>
      <c r="V307" s="28"/>
      <c r="W307" s="28"/>
      <c r="X307" s="28"/>
      <c r="Y307" s="28"/>
      <c r="Z307" s="28"/>
      <c r="AA307" s="28"/>
    </row>
    <row r="308" spans="2:27" outlineLevel="2" x14ac:dyDescent="0.25">
      <c r="B308" s="27">
        <v>90</v>
      </c>
      <c r="C308" s="28"/>
      <c r="D308" s="28"/>
      <c r="E308" s="28"/>
      <c r="F308" s="28"/>
      <c r="G308" s="48"/>
      <c r="H308" s="48"/>
      <c r="I308" s="48"/>
      <c r="J308" s="48"/>
      <c r="K308" s="49"/>
      <c r="L308" s="28"/>
      <c r="M308" s="28"/>
      <c r="N308" s="28"/>
      <c r="O308" s="28"/>
      <c r="P308" s="28"/>
      <c r="Q308" s="28"/>
      <c r="R308" s="28"/>
      <c r="S308" s="28"/>
      <c r="T308" s="25" t="str">
        <f t="shared" si="5"/>
        <v>pass</v>
      </c>
      <c r="U308" s="28"/>
      <c r="V308" s="28"/>
      <c r="W308" s="28"/>
      <c r="X308" s="28"/>
      <c r="Y308" s="28"/>
      <c r="Z308" s="28"/>
      <c r="AA308" s="28"/>
    </row>
    <row r="309" spans="2:27" outlineLevel="2" x14ac:dyDescent="0.25">
      <c r="B309" s="27">
        <v>91</v>
      </c>
      <c r="C309" s="28"/>
      <c r="D309" s="28"/>
      <c r="E309" s="28"/>
      <c r="F309" s="28"/>
      <c r="G309" s="48"/>
      <c r="H309" s="48"/>
      <c r="I309" s="48"/>
      <c r="J309" s="48"/>
      <c r="K309" s="49"/>
      <c r="L309" s="28"/>
      <c r="M309" s="28"/>
      <c r="N309" s="28"/>
      <c r="O309" s="28"/>
      <c r="P309" s="28"/>
      <c r="Q309" s="28"/>
      <c r="R309" s="28"/>
      <c r="S309" s="28"/>
      <c r="T309" s="25" t="str">
        <f t="shared" si="5"/>
        <v>pass</v>
      </c>
      <c r="U309" s="28"/>
      <c r="V309" s="28"/>
      <c r="W309" s="28"/>
      <c r="X309" s="28"/>
      <c r="Y309" s="28"/>
      <c r="Z309" s="28"/>
      <c r="AA309" s="28"/>
    </row>
    <row r="310" spans="2:27" outlineLevel="2" x14ac:dyDescent="0.25">
      <c r="B310" s="27">
        <v>92</v>
      </c>
      <c r="C310" s="28"/>
      <c r="D310" s="28"/>
      <c r="E310" s="28"/>
      <c r="F310" s="28"/>
      <c r="G310" s="48"/>
      <c r="H310" s="48"/>
      <c r="I310" s="48"/>
      <c r="J310" s="48"/>
      <c r="K310" s="49"/>
      <c r="L310" s="28"/>
      <c r="M310" s="28"/>
      <c r="N310" s="28"/>
      <c r="O310" s="28"/>
      <c r="P310" s="28"/>
      <c r="Q310" s="28"/>
      <c r="R310" s="28"/>
      <c r="S310" s="28"/>
      <c r="T310" s="25" t="str">
        <f t="shared" si="5"/>
        <v>pass</v>
      </c>
      <c r="U310" s="28"/>
      <c r="V310" s="28"/>
      <c r="W310" s="28"/>
      <c r="X310" s="28"/>
      <c r="Y310" s="28"/>
      <c r="Z310" s="28"/>
      <c r="AA310" s="28"/>
    </row>
    <row r="311" spans="2:27" outlineLevel="2" x14ac:dyDescent="0.25">
      <c r="B311" s="27">
        <v>93</v>
      </c>
      <c r="C311" s="28"/>
      <c r="D311" s="28"/>
      <c r="E311" s="28"/>
      <c r="F311" s="28"/>
      <c r="G311" s="48"/>
      <c r="H311" s="48"/>
      <c r="I311" s="48"/>
      <c r="J311" s="48"/>
      <c r="K311" s="49"/>
      <c r="L311" s="28"/>
      <c r="M311" s="28"/>
      <c r="N311" s="28"/>
      <c r="O311" s="28"/>
      <c r="P311" s="28"/>
      <c r="Q311" s="28"/>
      <c r="R311" s="28"/>
      <c r="S311" s="28"/>
      <c r="T311" s="25" t="str">
        <f t="shared" si="5"/>
        <v>pass</v>
      </c>
      <c r="U311" s="28"/>
      <c r="V311" s="28"/>
      <c r="W311" s="28"/>
      <c r="X311" s="28"/>
      <c r="Y311" s="28"/>
      <c r="Z311" s="28"/>
      <c r="AA311" s="28"/>
    </row>
    <row r="312" spans="2:27" outlineLevel="2" x14ac:dyDescent="0.25">
      <c r="B312" s="27">
        <v>94</v>
      </c>
      <c r="C312" s="28"/>
      <c r="D312" s="28"/>
      <c r="E312" s="28"/>
      <c r="F312" s="28"/>
      <c r="G312" s="48"/>
      <c r="H312" s="48"/>
      <c r="I312" s="48"/>
      <c r="J312" s="48"/>
      <c r="K312" s="49"/>
      <c r="L312" s="28"/>
      <c r="M312" s="28"/>
      <c r="N312" s="28"/>
      <c r="O312" s="28"/>
      <c r="P312" s="28"/>
      <c r="Q312" s="28"/>
      <c r="R312" s="28"/>
      <c r="S312" s="28"/>
      <c r="T312" s="25" t="str">
        <f t="shared" si="5"/>
        <v>pass</v>
      </c>
      <c r="U312" s="28"/>
      <c r="V312" s="28"/>
      <c r="W312" s="28"/>
      <c r="X312" s="28"/>
      <c r="Y312" s="28"/>
      <c r="Z312" s="28"/>
      <c r="AA312" s="28"/>
    </row>
    <row r="313" spans="2:27" outlineLevel="2" x14ac:dyDescent="0.25">
      <c r="B313" s="27">
        <v>95</v>
      </c>
      <c r="C313" s="28"/>
      <c r="D313" s="28"/>
      <c r="E313" s="28"/>
      <c r="F313" s="28"/>
      <c r="G313" s="48"/>
      <c r="H313" s="48"/>
      <c r="I313" s="48"/>
      <c r="J313" s="48"/>
      <c r="K313" s="49"/>
      <c r="L313" s="28"/>
      <c r="M313" s="28"/>
      <c r="N313" s="28"/>
      <c r="O313" s="28"/>
      <c r="P313" s="28"/>
      <c r="Q313" s="28"/>
      <c r="R313" s="28"/>
      <c r="S313" s="28"/>
      <c r="T313" s="25" t="str">
        <f t="shared" si="5"/>
        <v>pass</v>
      </c>
      <c r="U313" s="28"/>
      <c r="V313" s="28"/>
      <c r="W313" s="28"/>
      <c r="X313" s="28"/>
      <c r="Y313" s="28"/>
      <c r="Z313" s="28"/>
      <c r="AA313" s="28"/>
    </row>
    <row r="314" spans="2:27" outlineLevel="2" x14ac:dyDescent="0.25">
      <c r="B314" s="27">
        <v>96</v>
      </c>
      <c r="C314" s="28"/>
      <c r="D314" s="28"/>
      <c r="E314" s="28"/>
      <c r="F314" s="28"/>
      <c r="G314" s="48"/>
      <c r="H314" s="48"/>
      <c r="I314" s="48"/>
      <c r="J314" s="48"/>
      <c r="K314" s="49"/>
      <c r="L314" s="28"/>
      <c r="M314" s="28"/>
      <c r="N314" s="28"/>
      <c r="O314" s="28"/>
      <c r="P314" s="28"/>
      <c r="Q314" s="28"/>
      <c r="R314" s="28"/>
      <c r="S314" s="28"/>
      <c r="T314" s="25" t="str">
        <f t="shared" si="5"/>
        <v>pass</v>
      </c>
      <c r="U314" s="28"/>
      <c r="V314" s="28"/>
      <c r="W314" s="28"/>
      <c r="X314" s="28"/>
      <c r="Y314" s="28"/>
      <c r="Z314" s="28"/>
      <c r="AA314" s="28"/>
    </row>
    <row r="315" spans="2:27" outlineLevel="2" x14ac:dyDescent="0.25">
      <c r="B315" s="27">
        <v>97</v>
      </c>
      <c r="C315" s="28"/>
      <c r="D315" s="28"/>
      <c r="E315" s="28"/>
      <c r="F315" s="28"/>
      <c r="G315" s="48"/>
      <c r="H315" s="48"/>
      <c r="I315" s="48"/>
      <c r="J315" s="48"/>
      <c r="K315" s="49"/>
      <c r="L315" s="28"/>
      <c r="M315" s="28"/>
      <c r="N315" s="28"/>
      <c r="O315" s="28"/>
      <c r="P315" s="28"/>
      <c r="Q315" s="28"/>
      <c r="R315" s="28"/>
      <c r="S315" s="28"/>
      <c r="T315" s="25" t="str">
        <f t="shared" ref="T315:T346" si="6">IF(AND(C315&lt;&gt;"",SUM(K315,M315,O315,Q315,S315)=1),"pass",IF(AND(C315="",SUM(K315,M315,O315,Q315,S315)=0),"pass","fail"))</f>
        <v>pass</v>
      </c>
      <c r="U315" s="28"/>
      <c r="V315" s="28"/>
      <c r="W315" s="28"/>
      <c r="X315" s="28"/>
      <c r="Y315" s="28"/>
      <c r="Z315" s="28"/>
      <c r="AA315" s="28"/>
    </row>
    <row r="316" spans="2:27" outlineLevel="2" x14ac:dyDescent="0.25">
      <c r="B316" s="27">
        <v>98</v>
      </c>
      <c r="C316" s="28"/>
      <c r="D316" s="28"/>
      <c r="E316" s="28"/>
      <c r="F316" s="28"/>
      <c r="G316" s="48"/>
      <c r="H316" s="48"/>
      <c r="I316" s="48"/>
      <c r="J316" s="48"/>
      <c r="K316" s="49"/>
      <c r="L316" s="28"/>
      <c r="M316" s="28"/>
      <c r="N316" s="28"/>
      <c r="O316" s="28"/>
      <c r="P316" s="28"/>
      <c r="Q316" s="28"/>
      <c r="R316" s="28"/>
      <c r="S316" s="28"/>
      <c r="T316" s="25" t="str">
        <f t="shared" si="6"/>
        <v>pass</v>
      </c>
      <c r="U316" s="28"/>
      <c r="V316" s="28"/>
      <c r="W316" s="28"/>
      <c r="X316" s="28"/>
      <c r="Y316" s="28"/>
      <c r="Z316" s="28"/>
      <c r="AA316" s="28"/>
    </row>
    <row r="317" spans="2:27" outlineLevel="2" x14ac:dyDescent="0.25">
      <c r="B317" s="27">
        <v>99</v>
      </c>
      <c r="C317" s="28"/>
      <c r="D317" s="28"/>
      <c r="E317" s="28"/>
      <c r="F317" s="28"/>
      <c r="G317" s="48"/>
      <c r="H317" s="48"/>
      <c r="I317" s="48"/>
      <c r="J317" s="48"/>
      <c r="K317" s="49"/>
      <c r="L317" s="28"/>
      <c r="M317" s="28"/>
      <c r="N317" s="28"/>
      <c r="O317" s="28"/>
      <c r="P317" s="28"/>
      <c r="Q317" s="28"/>
      <c r="R317" s="28"/>
      <c r="S317" s="28"/>
      <c r="T317" s="25" t="str">
        <f t="shared" si="6"/>
        <v>pass</v>
      </c>
      <c r="U317" s="28"/>
      <c r="V317" s="28"/>
      <c r="W317" s="28"/>
      <c r="X317" s="28"/>
      <c r="Y317" s="28"/>
      <c r="Z317" s="28"/>
      <c r="AA317" s="28"/>
    </row>
    <row r="318" spans="2:27" outlineLevel="2" x14ac:dyDescent="0.25">
      <c r="B318" s="27">
        <v>100</v>
      </c>
      <c r="C318" s="28"/>
      <c r="D318" s="28"/>
      <c r="E318" s="28"/>
      <c r="F318" s="28"/>
      <c r="G318" s="48"/>
      <c r="H318" s="48"/>
      <c r="I318" s="48"/>
      <c r="J318" s="48"/>
      <c r="K318" s="49"/>
      <c r="L318" s="28"/>
      <c r="M318" s="28"/>
      <c r="N318" s="28"/>
      <c r="O318" s="28"/>
      <c r="P318" s="28"/>
      <c r="Q318" s="28"/>
      <c r="R318" s="28"/>
      <c r="S318" s="28"/>
      <c r="T318" s="25" t="str">
        <f t="shared" si="6"/>
        <v>pass</v>
      </c>
      <c r="U318" s="28"/>
      <c r="V318" s="28"/>
      <c r="W318" s="28"/>
      <c r="X318" s="28"/>
      <c r="Y318" s="28"/>
      <c r="Z318" s="28"/>
      <c r="AA318" s="28"/>
    </row>
    <row r="319" spans="2:27" outlineLevel="2" x14ac:dyDescent="0.25">
      <c r="B319" s="27">
        <v>101</v>
      </c>
      <c r="C319" s="28"/>
      <c r="D319" s="28"/>
      <c r="E319" s="28"/>
      <c r="F319" s="28"/>
      <c r="G319" s="48"/>
      <c r="H319" s="48"/>
      <c r="I319" s="48"/>
      <c r="J319" s="48"/>
      <c r="K319" s="49"/>
      <c r="L319" s="28"/>
      <c r="M319" s="28"/>
      <c r="N319" s="28"/>
      <c r="O319" s="28"/>
      <c r="P319" s="28"/>
      <c r="Q319" s="28"/>
      <c r="R319" s="28"/>
      <c r="S319" s="28"/>
      <c r="T319" s="25" t="str">
        <f t="shared" si="6"/>
        <v>pass</v>
      </c>
      <c r="U319" s="28"/>
      <c r="V319" s="28"/>
      <c r="W319" s="28"/>
      <c r="X319" s="28"/>
      <c r="Y319" s="28"/>
      <c r="Z319" s="28"/>
      <c r="AA319" s="28"/>
    </row>
    <row r="320" spans="2:27" outlineLevel="2" x14ac:dyDescent="0.25">
      <c r="B320" s="27">
        <v>102</v>
      </c>
      <c r="C320" s="28"/>
      <c r="D320" s="28"/>
      <c r="E320" s="28"/>
      <c r="F320" s="28"/>
      <c r="G320" s="48"/>
      <c r="H320" s="48"/>
      <c r="I320" s="48"/>
      <c r="J320" s="48"/>
      <c r="K320" s="49"/>
      <c r="L320" s="28"/>
      <c r="M320" s="28"/>
      <c r="N320" s="28"/>
      <c r="O320" s="28"/>
      <c r="P320" s="28"/>
      <c r="Q320" s="28"/>
      <c r="R320" s="28"/>
      <c r="S320" s="28"/>
      <c r="T320" s="25" t="str">
        <f t="shared" si="6"/>
        <v>pass</v>
      </c>
      <c r="U320" s="28"/>
      <c r="V320" s="28"/>
      <c r="W320" s="28"/>
      <c r="X320" s="28"/>
      <c r="Y320" s="28"/>
      <c r="Z320" s="28"/>
      <c r="AA320" s="28"/>
    </row>
    <row r="321" spans="2:27" outlineLevel="2" x14ac:dyDescent="0.25">
      <c r="B321" s="27">
        <v>103</v>
      </c>
      <c r="C321" s="28"/>
      <c r="D321" s="28"/>
      <c r="E321" s="28"/>
      <c r="F321" s="28"/>
      <c r="G321" s="48"/>
      <c r="H321" s="48"/>
      <c r="I321" s="48"/>
      <c r="J321" s="48"/>
      <c r="K321" s="49"/>
      <c r="L321" s="28"/>
      <c r="M321" s="28"/>
      <c r="N321" s="28"/>
      <c r="O321" s="28"/>
      <c r="P321" s="28"/>
      <c r="Q321" s="28"/>
      <c r="R321" s="28"/>
      <c r="S321" s="28"/>
      <c r="T321" s="25" t="str">
        <f t="shared" si="6"/>
        <v>pass</v>
      </c>
      <c r="U321" s="28"/>
      <c r="V321" s="28"/>
      <c r="W321" s="28"/>
      <c r="X321" s="28"/>
      <c r="Y321" s="28"/>
      <c r="Z321" s="28"/>
      <c r="AA321" s="28"/>
    </row>
    <row r="322" spans="2:27" outlineLevel="2" x14ac:dyDescent="0.25">
      <c r="B322" s="27">
        <v>104</v>
      </c>
      <c r="C322" s="28"/>
      <c r="D322" s="28"/>
      <c r="E322" s="28"/>
      <c r="F322" s="28"/>
      <c r="G322" s="48"/>
      <c r="H322" s="48"/>
      <c r="I322" s="48"/>
      <c r="J322" s="48"/>
      <c r="K322" s="49"/>
      <c r="L322" s="28"/>
      <c r="M322" s="28"/>
      <c r="N322" s="28"/>
      <c r="O322" s="28"/>
      <c r="P322" s="28"/>
      <c r="Q322" s="28"/>
      <c r="R322" s="28"/>
      <c r="S322" s="28"/>
      <c r="T322" s="25" t="str">
        <f t="shared" si="6"/>
        <v>pass</v>
      </c>
      <c r="U322" s="28"/>
      <c r="V322" s="28"/>
      <c r="W322" s="28"/>
      <c r="X322" s="28"/>
      <c r="Y322" s="28"/>
      <c r="Z322" s="28"/>
      <c r="AA322" s="28"/>
    </row>
    <row r="323" spans="2:27" outlineLevel="2" x14ac:dyDescent="0.25">
      <c r="B323" s="27">
        <v>105</v>
      </c>
      <c r="C323" s="28"/>
      <c r="D323" s="28"/>
      <c r="E323" s="28"/>
      <c r="F323" s="28"/>
      <c r="G323" s="48"/>
      <c r="H323" s="48"/>
      <c r="I323" s="48"/>
      <c r="J323" s="48"/>
      <c r="K323" s="49"/>
      <c r="L323" s="28"/>
      <c r="M323" s="28"/>
      <c r="N323" s="28"/>
      <c r="O323" s="28"/>
      <c r="P323" s="28"/>
      <c r="Q323" s="28"/>
      <c r="R323" s="28"/>
      <c r="S323" s="28"/>
      <c r="T323" s="25" t="str">
        <f t="shared" si="6"/>
        <v>pass</v>
      </c>
      <c r="U323" s="28"/>
      <c r="V323" s="28"/>
      <c r="W323" s="28"/>
      <c r="X323" s="28"/>
      <c r="Y323" s="28"/>
      <c r="Z323" s="28"/>
      <c r="AA323" s="28"/>
    </row>
    <row r="324" spans="2:27" outlineLevel="2" x14ac:dyDescent="0.25">
      <c r="B324" s="27">
        <v>106</v>
      </c>
      <c r="C324" s="28"/>
      <c r="D324" s="28"/>
      <c r="E324" s="28"/>
      <c r="F324" s="28"/>
      <c r="G324" s="48"/>
      <c r="H324" s="48"/>
      <c r="I324" s="48"/>
      <c r="J324" s="48"/>
      <c r="K324" s="49"/>
      <c r="L324" s="28"/>
      <c r="M324" s="28"/>
      <c r="N324" s="28"/>
      <c r="O324" s="28"/>
      <c r="P324" s="28"/>
      <c r="Q324" s="28"/>
      <c r="R324" s="28"/>
      <c r="S324" s="28"/>
      <c r="T324" s="25" t="str">
        <f t="shared" si="6"/>
        <v>pass</v>
      </c>
      <c r="U324" s="28"/>
      <c r="V324" s="28"/>
      <c r="W324" s="28"/>
      <c r="X324" s="28"/>
      <c r="Y324" s="28"/>
      <c r="Z324" s="28"/>
      <c r="AA324" s="28"/>
    </row>
    <row r="325" spans="2:27" outlineLevel="2" x14ac:dyDescent="0.25">
      <c r="B325" s="27">
        <v>107</v>
      </c>
      <c r="C325" s="28"/>
      <c r="D325" s="28"/>
      <c r="E325" s="28"/>
      <c r="F325" s="28"/>
      <c r="G325" s="48"/>
      <c r="H325" s="48"/>
      <c r="I325" s="48"/>
      <c r="J325" s="48"/>
      <c r="K325" s="49"/>
      <c r="L325" s="28"/>
      <c r="M325" s="28"/>
      <c r="N325" s="28"/>
      <c r="O325" s="28"/>
      <c r="P325" s="28"/>
      <c r="Q325" s="28"/>
      <c r="R325" s="28"/>
      <c r="S325" s="28"/>
      <c r="T325" s="25" t="str">
        <f t="shared" si="6"/>
        <v>pass</v>
      </c>
      <c r="U325" s="28"/>
      <c r="V325" s="28"/>
      <c r="W325" s="28"/>
      <c r="X325" s="28"/>
      <c r="Y325" s="28"/>
      <c r="Z325" s="28"/>
      <c r="AA325" s="28"/>
    </row>
    <row r="326" spans="2:27" outlineLevel="2" x14ac:dyDescent="0.25">
      <c r="B326" s="27">
        <v>108</v>
      </c>
      <c r="C326" s="28"/>
      <c r="D326" s="28"/>
      <c r="E326" s="28"/>
      <c r="F326" s="28"/>
      <c r="G326" s="48"/>
      <c r="H326" s="48"/>
      <c r="I326" s="48"/>
      <c r="J326" s="48"/>
      <c r="K326" s="49"/>
      <c r="L326" s="28"/>
      <c r="M326" s="28"/>
      <c r="N326" s="28"/>
      <c r="O326" s="28"/>
      <c r="P326" s="28"/>
      <c r="Q326" s="28"/>
      <c r="R326" s="28"/>
      <c r="S326" s="28"/>
      <c r="T326" s="25" t="str">
        <f t="shared" si="6"/>
        <v>pass</v>
      </c>
      <c r="U326" s="28"/>
      <c r="V326" s="28"/>
      <c r="W326" s="28"/>
      <c r="X326" s="28"/>
      <c r="Y326" s="28"/>
      <c r="Z326" s="28"/>
      <c r="AA326" s="28"/>
    </row>
    <row r="327" spans="2:27" outlineLevel="2" x14ac:dyDescent="0.25">
      <c r="B327" s="27">
        <v>109</v>
      </c>
      <c r="C327" s="28"/>
      <c r="D327" s="28"/>
      <c r="E327" s="28"/>
      <c r="F327" s="28"/>
      <c r="G327" s="48"/>
      <c r="H327" s="48"/>
      <c r="I327" s="48"/>
      <c r="J327" s="48"/>
      <c r="K327" s="49"/>
      <c r="L327" s="28"/>
      <c r="M327" s="28"/>
      <c r="N327" s="28"/>
      <c r="O327" s="28"/>
      <c r="P327" s="28"/>
      <c r="Q327" s="28"/>
      <c r="R327" s="28"/>
      <c r="S327" s="28"/>
      <c r="T327" s="25" t="str">
        <f t="shared" si="6"/>
        <v>pass</v>
      </c>
      <c r="U327" s="28"/>
      <c r="V327" s="28"/>
      <c r="W327" s="28"/>
      <c r="X327" s="28"/>
      <c r="Y327" s="28"/>
      <c r="Z327" s="28"/>
      <c r="AA327" s="28"/>
    </row>
    <row r="328" spans="2:27" outlineLevel="2" x14ac:dyDescent="0.25">
      <c r="B328" s="27">
        <v>110</v>
      </c>
      <c r="C328" s="28"/>
      <c r="D328" s="28"/>
      <c r="E328" s="28"/>
      <c r="F328" s="28"/>
      <c r="G328" s="48"/>
      <c r="H328" s="48"/>
      <c r="I328" s="48"/>
      <c r="J328" s="48"/>
      <c r="K328" s="49"/>
      <c r="L328" s="28"/>
      <c r="M328" s="28"/>
      <c r="N328" s="28"/>
      <c r="O328" s="28"/>
      <c r="P328" s="28"/>
      <c r="Q328" s="28"/>
      <c r="R328" s="28"/>
      <c r="S328" s="28"/>
      <c r="T328" s="25" t="str">
        <f t="shared" si="6"/>
        <v>pass</v>
      </c>
      <c r="U328" s="28"/>
      <c r="V328" s="28"/>
      <c r="W328" s="28"/>
      <c r="X328" s="28"/>
      <c r="Y328" s="28"/>
      <c r="Z328" s="28"/>
      <c r="AA328" s="28"/>
    </row>
    <row r="329" spans="2:27" outlineLevel="2" x14ac:dyDescent="0.25">
      <c r="B329" s="27">
        <v>111</v>
      </c>
      <c r="C329" s="28"/>
      <c r="D329" s="28"/>
      <c r="E329" s="28"/>
      <c r="F329" s="28"/>
      <c r="G329" s="48"/>
      <c r="H329" s="48"/>
      <c r="I329" s="48"/>
      <c r="J329" s="48"/>
      <c r="K329" s="49"/>
      <c r="L329" s="28"/>
      <c r="M329" s="28"/>
      <c r="N329" s="28"/>
      <c r="O329" s="28"/>
      <c r="P329" s="28"/>
      <c r="Q329" s="28"/>
      <c r="R329" s="28"/>
      <c r="S329" s="28"/>
      <c r="T329" s="25" t="str">
        <f t="shared" si="6"/>
        <v>pass</v>
      </c>
      <c r="U329" s="28"/>
      <c r="V329" s="28"/>
      <c r="W329" s="28"/>
      <c r="X329" s="28"/>
      <c r="Y329" s="28"/>
      <c r="Z329" s="28"/>
      <c r="AA329" s="28"/>
    </row>
    <row r="330" spans="2:27" outlineLevel="2" x14ac:dyDescent="0.25">
      <c r="B330" s="27">
        <v>112</v>
      </c>
      <c r="C330" s="28"/>
      <c r="D330" s="28"/>
      <c r="E330" s="28"/>
      <c r="F330" s="28"/>
      <c r="G330" s="48"/>
      <c r="H330" s="48"/>
      <c r="I330" s="48"/>
      <c r="J330" s="48"/>
      <c r="K330" s="49"/>
      <c r="L330" s="28"/>
      <c r="M330" s="28"/>
      <c r="N330" s="28"/>
      <c r="O330" s="28"/>
      <c r="P330" s="28"/>
      <c r="Q330" s="28"/>
      <c r="R330" s="28"/>
      <c r="S330" s="28"/>
      <c r="T330" s="25" t="str">
        <f t="shared" si="6"/>
        <v>pass</v>
      </c>
      <c r="U330" s="28"/>
      <c r="V330" s="28"/>
      <c r="W330" s="28"/>
      <c r="X330" s="28"/>
      <c r="Y330" s="28"/>
      <c r="Z330" s="28"/>
      <c r="AA330" s="28"/>
    </row>
    <row r="331" spans="2:27" outlineLevel="2" x14ac:dyDescent="0.25">
      <c r="B331" s="27">
        <v>113</v>
      </c>
      <c r="C331" s="28"/>
      <c r="D331" s="28"/>
      <c r="E331" s="28"/>
      <c r="F331" s="28"/>
      <c r="G331" s="48"/>
      <c r="H331" s="48"/>
      <c r="I331" s="48"/>
      <c r="J331" s="48"/>
      <c r="K331" s="49"/>
      <c r="L331" s="28"/>
      <c r="M331" s="28"/>
      <c r="N331" s="28"/>
      <c r="O331" s="28"/>
      <c r="P331" s="28"/>
      <c r="Q331" s="28"/>
      <c r="R331" s="28"/>
      <c r="S331" s="28"/>
      <c r="T331" s="25" t="str">
        <f t="shared" si="6"/>
        <v>pass</v>
      </c>
      <c r="U331" s="28"/>
      <c r="V331" s="28"/>
      <c r="W331" s="28"/>
      <c r="X331" s="28"/>
      <c r="Y331" s="28"/>
      <c r="Z331" s="28"/>
      <c r="AA331" s="28"/>
    </row>
    <row r="332" spans="2:27" outlineLevel="2" x14ac:dyDescent="0.25">
      <c r="B332" s="27">
        <v>114</v>
      </c>
      <c r="C332" s="28"/>
      <c r="D332" s="28"/>
      <c r="E332" s="28"/>
      <c r="F332" s="28"/>
      <c r="G332" s="48"/>
      <c r="H332" s="48"/>
      <c r="I332" s="48"/>
      <c r="J332" s="48"/>
      <c r="K332" s="49"/>
      <c r="L332" s="28"/>
      <c r="M332" s="28"/>
      <c r="N332" s="28"/>
      <c r="O332" s="28"/>
      <c r="P332" s="28"/>
      <c r="Q332" s="28"/>
      <c r="R332" s="28"/>
      <c r="S332" s="28"/>
      <c r="T332" s="25" t="str">
        <f t="shared" si="6"/>
        <v>pass</v>
      </c>
      <c r="U332" s="28"/>
      <c r="V332" s="28"/>
      <c r="W332" s="28"/>
      <c r="X332" s="28"/>
      <c r="Y332" s="28"/>
      <c r="Z332" s="28"/>
      <c r="AA332" s="28"/>
    </row>
    <row r="333" spans="2:27" outlineLevel="2" x14ac:dyDescent="0.25">
      <c r="B333" s="27">
        <v>115</v>
      </c>
      <c r="C333" s="28"/>
      <c r="D333" s="28"/>
      <c r="E333" s="28"/>
      <c r="F333" s="28"/>
      <c r="G333" s="48"/>
      <c r="H333" s="48"/>
      <c r="I333" s="48"/>
      <c r="J333" s="48"/>
      <c r="K333" s="49"/>
      <c r="L333" s="28"/>
      <c r="M333" s="28"/>
      <c r="N333" s="28"/>
      <c r="O333" s="28"/>
      <c r="P333" s="28"/>
      <c r="Q333" s="28"/>
      <c r="R333" s="28"/>
      <c r="S333" s="28"/>
      <c r="T333" s="25" t="str">
        <f t="shared" si="6"/>
        <v>pass</v>
      </c>
      <c r="U333" s="28"/>
      <c r="V333" s="28"/>
      <c r="W333" s="28"/>
      <c r="X333" s="28"/>
      <c r="Y333" s="28"/>
      <c r="Z333" s="28"/>
      <c r="AA333" s="28"/>
    </row>
    <row r="334" spans="2:27" outlineLevel="2" x14ac:dyDescent="0.25">
      <c r="B334" s="27">
        <v>116</v>
      </c>
      <c r="C334" s="28"/>
      <c r="D334" s="28"/>
      <c r="E334" s="28"/>
      <c r="F334" s="28"/>
      <c r="G334" s="48"/>
      <c r="H334" s="48"/>
      <c r="I334" s="48"/>
      <c r="J334" s="48"/>
      <c r="K334" s="49"/>
      <c r="L334" s="28"/>
      <c r="M334" s="28"/>
      <c r="N334" s="28"/>
      <c r="O334" s="28"/>
      <c r="P334" s="28"/>
      <c r="Q334" s="28"/>
      <c r="R334" s="28"/>
      <c r="S334" s="28"/>
      <c r="T334" s="25" t="str">
        <f t="shared" si="6"/>
        <v>pass</v>
      </c>
      <c r="U334" s="28"/>
      <c r="V334" s="28"/>
      <c r="W334" s="28"/>
      <c r="X334" s="28"/>
      <c r="Y334" s="28"/>
      <c r="Z334" s="28"/>
      <c r="AA334" s="28"/>
    </row>
    <row r="335" spans="2:27" outlineLevel="2" x14ac:dyDescent="0.25">
      <c r="B335" s="27">
        <v>117</v>
      </c>
      <c r="C335" s="28"/>
      <c r="D335" s="28"/>
      <c r="E335" s="28"/>
      <c r="F335" s="28"/>
      <c r="G335" s="48"/>
      <c r="H335" s="48"/>
      <c r="I335" s="48"/>
      <c r="J335" s="48"/>
      <c r="K335" s="49"/>
      <c r="L335" s="28"/>
      <c r="M335" s="28"/>
      <c r="N335" s="28"/>
      <c r="O335" s="28"/>
      <c r="P335" s="28"/>
      <c r="Q335" s="28"/>
      <c r="R335" s="28"/>
      <c r="S335" s="28"/>
      <c r="T335" s="25" t="str">
        <f t="shared" si="6"/>
        <v>pass</v>
      </c>
      <c r="U335" s="28"/>
      <c r="V335" s="28"/>
      <c r="W335" s="28"/>
      <c r="X335" s="28"/>
      <c r="Y335" s="28"/>
      <c r="Z335" s="28"/>
      <c r="AA335" s="28"/>
    </row>
    <row r="336" spans="2:27" outlineLevel="2" x14ac:dyDescent="0.25">
      <c r="B336" s="27">
        <v>118</v>
      </c>
      <c r="C336" s="28"/>
      <c r="D336" s="28"/>
      <c r="E336" s="28"/>
      <c r="F336" s="28"/>
      <c r="G336" s="48"/>
      <c r="H336" s="48"/>
      <c r="I336" s="48"/>
      <c r="J336" s="48"/>
      <c r="K336" s="49"/>
      <c r="L336" s="28"/>
      <c r="M336" s="28"/>
      <c r="N336" s="28"/>
      <c r="O336" s="28"/>
      <c r="P336" s="28"/>
      <c r="Q336" s="28"/>
      <c r="R336" s="28"/>
      <c r="S336" s="28"/>
      <c r="T336" s="25" t="str">
        <f t="shared" si="6"/>
        <v>pass</v>
      </c>
      <c r="U336" s="28"/>
      <c r="V336" s="28"/>
      <c r="W336" s="28"/>
      <c r="X336" s="28"/>
      <c r="Y336" s="28"/>
      <c r="Z336" s="28"/>
      <c r="AA336" s="28"/>
    </row>
    <row r="337" spans="2:27" outlineLevel="2" x14ac:dyDescent="0.25">
      <c r="B337" s="27">
        <v>119</v>
      </c>
      <c r="C337" s="28"/>
      <c r="D337" s="28"/>
      <c r="E337" s="28"/>
      <c r="F337" s="28"/>
      <c r="G337" s="48"/>
      <c r="H337" s="48"/>
      <c r="I337" s="48"/>
      <c r="J337" s="48"/>
      <c r="K337" s="49"/>
      <c r="L337" s="28"/>
      <c r="M337" s="28"/>
      <c r="N337" s="28"/>
      <c r="O337" s="28"/>
      <c r="P337" s="28"/>
      <c r="Q337" s="28"/>
      <c r="R337" s="28"/>
      <c r="S337" s="28"/>
      <c r="T337" s="25" t="str">
        <f t="shared" si="6"/>
        <v>pass</v>
      </c>
      <c r="U337" s="28"/>
      <c r="V337" s="28"/>
      <c r="W337" s="28"/>
      <c r="X337" s="28"/>
      <c r="Y337" s="28"/>
      <c r="Z337" s="28"/>
      <c r="AA337" s="28"/>
    </row>
    <row r="338" spans="2:27" outlineLevel="2" x14ac:dyDescent="0.25">
      <c r="B338" s="27">
        <v>120</v>
      </c>
      <c r="C338" s="28"/>
      <c r="D338" s="28"/>
      <c r="E338" s="28"/>
      <c r="F338" s="28"/>
      <c r="G338" s="48"/>
      <c r="H338" s="48"/>
      <c r="I338" s="48"/>
      <c r="J338" s="48"/>
      <c r="K338" s="49"/>
      <c r="L338" s="28"/>
      <c r="M338" s="28"/>
      <c r="N338" s="28"/>
      <c r="O338" s="28"/>
      <c r="P338" s="28"/>
      <c r="Q338" s="28"/>
      <c r="R338" s="28"/>
      <c r="S338" s="28"/>
      <c r="T338" s="25" t="str">
        <f t="shared" si="6"/>
        <v>pass</v>
      </c>
      <c r="U338" s="28"/>
      <c r="V338" s="28"/>
      <c r="W338" s="28"/>
      <c r="X338" s="28"/>
      <c r="Y338" s="28"/>
      <c r="Z338" s="28"/>
      <c r="AA338" s="28"/>
    </row>
    <row r="339" spans="2:27" outlineLevel="2" x14ac:dyDescent="0.25">
      <c r="B339" s="27">
        <v>121</v>
      </c>
      <c r="C339" s="28"/>
      <c r="D339" s="28"/>
      <c r="E339" s="28"/>
      <c r="F339" s="28"/>
      <c r="G339" s="48"/>
      <c r="H339" s="48"/>
      <c r="I339" s="48"/>
      <c r="J339" s="48"/>
      <c r="K339" s="49"/>
      <c r="L339" s="28"/>
      <c r="M339" s="28"/>
      <c r="N339" s="28"/>
      <c r="O339" s="28"/>
      <c r="P339" s="28"/>
      <c r="Q339" s="28"/>
      <c r="R339" s="28"/>
      <c r="S339" s="28"/>
      <c r="T339" s="25" t="str">
        <f t="shared" si="6"/>
        <v>pass</v>
      </c>
      <c r="U339" s="28"/>
      <c r="V339" s="28"/>
      <c r="W339" s="28"/>
      <c r="X339" s="28"/>
      <c r="Y339" s="28"/>
      <c r="Z339" s="28"/>
      <c r="AA339" s="28"/>
    </row>
    <row r="340" spans="2:27" outlineLevel="2" x14ac:dyDescent="0.25">
      <c r="B340" s="27">
        <v>122</v>
      </c>
      <c r="C340" s="28"/>
      <c r="D340" s="28"/>
      <c r="E340" s="28"/>
      <c r="F340" s="28"/>
      <c r="G340" s="48"/>
      <c r="H340" s="48"/>
      <c r="I340" s="48"/>
      <c r="J340" s="48"/>
      <c r="K340" s="49"/>
      <c r="L340" s="28"/>
      <c r="M340" s="28"/>
      <c r="N340" s="28"/>
      <c r="O340" s="28"/>
      <c r="P340" s="28"/>
      <c r="Q340" s="28"/>
      <c r="R340" s="28"/>
      <c r="S340" s="28"/>
      <c r="T340" s="25" t="str">
        <f t="shared" si="6"/>
        <v>pass</v>
      </c>
      <c r="U340" s="28"/>
      <c r="V340" s="28"/>
      <c r="W340" s="28"/>
      <c r="X340" s="28"/>
      <c r="Y340" s="28"/>
      <c r="Z340" s="28"/>
      <c r="AA340" s="28"/>
    </row>
    <row r="341" spans="2:27" outlineLevel="2" x14ac:dyDescent="0.25">
      <c r="B341" s="27">
        <v>123</v>
      </c>
      <c r="C341" s="28"/>
      <c r="D341" s="28"/>
      <c r="E341" s="28"/>
      <c r="F341" s="28"/>
      <c r="G341" s="48"/>
      <c r="H341" s="48"/>
      <c r="I341" s="48"/>
      <c r="J341" s="48"/>
      <c r="K341" s="49"/>
      <c r="L341" s="28"/>
      <c r="M341" s="28"/>
      <c r="N341" s="28"/>
      <c r="O341" s="28"/>
      <c r="P341" s="28"/>
      <c r="Q341" s="28"/>
      <c r="R341" s="28"/>
      <c r="S341" s="28"/>
      <c r="T341" s="25" t="str">
        <f t="shared" si="6"/>
        <v>pass</v>
      </c>
      <c r="U341" s="28"/>
      <c r="V341" s="28"/>
      <c r="W341" s="28"/>
      <c r="X341" s="28"/>
      <c r="Y341" s="28"/>
      <c r="Z341" s="28"/>
      <c r="AA341" s="28"/>
    </row>
    <row r="342" spans="2:27" outlineLevel="2" x14ac:dyDescent="0.25">
      <c r="B342" s="27">
        <v>124</v>
      </c>
      <c r="C342" s="28"/>
      <c r="D342" s="28"/>
      <c r="E342" s="28"/>
      <c r="F342" s="28"/>
      <c r="G342" s="48"/>
      <c r="H342" s="48"/>
      <c r="I342" s="48"/>
      <c r="J342" s="48"/>
      <c r="K342" s="49"/>
      <c r="L342" s="28"/>
      <c r="M342" s="28"/>
      <c r="N342" s="28"/>
      <c r="O342" s="28"/>
      <c r="P342" s="28"/>
      <c r="Q342" s="28"/>
      <c r="R342" s="28"/>
      <c r="S342" s="28"/>
      <c r="T342" s="25" t="str">
        <f t="shared" si="6"/>
        <v>pass</v>
      </c>
      <c r="U342" s="28"/>
      <c r="V342" s="28"/>
      <c r="W342" s="28"/>
      <c r="X342" s="28"/>
      <c r="Y342" s="28"/>
      <c r="Z342" s="28"/>
      <c r="AA342" s="28"/>
    </row>
    <row r="343" spans="2:27" outlineLevel="2" x14ac:dyDescent="0.25">
      <c r="B343" s="27">
        <v>125</v>
      </c>
      <c r="C343" s="28"/>
      <c r="D343" s="28"/>
      <c r="E343" s="28"/>
      <c r="F343" s="28"/>
      <c r="G343" s="48"/>
      <c r="H343" s="48"/>
      <c r="I343" s="48"/>
      <c r="J343" s="48"/>
      <c r="K343" s="49"/>
      <c r="L343" s="28"/>
      <c r="M343" s="28"/>
      <c r="N343" s="28"/>
      <c r="O343" s="28"/>
      <c r="P343" s="28"/>
      <c r="Q343" s="28"/>
      <c r="R343" s="28"/>
      <c r="S343" s="28"/>
      <c r="T343" s="25" t="str">
        <f t="shared" si="6"/>
        <v>pass</v>
      </c>
      <c r="U343" s="28"/>
      <c r="V343" s="28"/>
      <c r="W343" s="28"/>
      <c r="X343" s="28"/>
      <c r="Y343" s="28"/>
      <c r="Z343" s="28"/>
      <c r="AA343" s="28"/>
    </row>
    <row r="344" spans="2:27" outlineLevel="2" x14ac:dyDescent="0.25">
      <c r="B344" s="27">
        <v>126</v>
      </c>
      <c r="C344" s="28"/>
      <c r="D344" s="28"/>
      <c r="E344" s="28"/>
      <c r="F344" s="28"/>
      <c r="G344" s="48"/>
      <c r="H344" s="48"/>
      <c r="I344" s="48"/>
      <c r="J344" s="48"/>
      <c r="K344" s="49"/>
      <c r="L344" s="28"/>
      <c r="M344" s="28"/>
      <c r="N344" s="28"/>
      <c r="O344" s="28"/>
      <c r="P344" s="28"/>
      <c r="Q344" s="28"/>
      <c r="R344" s="28"/>
      <c r="S344" s="28"/>
      <c r="T344" s="25" t="str">
        <f t="shared" si="6"/>
        <v>pass</v>
      </c>
      <c r="U344" s="28"/>
      <c r="V344" s="28"/>
      <c r="W344" s="28"/>
      <c r="X344" s="28"/>
      <c r="Y344" s="28"/>
      <c r="Z344" s="28"/>
      <c r="AA344" s="28"/>
    </row>
    <row r="345" spans="2:27" outlineLevel="2" x14ac:dyDescent="0.25">
      <c r="B345" s="27">
        <v>127</v>
      </c>
      <c r="C345" s="28"/>
      <c r="D345" s="28"/>
      <c r="E345" s="28"/>
      <c r="F345" s="28"/>
      <c r="G345" s="48"/>
      <c r="H345" s="48"/>
      <c r="I345" s="48"/>
      <c r="J345" s="48"/>
      <c r="K345" s="49"/>
      <c r="L345" s="28"/>
      <c r="M345" s="28"/>
      <c r="N345" s="28"/>
      <c r="O345" s="28"/>
      <c r="P345" s="28"/>
      <c r="Q345" s="28"/>
      <c r="R345" s="28"/>
      <c r="S345" s="28"/>
      <c r="T345" s="25" t="str">
        <f t="shared" si="6"/>
        <v>pass</v>
      </c>
      <c r="U345" s="28"/>
      <c r="V345" s="28"/>
      <c r="W345" s="28"/>
      <c r="X345" s="28"/>
      <c r="Y345" s="28"/>
      <c r="Z345" s="28"/>
      <c r="AA345" s="28"/>
    </row>
    <row r="346" spans="2:27" outlineLevel="2" x14ac:dyDescent="0.25">
      <c r="B346" s="27">
        <v>128</v>
      </c>
      <c r="C346" s="28"/>
      <c r="D346" s="28"/>
      <c r="E346" s="28"/>
      <c r="F346" s="28"/>
      <c r="G346" s="48"/>
      <c r="H346" s="48"/>
      <c r="I346" s="48"/>
      <c r="J346" s="48"/>
      <c r="K346" s="49"/>
      <c r="L346" s="28"/>
      <c r="M346" s="28"/>
      <c r="N346" s="28"/>
      <c r="O346" s="28"/>
      <c r="P346" s="28"/>
      <c r="Q346" s="28"/>
      <c r="R346" s="28"/>
      <c r="S346" s="28"/>
      <c r="T346" s="25" t="str">
        <f t="shared" si="6"/>
        <v>pass</v>
      </c>
      <c r="U346" s="28"/>
      <c r="V346" s="28"/>
      <c r="W346" s="28"/>
      <c r="X346" s="28"/>
      <c r="Y346" s="28"/>
      <c r="Z346" s="28"/>
      <c r="AA346" s="28"/>
    </row>
    <row r="347" spans="2:27" outlineLevel="2" x14ac:dyDescent="0.25">
      <c r="B347" s="27">
        <v>129</v>
      </c>
      <c r="C347" s="28"/>
      <c r="D347" s="28"/>
      <c r="E347" s="28"/>
      <c r="F347" s="28"/>
      <c r="G347" s="48"/>
      <c r="H347" s="48"/>
      <c r="I347" s="48"/>
      <c r="J347" s="48"/>
      <c r="K347" s="49"/>
      <c r="L347" s="28"/>
      <c r="M347" s="28"/>
      <c r="N347" s="28"/>
      <c r="O347" s="28"/>
      <c r="P347" s="28"/>
      <c r="Q347" s="28"/>
      <c r="R347" s="28"/>
      <c r="S347" s="28"/>
      <c r="T347" s="25" t="str">
        <f t="shared" ref="T347:T378" si="7">IF(AND(C347&lt;&gt;"",SUM(K347,M347,O347,Q347,S347)=1),"pass",IF(AND(C347="",SUM(K347,M347,O347,Q347,S347)=0),"pass","fail"))</f>
        <v>pass</v>
      </c>
      <c r="U347" s="28"/>
      <c r="V347" s="28"/>
      <c r="W347" s="28"/>
      <c r="X347" s="28"/>
      <c r="Y347" s="28"/>
      <c r="Z347" s="28"/>
      <c r="AA347" s="28"/>
    </row>
    <row r="348" spans="2:27" outlineLevel="2" x14ac:dyDescent="0.25">
      <c r="B348" s="27">
        <v>130</v>
      </c>
      <c r="C348" s="28"/>
      <c r="D348" s="28"/>
      <c r="E348" s="28"/>
      <c r="F348" s="28"/>
      <c r="G348" s="48"/>
      <c r="H348" s="48"/>
      <c r="I348" s="48"/>
      <c r="J348" s="48"/>
      <c r="K348" s="49"/>
      <c r="L348" s="28"/>
      <c r="M348" s="28"/>
      <c r="N348" s="28"/>
      <c r="O348" s="28"/>
      <c r="P348" s="28"/>
      <c r="Q348" s="28"/>
      <c r="R348" s="28"/>
      <c r="S348" s="28"/>
      <c r="T348" s="25" t="str">
        <f t="shared" si="7"/>
        <v>pass</v>
      </c>
      <c r="U348" s="28"/>
      <c r="V348" s="28"/>
      <c r="W348" s="28"/>
      <c r="X348" s="28"/>
      <c r="Y348" s="28"/>
      <c r="Z348" s="28"/>
      <c r="AA348" s="28"/>
    </row>
    <row r="349" spans="2:27" outlineLevel="2" x14ac:dyDescent="0.25">
      <c r="B349" s="27">
        <v>131</v>
      </c>
      <c r="C349" s="28"/>
      <c r="D349" s="28"/>
      <c r="E349" s="28"/>
      <c r="F349" s="28"/>
      <c r="G349" s="48"/>
      <c r="H349" s="48"/>
      <c r="I349" s="48"/>
      <c r="J349" s="48"/>
      <c r="K349" s="49"/>
      <c r="L349" s="28"/>
      <c r="M349" s="28"/>
      <c r="N349" s="28"/>
      <c r="O349" s="28"/>
      <c r="P349" s="28"/>
      <c r="Q349" s="28"/>
      <c r="R349" s="28"/>
      <c r="S349" s="28"/>
      <c r="T349" s="25" t="str">
        <f t="shared" si="7"/>
        <v>pass</v>
      </c>
      <c r="U349" s="28"/>
      <c r="V349" s="28"/>
      <c r="W349" s="28"/>
      <c r="X349" s="28"/>
      <c r="Y349" s="28"/>
      <c r="Z349" s="28"/>
      <c r="AA349" s="28"/>
    </row>
    <row r="350" spans="2:27" outlineLevel="2" x14ac:dyDescent="0.25">
      <c r="B350" s="27">
        <v>132</v>
      </c>
      <c r="C350" s="28"/>
      <c r="D350" s="28"/>
      <c r="E350" s="28"/>
      <c r="F350" s="28"/>
      <c r="G350" s="48"/>
      <c r="H350" s="48"/>
      <c r="I350" s="48"/>
      <c r="J350" s="48"/>
      <c r="K350" s="49"/>
      <c r="L350" s="28"/>
      <c r="M350" s="28"/>
      <c r="N350" s="28"/>
      <c r="O350" s="28"/>
      <c r="P350" s="28"/>
      <c r="Q350" s="28"/>
      <c r="R350" s="28"/>
      <c r="S350" s="28"/>
      <c r="T350" s="25" t="str">
        <f t="shared" si="7"/>
        <v>pass</v>
      </c>
      <c r="U350" s="28"/>
      <c r="V350" s="28"/>
      <c r="W350" s="28"/>
      <c r="X350" s="28"/>
      <c r="Y350" s="28"/>
      <c r="Z350" s="28"/>
      <c r="AA350" s="28"/>
    </row>
    <row r="351" spans="2:27" outlineLevel="2" x14ac:dyDescent="0.25">
      <c r="B351" s="27">
        <v>133</v>
      </c>
      <c r="C351" s="28"/>
      <c r="D351" s="28"/>
      <c r="E351" s="28"/>
      <c r="F351" s="28"/>
      <c r="G351" s="48"/>
      <c r="H351" s="48"/>
      <c r="I351" s="48"/>
      <c r="J351" s="48"/>
      <c r="K351" s="49"/>
      <c r="L351" s="28"/>
      <c r="M351" s="28"/>
      <c r="N351" s="28"/>
      <c r="O351" s="28"/>
      <c r="P351" s="28"/>
      <c r="Q351" s="28"/>
      <c r="R351" s="28"/>
      <c r="S351" s="28"/>
      <c r="T351" s="25" t="str">
        <f t="shared" si="7"/>
        <v>pass</v>
      </c>
      <c r="U351" s="28"/>
      <c r="V351" s="28"/>
      <c r="W351" s="28"/>
      <c r="X351" s="28"/>
      <c r="Y351" s="28"/>
      <c r="Z351" s="28"/>
      <c r="AA351" s="28"/>
    </row>
    <row r="352" spans="2:27" outlineLevel="2" x14ac:dyDescent="0.25">
      <c r="B352" s="27">
        <v>134</v>
      </c>
      <c r="C352" s="28"/>
      <c r="D352" s="28"/>
      <c r="E352" s="28"/>
      <c r="F352" s="28"/>
      <c r="G352" s="48"/>
      <c r="H352" s="48"/>
      <c r="I352" s="48"/>
      <c r="J352" s="48"/>
      <c r="K352" s="49"/>
      <c r="L352" s="28"/>
      <c r="M352" s="28"/>
      <c r="N352" s="28"/>
      <c r="O352" s="28"/>
      <c r="P352" s="28"/>
      <c r="Q352" s="28"/>
      <c r="R352" s="28"/>
      <c r="S352" s="28"/>
      <c r="T352" s="25" t="str">
        <f t="shared" si="7"/>
        <v>pass</v>
      </c>
      <c r="U352" s="28"/>
      <c r="V352" s="28"/>
      <c r="W352" s="28"/>
      <c r="X352" s="28"/>
      <c r="Y352" s="28"/>
      <c r="Z352" s="28"/>
      <c r="AA352" s="28"/>
    </row>
    <row r="353" spans="2:27" outlineLevel="2" x14ac:dyDescent="0.25">
      <c r="B353" s="27">
        <v>135</v>
      </c>
      <c r="C353" s="28"/>
      <c r="D353" s="28"/>
      <c r="E353" s="28"/>
      <c r="F353" s="28"/>
      <c r="G353" s="48"/>
      <c r="H353" s="48"/>
      <c r="I353" s="48"/>
      <c r="J353" s="48"/>
      <c r="K353" s="49"/>
      <c r="L353" s="28"/>
      <c r="M353" s="28"/>
      <c r="N353" s="28"/>
      <c r="O353" s="28"/>
      <c r="P353" s="28"/>
      <c r="Q353" s="28"/>
      <c r="R353" s="28"/>
      <c r="S353" s="28"/>
      <c r="T353" s="25" t="str">
        <f t="shared" si="7"/>
        <v>pass</v>
      </c>
      <c r="U353" s="28"/>
      <c r="V353" s="28"/>
      <c r="W353" s="28"/>
      <c r="X353" s="28"/>
      <c r="Y353" s="28"/>
      <c r="Z353" s="28"/>
      <c r="AA353" s="28"/>
    </row>
    <row r="354" spans="2:27" outlineLevel="2" x14ac:dyDescent="0.25">
      <c r="B354" s="27">
        <v>136</v>
      </c>
      <c r="C354" s="28"/>
      <c r="D354" s="28"/>
      <c r="E354" s="28"/>
      <c r="F354" s="28"/>
      <c r="G354" s="48"/>
      <c r="H354" s="48"/>
      <c r="I354" s="48"/>
      <c r="J354" s="48"/>
      <c r="K354" s="49"/>
      <c r="L354" s="28"/>
      <c r="M354" s="28"/>
      <c r="N354" s="28"/>
      <c r="O354" s="28"/>
      <c r="P354" s="28"/>
      <c r="Q354" s="28"/>
      <c r="R354" s="28"/>
      <c r="S354" s="28"/>
      <c r="T354" s="25" t="str">
        <f t="shared" si="7"/>
        <v>pass</v>
      </c>
      <c r="U354" s="28"/>
      <c r="V354" s="28"/>
      <c r="W354" s="28"/>
      <c r="X354" s="28"/>
      <c r="Y354" s="28"/>
      <c r="Z354" s="28"/>
      <c r="AA354" s="28"/>
    </row>
    <row r="355" spans="2:27" outlineLevel="2" x14ac:dyDescent="0.25">
      <c r="B355" s="27">
        <v>137</v>
      </c>
      <c r="C355" s="28"/>
      <c r="D355" s="28"/>
      <c r="E355" s="28"/>
      <c r="F355" s="28"/>
      <c r="G355" s="48"/>
      <c r="H355" s="48"/>
      <c r="I355" s="48"/>
      <c r="J355" s="48"/>
      <c r="K355" s="49"/>
      <c r="L355" s="28"/>
      <c r="M355" s="28"/>
      <c r="N355" s="28"/>
      <c r="O355" s="28"/>
      <c r="P355" s="28"/>
      <c r="Q355" s="28"/>
      <c r="R355" s="28"/>
      <c r="S355" s="28"/>
      <c r="T355" s="25" t="str">
        <f t="shared" si="7"/>
        <v>pass</v>
      </c>
      <c r="U355" s="28"/>
      <c r="V355" s="28"/>
      <c r="W355" s="28"/>
      <c r="X355" s="28"/>
      <c r="Y355" s="28"/>
      <c r="Z355" s="28"/>
      <c r="AA355" s="28"/>
    </row>
    <row r="356" spans="2:27" outlineLevel="2" x14ac:dyDescent="0.25">
      <c r="B356" s="27">
        <v>138</v>
      </c>
      <c r="C356" s="28"/>
      <c r="D356" s="28"/>
      <c r="E356" s="28"/>
      <c r="F356" s="28"/>
      <c r="G356" s="48"/>
      <c r="H356" s="48"/>
      <c r="I356" s="48"/>
      <c r="J356" s="48"/>
      <c r="K356" s="49"/>
      <c r="L356" s="28"/>
      <c r="M356" s="28"/>
      <c r="N356" s="28"/>
      <c r="O356" s="28"/>
      <c r="P356" s="28"/>
      <c r="Q356" s="28"/>
      <c r="R356" s="28"/>
      <c r="S356" s="28"/>
      <c r="T356" s="25" t="str">
        <f t="shared" si="7"/>
        <v>pass</v>
      </c>
      <c r="U356" s="28"/>
      <c r="V356" s="28"/>
      <c r="W356" s="28"/>
      <c r="X356" s="28"/>
      <c r="Y356" s="28"/>
      <c r="Z356" s="28"/>
      <c r="AA356" s="28"/>
    </row>
    <row r="357" spans="2:27" outlineLevel="2" x14ac:dyDescent="0.25">
      <c r="B357" s="27">
        <v>139</v>
      </c>
      <c r="C357" s="28"/>
      <c r="D357" s="28"/>
      <c r="E357" s="28"/>
      <c r="F357" s="28"/>
      <c r="G357" s="48"/>
      <c r="H357" s="48"/>
      <c r="I357" s="48"/>
      <c r="J357" s="48"/>
      <c r="K357" s="49"/>
      <c r="L357" s="28"/>
      <c r="M357" s="28"/>
      <c r="N357" s="28"/>
      <c r="O357" s="28"/>
      <c r="P357" s="28"/>
      <c r="Q357" s="28"/>
      <c r="R357" s="28"/>
      <c r="S357" s="28"/>
      <c r="T357" s="25" t="str">
        <f t="shared" si="7"/>
        <v>pass</v>
      </c>
      <c r="U357" s="28"/>
      <c r="V357" s="28"/>
      <c r="W357" s="28"/>
      <c r="X357" s="28"/>
      <c r="Y357" s="28"/>
      <c r="Z357" s="28"/>
      <c r="AA357" s="28"/>
    </row>
    <row r="358" spans="2:27" outlineLevel="2" x14ac:dyDescent="0.25">
      <c r="B358" s="27">
        <v>140</v>
      </c>
      <c r="C358" s="28"/>
      <c r="D358" s="28"/>
      <c r="E358" s="28"/>
      <c r="F358" s="28"/>
      <c r="G358" s="48"/>
      <c r="H358" s="48"/>
      <c r="I358" s="48"/>
      <c r="J358" s="48"/>
      <c r="K358" s="49"/>
      <c r="L358" s="28"/>
      <c r="M358" s="28"/>
      <c r="N358" s="28"/>
      <c r="O358" s="28"/>
      <c r="P358" s="28"/>
      <c r="Q358" s="28"/>
      <c r="R358" s="28"/>
      <c r="S358" s="28"/>
      <c r="T358" s="25" t="str">
        <f t="shared" si="7"/>
        <v>pass</v>
      </c>
      <c r="U358" s="28"/>
      <c r="V358" s="28"/>
      <c r="W358" s="28"/>
      <c r="X358" s="28"/>
      <c r="Y358" s="28"/>
      <c r="Z358" s="28"/>
      <c r="AA358" s="28"/>
    </row>
    <row r="359" spans="2:27" outlineLevel="2" x14ac:dyDescent="0.25">
      <c r="B359" s="27">
        <v>141</v>
      </c>
      <c r="C359" s="28"/>
      <c r="D359" s="28"/>
      <c r="E359" s="28"/>
      <c r="F359" s="28"/>
      <c r="G359" s="48"/>
      <c r="H359" s="48"/>
      <c r="I359" s="48"/>
      <c r="J359" s="48"/>
      <c r="K359" s="49"/>
      <c r="L359" s="28"/>
      <c r="M359" s="28"/>
      <c r="N359" s="28"/>
      <c r="O359" s="28"/>
      <c r="P359" s="28"/>
      <c r="Q359" s="28"/>
      <c r="R359" s="28"/>
      <c r="S359" s="28"/>
      <c r="T359" s="25" t="str">
        <f t="shared" si="7"/>
        <v>pass</v>
      </c>
      <c r="U359" s="28"/>
      <c r="V359" s="28"/>
      <c r="W359" s="28"/>
      <c r="X359" s="28"/>
      <c r="Y359" s="28"/>
      <c r="Z359" s="28"/>
      <c r="AA359" s="28"/>
    </row>
    <row r="360" spans="2:27" outlineLevel="2" x14ac:dyDescent="0.25">
      <c r="B360" s="27">
        <v>142</v>
      </c>
      <c r="C360" s="28"/>
      <c r="D360" s="28"/>
      <c r="E360" s="28"/>
      <c r="F360" s="28"/>
      <c r="G360" s="48"/>
      <c r="H360" s="48"/>
      <c r="I360" s="48"/>
      <c r="J360" s="48"/>
      <c r="K360" s="49"/>
      <c r="L360" s="28"/>
      <c r="M360" s="28"/>
      <c r="N360" s="28"/>
      <c r="O360" s="28"/>
      <c r="P360" s="28"/>
      <c r="Q360" s="28"/>
      <c r="R360" s="28"/>
      <c r="S360" s="28"/>
      <c r="T360" s="25" t="str">
        <f t="shared" si="7"/>
        <v>pass</v>
      </c>
      <c r="U360" s="28"/>
      <c r="V360" s="28"/>
      <c r="W360" s="28"/>
      <c r="X360" s="28"/>
      <c r="Y360" s="28"/>
      <c r="Z360" s="28"/>
      <c r="AA360" s="28"/>
    </row>
    <row r="361" spans="2:27" outlineLevel="2" x14ac:dyDescent="0.25">
      <c r="B361" s="27">
        <v>143</v>
      </c>
      <c r="C361" s="28"/>
      <c r="D361" s="28"/>
      <c r="E361" s="28"/>
      <c r="F361" s="28"/>
      <c r="G361" s="48"/>
      <c r="H361" s="48"/>
      <c r="I361" s="48"/>
      <c r="J361" s="48"/>
      <c r="K361" s="49"/>
      <c r="L361" s="28"/>
      <c r="M361" s="28"/>
      <c r="N361" s="28"/>
      <c r="O361" s="28"/>
      <c r="P361" s="28"/>
      <c r="Q361" s="28"/>
      <c r="R361" s="28"/>
      <c r="S361" s="28"/>
      <c r="T361" s="25" t="str">
        <f t="shared" si="7"/>
        <v>pass</v>
      </c>
      <c r="U361" s="28"/>
      <c r="V361" s="28"/>
      <c r="W361" s="28"/>
      <c r="X361" s="28"/>
      <c r="Y361" s="28"/>
      <c r="Z361" s="28"/>
      <c r="AA361" s="28"/>
    </row>
    <row r="362" spans="2:27" outlineLevel="2" x14ac:dyDescent="0.25">
      <c r="B362" s="27">
        <v>144</v>
      </c>
      <c r="C362" s="28"/>
      <c r="D362" s="28"/>
      <c r="E362" s="28"/>
      <c r="F362" s="28"/>
      <c r="G362" s="48"/>
      <c r="H362" s="48"/>
      <c r="I362" s="48"/>
      <c r="J362" s="48"/>
      <c r="K362" s="49"/>
      <c r="L362" s="28"/>
      <c r="M362" s="28"/>
      <c r="N362" s="28"/>
      <c r="O362" s="28"/>
      <c r="P362" s="28"/>
      <c r="Q362" s="28"/>
      <c r="R362" s="28"/>
      <c r="S362" s="28"/>
      <c r="T362" s="25" t="str">
        <f t="shared" si="7"/>
        <v>pass</v>
      </c>
      <c r="U362" s="28"/>
      <c r="V362" s="28"/>
      <c r="W362" s="28"/>
      <c r="X362" s="28"/>
      <c r="Y362" s="28"/>
      <c r="Z362" s="28"/>
      <c r="AA362" s="28"/>
    </row>
    <row r="363" spans="2:27" outlineLevel="2" x14ac:dyDescent="0.25">
      <c r="B363" s="27">
        <v>145</v>
      </c>
      <c r="C363" s="28"/>
      <c r="D363" s="28"/>
      <c r="E363" s="28"/>
      <c r="F363" s="28"/>
      <c r="G363" s="48"/>
      <c r="H363" s="48"/>
      <c r="I363" s="48"/>
      <c r="J363" s="48"/>
      <c r="K363" s="49"/>
      <c r="L363" s="28"/>
      <c r="M363" s="28"/>
      <c r="N363" s="28"/>
      <c r="O363" s="28"/>
      <c r="P363" s="28"/>
      <c r="Q363" s="28"/>
      <c r="R363" s="28"/>
      <c r="S363" s="28"/>
      <c r="T363" s="25" t="str">
        <f t="shared" si="7"/>
        <v>pass</v>
      </c>
      <c r="U363" s="28"/>
      <c r="V363" s="28"/>
      <c r="W363" s="28"/>
      <c r="X363" s="28"/>
      <c r="Y363" s="28"/>
      <c r="Z363" s="28"/>
      <c r="AA363" s="28"/>
    </row>
    <row r="364" spans="2:27" outlineLevel="2" x14ac:dyDescent="0.25">
      <c r="B364" s="27">
        <v>146</v>
      </c>
      <c r="C364" s="28"/>
      <c r="D364" s="28"/>
      <c r="E364" s="28"/>
      <c r="F364" s="28"/>
      <c r="G364" s="48"/>
      <c r="H364" s="48"/>
      <c r="I364" s="48"/>
      <c r="J364" s="48"/>
      <c r="K364" s="49"/>
      <c r="L364" s="28"/>
      <c r="M364" s="28"/>
      <c r="N364" s="28"/>
      <c r="O364" s="28"/>
      <c r="P364" s="28"/>
      <c r="Q364" s="28"/>
      <c r="R364" s="28"/>
      <c r="S364" s="28"/>
      <c r="T364" s="25" t="str">
        <f t="shared" si="7"/>
        <v>pass</v>
      </c>
      <c r="U364" s="28"/>
      <c r="V364" s="28"/>
      <c r="W364" s="28"/>
      <c r="X364" s="28"/>
      <c r="Y364" s="28"/>
      <c r="Z364" s="28"/>
      <c r="AA364" s="28"/>
    </row>
    <row r="365" spans="2:27" outlineLevel="2" x14ac:dyDescent="0.25">
      <c r="B365" s="27">
        <v>147</v>
      </c>
      <c r="C365" s="28"/>
      <c r="D365" s="28"/>
      <c r="E365" s="28"/>
      <c r="F365" s="28"/>
      <c r="G365" s="48"/>
      <c r="H365" s="48"/>
      <c r="I365" s="48"/>
      <c r="J365" s="48"/>
      <c r="K365" s="49"/>
      <c r="L365" s="28"/>
      <c r="M365" s="28"/>
      <c r="N365" s="28"/>
      <c r="O365" s="28"/>
      <c r="P365" s="28"/>
      <c r="Q365" s="28"/>
      <c r="R365" s="28"/>
      <c r="S365" s="28"/>
      <c r="T365" s="25" t="str">
        <f t="shared" si="7"/>
        <v>pass</v>
      </c>
      <c r="U365" s="28"/>
      <c r="V365" s="28"/>
      <c r="W365" s="28"/>
      <c r="X365" s="28"/>
      <c r="Y365" s="28"/>
      <c r="Z365" s="28"/>
      <c r="AA365" s="28"/>
    </row>
    <row r="366" spans="2:27" outlineLevel="2" x14ac:dyDescent="0.25">
      <c r="B366" s="27">
        <v>148</v>
      </c>
      <c r="C366" s="28"/>
      <c r="D366" s="28"/>
      <c r="E366" s="28"/>
      <c r="F366" s="28"/>
      <c r="G366" s="48"/>
      <c r="H366" s="48"/>
      <c r="I366" s="48"/>
      <c r="J366" s="48"/>
      <c r="K366" s="49"/>
      <c r="L366" s="28"/>
      <c r="M366" s="28"/>
      <c r="N366" s="28"/>
      <c r="O366" s="28"/>
      <c r="P366" s="28"/>
      <c r="Q366" s="28"/>
      <c r="R366" s="28"/>
      <c r="S366" s="28"/>
      <c r="T366" s="25" t="str">
        <f t="shared" si="7"/>
        <v>pass</v>
      </c>
      <c r="U366" s="28"/>
      <c r="V366" s="28"/>
      <c r="W366" s="28"/>
      <c r="X366" s="28"/>
      <c r="Y366" s="28"/>
      <c r="Z366" s="28"/>
      <c r="AA366" s="28"/>
    </row>
    <row r="367" spans="2:27" outlineLevel="2" x14ac:dyDescent="0.25">
      <c r="B367" s="27">
        <v>149</v>
      </c>
      <c r="C367" s="28"/>
      <c r="D367" s="28"/>
      <c r="E367" s="28"/>
      <c r="F367" s="28"/>
      <c r="G367" s="48"/>
      <c r="H367" s="48"/>
      <c r="I367" s="48"/>
      <c r="J367" s="48"/>
      <c r="K367" s="49"/>
      <c r="L367" s="28"/>
      <c r="M367" s="28"/>
      <c r="N367" s="28"/>
      <c r="O367" s="28"/>
      <c r="P367" s="28"/>
      <c r="Q367" s="28"/>
      <c r="R367" s="28"/>
      <c r="S367" s="28"/>
      <c r="T367" s="25" t="str">
        <f t="shared" si="7"/>
        <v>pass</v>
      </c>
      <c r="U367" s="28"/>
      <c r="V367" s="28"/>
      <c r="W367" s="28"/>
      <c r="X367" s="28"/>
      <c r="Y367" s="28"/>
      <c r="Z367" s="28"/>
      <c r="AA367" s="28"/>
    </row>
    <row r="368" spans="2:27" outlineLevel="2" x14ac:dyDescent="0.25">
      <c r="B368" s="27">
        <v>150</v>
      </c>
      <c r="C368" s="28"/>
      <c r="D368" s="28"/>
      <c r="E368" s="28"/>
      <c r="F368" s="28"/>
      <c r="G368" s="48"/>
      <c r="H368" s="48"/>
      <c r="I368" s="48"/>
      <c r="J368" s="48"/>
      <c r="K368" s="49"/>
      <c r="L368" s="28"/>
      <c r="M368" s="28"/>
      <c r="N368" s="28"/>
      <c r="O368" s="28"/>
      <c r="P368" s="28"/>
      <c r="Q368" s="28"/>
      <c r="R368" s="28"/>
      <c r="S368" s="28"/>
      <c r="T368" s="25" t="str">
        <f t="shared" si="7"/>
        <v>pass</v>
      </c>
      <c r="U368" s="28"/>
      <c r="V368" s="28"/>
      <c r="W368" s="28"/>
      <c r="X368" s="28"/>
      <c r="Y368" s="28"/>
      <c r="Z368" s="28"/>
      <c r="AA368" s="28"/>
    </row>
    <row r="369" spans="2:27" outlineLevel="2" x14ac:dyDescent="0.25">
      <c r="B369" s="27">
        <v>151</v>
      </c>
      <c r="C369" s="28"/>
      <c r="D369" s="28"/>
      <c r="E369" s="28"/>
      <c r="F369" s="28"/>
      <c r="G369" s="48"/>
      <c r="H369" s="48"/>
      <c r="I369" s="48"/>
      <c r="J369" s="48"/>
      <c r="K369" s="49"/>
      <c r="L369" s="28"/>
      <c r="M369" s="28"/>
      <c r="N369" s="28"/>
      <c r="O369" s="28"/>
      <c r="P369" s="28"/>
      <c r="Q369" s="28"/>
      <c r="R369" s="28"/>
      <c r="S369" s="28"/>
      <c r="T369" s="25" t="str">
        <f t="shared" si="7"/>
        <v>pass</v>
      </c>
      <c r="U369" s="28"/>
      <c r="V369" s="28"/>
      <c r="W369" s="28"/>
      <c r="X369" s="28"/>
      <c r="Y369" s="28"/>
      <c r="Z369" s="28"/>
      <c r="AA369" s="28"/>
    </row>
    <row r="370" spans="2:27" outlineLevel="2" x14ac:dyDescent="0.25">
      <c r="B370" s="27">
        <v>152</v>
      </c>
      <c r="C370" s="28"/>
      <c r="D370" s="28"/>
      <c r="E370" s="28"/>
      <c r="F370" s="28"/>
      <c r="G370" s="48"/>
      <c r="H370" s="48"/>
      <c r="I370" s="48"/>
      <c r="J370" s="48"/>
      <c r="K370" s="49"/>
      <c r="L370" s="28"/>
      <c r="M370" s="28"/>
      <c r="N370" s="28"/>
      <c r="O370" s="28"/>
      <c r="P370" s="28"/>
      <c r="Q370" s="28"/>
      <c r="R370" s="28"/>
      <c r="S370" s="28"/>
      <c r="T370" s="25" t="str">
        <f t="shared" si="7"/>
        <v>pass</v>
      </c>
      <c r="U370" s="28"/>
      <c r="V370" s="28"/>
      <c r="W370" s="28"/>
      <c r="X370" s="28"/>
      <c r="Y370" s="28"/>
      <c r="Z370" s="28"/>
      <c r="AA370" s="28"/>
    </row>
    <row r="371" spans="2:27" outlineLevel="2" x14ac:dyDescent="0.25">
      <c r="B371" s="27">
        <v>153</v>
      </c>
      <c r="C371" s="28"/>
      <c r="D371" s="28"/>
      <c r="E371" s="28"/>
      <c r="F371" s="28"/>
      <c r="G371" s="48"/>
      <c r="H371" s="48"/>
      <c r="I371" s="48"/>
      <c r="J371" s="48"/>
      <c r="K371" s="49"/>
      <c r="L371" s="28"/>
      <c r="M371" s="28"/>
      <c r="N371" s="28"/>
      <c r="O371" s="28"/>
      <c r="P371" s="28"/>
      <c r="Q371" s="28"/>
      <c r="R371" s="28"/>
      <c r="S371" s="28"/>
      <c r="T371" s="25" t="str">
        <f t="shared" si="7"/>
        <v>pass</v>
      </c>
      <c r="U371" s="28"/>
      <c r="V371" s="28"/>
      <c r="W371" s="28"/>
      <c r="X371" s="28"/>
      <c r="Y371" s="28"/>
      <c r="Z371" s="28"/>
      <c r="AA371" s="28"/>
    </row>
    <row r="372" spans="2:27" outlineLevel="2" x14ac:dyDescent="0.25">
      <c r="B372" s="27">
        <v>154</v>
      </c>
      <c r="C372" s="28"/>
      <c r="D372" s="28"/>
      <c r="E372" s="28"/>
      <c r="F372" s="28"/>
      <c r="G372" s="48"/>
      <c r="H372" s="48"/>
      <c r="I372" s="48"/>
      <c r="J372" s="48"/>
      <c r="K372" s="49"/>
      <c r="L372" s="28"/>
      <c r="M372" s="28"/>
      <c r="N372" s="28"/>
      <c r="O372" s="28"/>
      <c r="P372" s="28"/>
      <c r="Q372" s="28"/>
      <c r="R372" s="28"/>
      <c r="S372" s="28"/>
      <c r="T372" s="25" t="str">
        <f t="shared" si="7"/>
        <v>pass</v>
      </c>
      <c r="U372" s="28"/>
      <c r="V372" s="28"/>
      <c r="W372" s="28"/>
      <c r="X372" s="28"/>
      <c r="Y372" s="28"/>
      <c r="Z372" s="28"/>
      <c r="AA372" s="28"/>
    </row>
    <row r="373" spans="2:27" outlineLevel="2" x14ac:dyDescent="0.25">
      <c r="B373" s="27">
        <v>155</v>
      </c>
      <c r="C373" s="28"/>
      <c r="D373" s="28"/>
      <c r="E373" s="28"/>
      <c r="F373" s="28"/>
      <c r="G373" s="48"/>
      <c r="H373" s="48"/>
      <c r="I373" s="48"/>
      <c r="J373" s="48"/>
      <c r="K373" s="49"/>
      <c r="L373" s="28"/>
      <c r="M373" s="28"/>
      <c r="N373" s="28"/>
      <c r="O373" s="28"/>
      <c r="P373" s="28"/>
      <c r="Q373" s="28"/>
      <c r="R373" s="28"/>
      <c r="S373" s="28"/>
      <c r="T373" s="25" t="str">
        <f t="shared" si="7"/>
        <v>pass</v>
      </c>
      <c r="U373" s="28"/>
      <c r="V373" s="28"/>
      <c r="W373" s="28"/>
      <c r="X373" s="28"/>
      <c r="Y373" s="28"/>
      <c r="Z373" s="28"/>
      <c r="AA373" s="28"/>
    </row>
    <row r="374" spans="2:27" outlineLevel="2" x14ac:dyDescent="0.25">
      <c r="B374" s="27">
        <v>156</v>
      </c>
      <c r="C374" s="28"/>
      <c r="D374" s="28"/>
      <c r="E374" s="28"/>
      <c r="F374" s="28"/>
      <c r="G374" s="48"/>
      <c r="H374" s="48"/>
      <c r="I374" s="48"/>
      <c r="J374" s="48"/>
      <c r="K374" s="49"/>
      <c r="L374" s="28"/>
      <c r="M374" s="28"/>
      <c r="N374" s="28"/>
      <c r="O374" s="28"/>
      <c r="P374" s="28"/>
      <c r="Q374" s="28"/>
      <c r="R374" s="28"/>
      <c r="S374" s="28"/>
      <c r="T374" s="25" t="str">
        <f t="shared" si="7"/>
        <v>pass</v>
      </c>
      <c r="U374" s="28"/>
      <c r="V374" s="28"/>
      <c r="W374" s="28"/>
      <c r="X374" s="28"/>
      <c r="Y374" s="28"/>
      <c r="Z374" s="28"/>
      <c r="AA374" s="28"/>
    </row>
    <row r="375" spans="2:27" outlineLevel="2" x14ac:dyDescent="0.25">
      <c r="B375" s="27">
        <v>157</v>
      </c>
      <c r="C375" s="28"/>
      <c r="D375" s="28"/>
      <c r="E375" s="28"/>
      <c r="F375" s="28"/>
      <c r="G375" s="48"/>
      <c r="H375" s="48"/>
      <c r="I375" s="48"/>
      <c r="J375" s="48"/>
      <c r="K375" s="49"/>
      <c r="L375" s="28"/>
      <c r="M375" s="28"/>
      <c r="N375" s="28"/>
      <c r="O375" s="28"/>
      <c r="P375" s="28"/>
      <c r="Q375" s="28"/>
      <c r="R375" s="28"/>
      <c r="S375" s="28"/>
      <c r="T375" s="25" t="str">
        <f t="shared" si="7"/>
        <v>pass</v>
      </c>
      <c r="U375" s="28"/>
      <c r="V375" s="28"/>
      <c r="W375" s="28"/>
      <c r="X375" s="28"/>
      <c r="Y375" s="28"/>
      <c r="Z375" s="28"/>
      <c r="AA375" s="28"/>
    </row>
    <row r="376" spans="2:27" outlineLevel="2" x14ac:dyDescent="0.25">
      <c r="B376" s="27">
        <v>158</v>
      </c>
      <c r="C376" s="28"/>
      <c r="D376" s="28"/>
      <c r="E376" s="28"/>
      <c r="F376" s="28"/>
      <c r="G376" s="48"/>
      <c r="H376" s="48"/>
      <c r="I376" s="48"/>
      <c r="J376" s="48"/>
      <c r="K376" s="49"/>
      <c r="L376" s="28"/>
      <c r="M376" s="28"/>
      <c r="N376" s="28"/>
      <c r="O376" s="28"/>
      <c r="P376" s="28"/>
      <c r="Q376" s="28"/>
      <c r="R376" s="28"/>
      <c r="S376" s="28"/>
      <c r="T376" s="25" t="str">
        <f t="shared" si="7"/>
        <v>pass</v>
      </c>
      <c r="U376" s="28"/>
      <c r="V376" s="28"/>
      <c r="W376" s="28"/>
      <c r="X376" s="28"/>
      <c r="Y376" s="28"/>
      <c r="Z376" s="28"/>
      <c r="AA376" s="28"/>
    </row>
    <row r="377" spans="2:27" outlineLevel="2" x14ac:dyDescent="0.25">
      <c r="B377" s="27">
        <v>159</v>
      </c>
      <c r="C377" s="28"/>
      <c r="D377" s="28"/>
      <c r="E377" s="28"/>
      <c r="F377" s="28"/>
      <c r="G377" s="48"/>
      <c r="H377" s="48"/>
      <c r="I377" s="48"/>
      <c r="J377" s="48"/>
      <c r="K377" s="49"/>
      <c r="L377" s="28"/>
      <c r="M377" s="28"/>
      <c r="N377" s="28"/>
      <c r="O377" s="28"/>
      <c r="P377" s="28"/>
      <c r="Q377" s="28"/>
      <c r="R377" s="28"/>
      <c r="S377" s="28"/>
      <c r="T377" s="25" t="str">
        <f t="shared" si="7"/>
        <v>pass</v>
      </c>
      <c r="U377" s="28"/>
      <c r="V377" s="28"/>
      <c r="W377" s="28"/>
      <c r="X377" s="28"/>
      <c r="Y377" s="28"/>
      <c r="Z377" s="28"/>
      <c r="AA377" s="28"/>
    </row>
    <row r="378" spans="2:27" outlineLevel="2" x14ac:dyDescent="0.25">
      <c r="B378" s="27">
        <v>160</v>
      </c>
      <c r="C378" s="28"/>
      <c r="D378" s="28"/>
      <c r="E378" s="28"/>
      <c r="F378" s="28"/>
      <c r="G378" s="48"/>
      <c r="H378" s="48"/>
      <c r="I378" s="48"/>
      <c r="J378" s="48"/>
      <c r="K378" s="49"/>
      <c r="L378" s="28"/>
      <c r="M378" s="28"/>
      <c r="N378" s="28"/>
      <c r="O378" s="28"/>
      <c r="P378" s="28"/>
      <c r="Q378" s="28"/>
      <c r="R378" s="28"/>
      <c r="S378" s="28"/>
      <c r="T378" s="25" t="str">
        <f t="shared" si="7"/>
        <v>pass</v>
      </c>
      <c r="U378" s="28"/>
      <c r="V378" s="28"/>
      <c r="W378" s="28"/>
      <c r="X378" s="28"/>
      <c r="Y378" s="28"/>
      <c r="Z378" s="28"/>
      <c r="AA378" s="28"/>
    </row>
    <row r="379" spans="2:27" outlineLevel="2" x14ac:dyDescent="0.25">
      <c r="B379" s="27">
        <v>161</v>
      </c>
      <c r="C379" s="28"/>
      <c r="D379" s="28"/>
      <c r="E379" s="28"/>
      <c r="F379" s="28"/>
      <c r="G379" s="48"/>
      <c r="H379" s="48"/>
      <c r="I379" s="48"/>
      <c r="J379" s="48"/>
      <c r="K379" s="49"/>
      <c r="L379" s="28"/>
      <c r="M379" s="28"/>
      <c r="N379" s="28"/>
      <c r="O379" s="28"/>
      <c r="P379" s="28"/>
      <c r="Q379" s="28"/>
      <c r="R379" s="28"/>
      <c r="S379" s="28"/>
      <c r="T379" s="25" t="str">
        <f t="shared" ref="T379:T410" si="8">IF(AND(C379&lt;&gt;"",SUM(K379,M379,O379,Q379,S379)=1),"pass",IF(AND(C379="",SUM(K379,M379,O379,Q379,S379)=0),"pass","fail"))</f>
        <v>pass</v>
      </c>
      <c r="U379" s="28"/>
      <c r="V379" s="28"/>
      <c r="W379" s="28"/>
      <c r="X379" s="28"/>
      <c r="Y379" s="28"/>
      <c r="Z379" s="28"/>
      <c r="AA379" s="28"/>
    </row>
    <row r="380" spans="2:27" outlineLevel="2" x14ac:dyDescent="0.25">
      <c r="B380" s="27">
        <v>162</v>
      </c>
      <c r="C380" s="28"/>
      <c r="D380" s="28"/>
      <c r="E380" s="28"/>
      <c r="F380" s="28"/>
      <c r="G380" s="48"/>
      <c r="H380" s="48"/>
      <c r="I380" s="48"/>
      <c r="J380" s="48"/>
      <c r="K380" s="49"/>
      <c r="L380" s="28"/>
      <c r="M380" s="28"/>
      <c r="N380" s="28"/>
      <c r="O380" s="28"/>
      <c r="P380" s="28"/>
      <c r="Q380" s="28"/>
      <c r="R380" s="28"/>
      <c r="S380" s="28"/>
      <c r="T380" s="25" t="str">
        <f t="shared" si="8"/>
        <v>pass</v>
      </c>
      <c r="U380" s="28"/>
      <c r="V380" s="28"/>
      <c r="W380" s="28"/>
      <c r="X380" s="28"/>
      <c r="Y380" s="28"/>
      <c r="Z380" s="28"/>
      <c r="AA380" s="28"/>
    </row>
    <row r="381" spans="2:27" outlineLevel="2" x14ac:dyDescent="0.25">
      <c r="B381" s="27">
        <v>163</v>
      </c>
      <c r="C381" s="28"/>
      <c r="D381" s="28"/>
      <c r="E381" s="28"/>
      <c r="F381" s="28"/>
      <c r="G381" s="48"/>
      <c r="H381" s="48"/>
      <c r="I381" s="48"/>
      <c r="J381" s="48"/>
      <c r="K381" s="49"/>
      <c r="L381" s="28"/>
      <c r="M381" s="28"/>
      <c r="N381" s="28"/>
      <c r="O381" s="28"/>
      <c r="P381" s="28"/>
      <c r="Q381" s="28"/>
      <c r="R381" s="28"/>
      <c r="S381" s="28"/>
      <c r="T381" s="25" t="str">
        <f t="shared" si="8"/>
        <v>pass</v>
      </c>
      <c r="U381" s="28"/>
      <c r="V381" s="28"/>
      <c r="W381" s="28"/>
      <c r="X381" s="28"/>
      <c r="Y381" s="28"/>
      <c r="Z381" s="28"/>
      <c r="AA381" s="28"/>
    </row>
    <row r="382" spans="2:27" outlineLevel="2" x14ac:dyDescent="0.25">
      <c r="B382" s="27">
        <v>164</v>
      </c>
      <c r="C382" s="28"/>
      <c r="D382" s="28"/>
      <c r="E382" s="28"/>
      <c r="F382" s="28"/>
      <c r="G382" s="48"/>
      <c r="H382" s="48"/>
      <c r="I382" s="48"/>
      <c r="J382" s="48"/>
      <c r="K382" s="49"/>
      <c r="L382" s="28"/>
      <c r="M382" s="28"/>
      <c r="N382" s="28"/>
      <c r="O382" s="28"/>
      <c r="P382" s="28"/>
      <c r="Q382" s="28"/>
      <c r="R382" s="28"/>
      <c r="S382" s="28"/>
      <c r="T382" s="25" t="str">
        <f t="shared" si="8"/>
        <v>pass</v>
      </c>
      <c r="U382" s="28"/>
      <c r="V382" s="28"/>
      <c r="W382" s="28"/>
      <c r="X382" s="28"/>
      <c r="Y382" s="28"/>
      <c r="Z382" s="28"/>
      <c r="AA382" s="28"/>
    </row>
    <row r="383" spans="2:27" outlineLevel="2" x14ac:dyDescent="0.25">
      <c r="B383" s="27">
        <v>165</v>
      </c>
      <c r="C383" s="28"/>
      <c r="D383" s="28"/>
      <c r="E383" s="28"/>
      <c r="F383" s="28"/>
      <c r="G383" s="48"/>
      <c r="H383" s="48"/>
      <c r="I383" s="48"/>
      <c r="J383" s="48"/>
      <c r="K383" s="49"/>
      <c r="L383" s="28"/>
      <c r="M383" s="28"/>
      <c r="N383" s="28"/>
      <c r="O383" s="28"/>
      <c r="P383" s="28"/>
      <c r="Q383" s="28"/>
      <c r="R383" s="28"/>
      <c r="S383" s="28"/>
      <c r="T383" s="25" t="str">
        <f t="shared" si="8"/>
        <v>pass</v>
      </c>
      <c r="U383" s="28"/>
      <c r="V383" s="28"/>
      <c r="W383" s="28"/>
      <c r="X383" s="28"/>
      <c r="Y383" s="28"/>
      <c r="Z383" s="28"/>
      <c r="AA383" s="28"/>
    </row>
    <row r="384" spans="2:27" outlineLevel="2" x14ac:dyDescent="0.25">
      <c r="B384" s="27">
        <v>166</v>
      </c>
      <c r="C384" s="28"/>
      <c r="D384" s="28"/>
      <c r="E384" s="28"/>
      <c r="F384" s="28"/>
      <c r="G384" s="48"/>
      <c r="H384" s="48"/>
      <c r="I384" s="48"/>
      <c r="J384" s="48"/>
      <c r="K384" s="49"/>
      <c r="L384" s="28"/>
      <c r="M384" s="28"/>
      <c r="N384" s="28"/>
      <c r="O384" s="28"/>
      <c r="P384" s="28"/>
      <c r="Q384" s="28"/>
      <c r="R384" s="28"/>
      <c r="S384" s="28"/>
      <c r="T384" s="25" t="str">
        <f t="shared" si="8"/>
        <v>pass</v>
      </c>
      <c r="U384" s="28"/>
      <c r="V384" s="28"/>
      <c r="W384" s="28"/>
      <c r="X384" s="28"/>
      <c r="Y384" s="28"/>
      <c r="Z384" s="28"/>
      <c r="AA384" s="28"/>
    </row>
    <row r="385" spans="2:27" outlineLevel="2" x14ac:dyDescent="0.25">
      <c r="B385" s="27">
        <v>167</v>
      </c>
      <c r="C385" s="28"/>
      <c r="D385" s="28"/>
      <c r="E385" s="28"/>
      <c r="F385" s="28"/>
      <c r="G385" s="48"/>
      <c r="H385" s="48"/>
      <c r="I385" s="48"/>
      <c r="J385" s="48"/>
      <c r="K385" s="49"/>
      <c r="L385" s="28"/>
      <c r="M385" s="28"/>
      <c r="N385" s="28"/>
      <c r="O385" s="28"/>
      <c r="P385" s="28"/>
      <c r="Q385" s="28"/>
      <c r="R385" s="28"/>
      <c r="S385" s="28"/>
      <c r="T385" s="25" t="str">
        <f t="shared" si="8"/>
        <v>pass</v>
      </c>
      <c r="U385" s="28"/>
      <c r="V385" s="28"/>
      <c r="W385" s="28"/>
      <c r="X385" s="28"/>
      <c r="Y385" s="28"/>
      <c r="Z385" s="28"/>
      <c r="AA385" s="28"/>
    </row>
    <row r="386" spans="2:27" outlineLevel="2" x14ac:dyDescent="0.25">
      <c r="B386" s="27">
        <v>168</v>
      </c>
      <c r="C386" s="28"/>
      <c r="D386" s="28"/>
      <c r="E386" s="28"/>
      <c r="F386" s="28"/>
      <c r="G386" s="48"/>
      <c r="H386" s="48"/>
      <c r="I386" s="48"/>
      <c r="J386" s="48"/>
      <c r="K386" s="49"/>
      <c r="L386" s="28"/>
      <c r="M386" s="28"/>
      <c r="N386" s="28"/>
      <c r="O386" s="28"/>
      <c r="P386" s="28"/>
      <c r="Q386" s="28"/>
      <c r="R386" s="28"/>
      <c r="S386" s="28"/>
      <c r="T386" s="25" t="str">
        <f t="shared" si="8"/>
        <v>pass</v>
      </c>
      <c r="U386" s="28"/>
      <c r="V386" s="28"/>
      <c r="W386" s="28"/>
      <c r="X386" s="28"/>
      <c r="Y386" s="28"/>
      <c r="Z386" s="28"/>
      <c r="AA386" s="28"/>
    </row>
    <row r="387" spans="2:27" outlineLevel="2" x14ac:dyDescent="0.25">
      <c r="B387" s="27">
        <v>169</v>
      </c>
      <c r="C387" s="28"/>
      <c r="D387" s="28"/>
      <c r="E387" s="28"/>
      <c r="F387" s="28"/>
      <c r="G387" s="48"/>
      <c r="H387" s="48"/>
      <c r="I387" s="48"/>
      <c r="J387" s="48"/>
      <c r="K387" s="49"/>
      <c r="L387" s="28"/>
      <c r="M387" s="28"/>
      <c r="N387" s="28"/>
      <c r="O387" s="28"/>
      <c r="P387" s="28"/>
      <c r="Q387" s="28"/>
      <c r="R387" s="28"/>
      <c r="S387" s="28"/>
      <c r="T387" s="25" t="str">
        <f t="shared" si="8"/>
        <v>pass</v>
      </c>
      <c r="U387" s="28"/>
      <c r="V387" s="28"/>
      <c r="W387" s="28"/>
      <c r="X387" s="28"/>
      <c r="Y387" s="28"/>
      <c r="Z387" s="28"/>
      <c r="AA387" s="28"/>
    </row>
    <row r="388" spans="2:27" outlineLevel="2" x14ac:dyDescent="0.25">
      <c r="B388" s="27">
        <v>170</v>
      </c>
      <c r="C388" s="28"/>
      <c r="D388" s="28"/>
      <c r="E388" s="28"/>
      <c r="F388" s="28"/>
      <c r="G388" s="48"/>
      <c r="H388" s="48"/>
      <c r="I388" s="48"/>
      <c r="J388" s="48"/>
      <c r="K388" s="49"/>
      <c r="L388" s="28"/>
      <c r="M388" s="28"/>
      <c r="N388" s="28"/>
      <c r="O388" s="28"/>
      <c r="P388" s="28"/>
      <c r="Q388" s="28"/>
      <c r="R388" s="28"/>
      <c r="S388" s="28"/>
      <c r="T388" s="25" t="str">
        <f t="shared" si="8"/>
        <v>pass</v>
      </c>
      <c r="U388" s="28"/>
      <c r="V388" s="28"/>
      <c r="W388" s="28"/>
      <c r="X388" s="28"/>
      <c r="Y388" s="28"/>
      <c r="Z388" s="28"/>
      <c r="AA388" s="28"/>
    </row>
    <row r="389" spans="2:27" outlineLevel="2" x14ac:dyDescent="0.25">
      <c r="B389" s="27">
        <v>171</v>
      </c>
      <c r="C389" s="28"/>
      <c r="D389" s="28"/>
      <c r="E389" s="28"/>
      <c r="F389" s="28"/>
      <c r="G389" s="48"/>
      <c r="H389" s="48"/>
      <c r="I389" s="48"/>
      <c r="J389" s="48"/>
      <c r="K389" s="49"/>
      <c r="L389" s="28"/>
      <c r="M389" s="28"/>
      <c r="N389" s="28"/>
      <c r="O389" s="28"/>
      <c r="P389" s="28"/>
      <c r="Q389" s="28"/>
      <c r="R389" s="28"/>
      <c r="S389" s="28"/>
      <c r="T389" s="25" t="str">
        <f t="shared" si="8"/>
        <v>pass</v>
      </c>
      <c r="U389" s="28"/>
      <c r="V389" s="28"/>
      <c r="W389" s="28"/>
      <c r="X389" s="28"/>
      <c r="Y389" s="28"/>
      <c r="Z389" s="28"/>
      <c r="AA389" s="28"/>
    </row>
    <row r="390" spans="2:27" outlineLevel="2" x14ac:dyDescent="0.25">
      <c r="B390" s="27">
        <v>172</v>
      </c>
      <c r="C390" s="28"/>
      <c r="D390" s="28"/>
      <c r="E390" s="28"/>
      <c r="F390" s="28"/>
      <c r="G390" s="48"/>
      <c r="H390" s="48"/>
      <c r="I390" s="48"/>
      <c r="J390" s="48"/>
      <c r="K390" s="49"/>
      <c r="L390" s="28"/>
      <c r="M390" s="28"/>
      <c r="N390" s="28"/>
      <c r="O390" s="28"/>
      <c r="P390" s="28"/>
      <c r="Q390" s="28"/>
      <c r="R390" s="28"/>
      <c r="S390" s="28"/>
      <c r="T390" s="25" t="str">
        <f t="shared" si="8"/>
        <v>pass</v>
      </c>
      <c r="U390" s="28"/>
      <c r="V390" s="28"/>
      <c r="W390" s="28"/>
      <c r="X390" s="28"/>
      <c r="Y390" s="28"/>
      <c r="Z390" s="28"/>
      <c r="AA390" s="28"/>
    </row>
    <row r="391" spans="2:27" outlineLevel="2" x14ac:dyDescent="0.25">
      <c r="B391" s="27">
        <v>173</v>
      </c>
      <c r="C391" s="28"/>
      <c r="D391" s="28"/>
      <c r="E391" s="28"/>
      <c r="F391" s="28"/>
      <c r="G391" s="48"/>
      <c r="H391" s="48"/>
      <c r="I391" s="48"/>
      <c r="J391" s="48"/>
      <c r="K391" s="49"/>
      <c r="L391" s="28"/>
      <c r="M391" s="28"/>
      <c r="N391" s="28"/>
      <c r="O391" s="28"/>
      <c r="P391" s="28"/>
      <c r="Q391" s="28"/>
      <c r="R391" s="28"/>
      <c r="S391" s="28"/>
      <c r="T391" s="25" t="str">
        <f t="shared" si="8"/>
        <v>pass</v>
      </c>
      <c r="U391" s="28"/>
      <c r="V391" s="28"/>
      <c r="W391" s="28"/>
      <c r="X391" s="28"/>
      <c r="Y391" s="28"/>
      <c r="Z391" s="28"/>
      <c r="AA391" s="28"/>
    </row>
    <row r="392" spans="2:27" outlineLevel="2" x14ac:dyDescent="0.25">
      <c r="B392" s="27">
        <v>174</v>
      </c>
      <c r="C392" s="28"/>
      <c r="D392" s="28"/>
      <c r="E392" s="28"/>
      <c r="F392" s="28"/>
      <c r="G392" s="48"/>
      <c r="H392" s="48"/>
      <c r="I392" s="48"/>
      <c r="J392" s="48"/>
      <c r="K392" s="49"/>
      <c r="L392" s="28"/>
      <c r="M392" s="28"/>
      <c r="N392" s="28"/>
      <c r="O392" s="28"/>
      <c r="P392" s="28"/>
      <c r="Q392" s="28"/>
      <c r="R392" s="28"/>
      <c r="S392" s="28"/>
      <c r="T392" s="25" t="str">
        <f t="shared" si="8"/>
        <v>pass</v>
      </c>
      <c r="U392" s="28"/>
      <c r="V392" s="28"/>
      <c r="W392" s="28"/>
      <c r="X392" s="28"/>
      <c r="Y392" s="28"/>
      <c r="Z392" s="28"/>
      <c r="AA392" s="28"/>
    </row>
    <row r="393" spans="2:27" outlineLevel="2" x14ac:dyDescent="0.25">
      <c r="B393" s="27">
        <v>175</v>
      </c>
      <c r="C393" s="28"/>
      <c r="D393" s="28"/>
      <c r="E393" s="28"/>
      <c r="F393" s="28"/>
      <c r="G393" s="48"/>
      <c r="H393" s="48"/>
      <c r="I393" s="48"/>
      <c r="J393" s="48"/>
      <c r="K393" s="49"/>
      <c r="L393" s="28"/>
      <c r="M393" s="28"/>
      <c r="N393" s="28"/>
      <c r="O393" s="28"/>
      <c r="P393" s="28"/>
      <c r="Q393" s="28"/>
      <c r="R393" s="28"/>
      <c r="S393" s="28"/>
      <c r="T393" s="25" t="str">
        <f t="shared" si="8"/>
        <v>pass</v>
      </c>
      <c r="U393" s="28"/>
      <c r="V393" s="28"/>
      <c r="W393" s="28"/>
      <c r="X393" s="28"/>
      <c r="Y393" s="28"/>
      <c r="Z393" s="28"/>
      <c r="AA393" s="28"/>
    </row>
    <row r="394" spans="2:27" outlineLevel="2" x14ac:dyDescent="0.25">
      <c r="B394" s="27">
        <v>176</v>
      </c>
      <c r="C394" s="28"/>
      <c r="D394" s="28"/>
      <c r="E394" s="28"/>
      <c r="F394" s="28"/>
      <c r="G394" s="48"/>
      <c r="H394" s="48"/>
      <c r="I394" s="48"/>
      <c r="J394" s="48"/>
      <c r="K394" s="49"/>
      <c r="L394" s="28"/>
      <c r="M394" s="28"/>
      <c r="N394" s="28"/>
      <c r="O394" s="28"/>
      <c r="P394" s="28"/>
      <c r="Q394" s="28"/>
      <c r="R394" s="28"/>
      <c r="S394" s="28"/>
      <c r="T394" s="25" t="str">
        <f t="shared" si="8"/>
        <v>pass</v>
      </c>
      <c r="U394" s="28"/>
      <c r="V394" s="28"/>
      <c r="W394" s="28"/>
      <c r="X394" s="28"/>
      <c r="Y394" s="28"/>
      <c r="Z394" s="28"/>
      <c r="AA394" s="28"/>
    </row>
    <row r="395" spans="2:27" outlineLevel="2" x14ac:dyDescent="0.25">
      <c r="B395" s="27">
        <v>177</v>
      </c>
      <c r="C395" s="28"/>
      <c r="D395" s="28"/>
      <c r="E395" s="28"/>
      <c r="F395" s="28"/>
      <c r="G395" s="48"/>
      <c r="H395" s="48"/>
      <c r="I395" s="48"/>
      <c r="J395" s="48"/>
      <c r="K395" s="49"/>
      <c r="L395" s="28"/>
      <c r="M395" s="28"/>
      <c r="N395" s="28"/>
      <c r="O395" s="28"/>
      <c r="P395" s="28"/>
      <c r="Q395" s="28"/>
      <c r="R395" s="28"/>
      <c r="S395" s="28"/>
      <c r="T395" s="25" t="str">
        <f t="shared" si="8"/>
        <v>pass</v>
      </c>
      <c r="U395" s="28"/>
      <c r="V395" s="28"/>
      <c r="W395" s="28"/>
      <c r="X395" s="28"/>
      <c r="Y395" s="28"/>
      <c r="Z395" s="28"/>
      <c r="AA395" s="28"/>
    </row>
    <row r="396" spans="2:27" outlineLevel="2" x14ac:dyDescent="0.25">
      <c r="B396" s="27">
        <v>178</v>
      </c>
      <c r="C396" s="28"/>
      <c r="D396" s="28"/>
      <c r="E396" s="28"/>
      <c r="F396" s="28"/>
      <c r="G396" s="48"/>
      <c r="H396" s="48"/>
      <c r="I396" s="48"/>
      <c r="J396" s="48"/>
      <c r="K396" s="49"/>
      <c r="L396" s="28"/>
      <c r="M396" s="28"/>
      <c r="N396" s="28"/>
      <c r="O396" s="28"/>
      <c r="P396" s="28"/>
      <c r="Q396" s="28"/>
      <c r="R396" s="28"/>
      <c r="S396" s="28"/>
      <c r="T396" s="25" t="str">
        <f t="shared" si="8"/>
        <v>pass</v>
      </c>
      <c r="U396" s="28"/>
      <c r="V396" s="28"/>
      <c r="W396" s="28"/>
      <c r="X396" s="28"/>
      <c r="Y396" s="28"/>
      <c r="Z396" s="28"/>
      <c r="AA396" s="28"/>
    </row>
    <row r="397" spans="2:27" outlineLevel="2" x14ac:dyDescent="0.25">
      <c r="B397" s="27">
        <v>179</v>
      </c>
      <c r="C397" s="28"/>
      <c r="D397" s="28"/>
      <c r="E397" s="28"/>
      <c r="F397" s="28"/>
      <c r="G397" s="48"/>
      <c r="H397" s="48"/>
      <c r="I397" s="48"/>
      <c r="J397" s="48"/>
      <c r="K397" s="49"/>
      <c r="L397" s="28"/>
      <c r="M397" s="28"/>
      <c r="N397" s="28"/>
      <c r="O397" s="28"/>
      <c r="P397" s="28"/>
      <c r="Q397" s="28"/>
      <c r="R397" s="28"/>
      <c r="S397" s="28"/>
      <c r="T397" s="25" t="str">
        <f t="shared" si="8"/>
        <v>pass</v>
      </c>
      <c r="U397" s="28"/>
      <c r="V397" s="28"/>
      <c r="W397" s="28"/>
      <c r="X397" s="28"/>
      <c r="Y397" s="28"/>
      <c r="Z397" s="28"/>
      <c r="AA397" s="28"/>
    </row>
    <row r="398" spans="2:27" outlineLevel="2" x14ac:dyDescent="0.25">
      <c r="B398" s="27">
        <v>180</v>
      </c>
      <c r="C398" s="28"/>
      <c r="D398" s="28"/>
      <c r="E398" s="28"/>
      <c r="F398" s="28"/>
      <c r="G398" s="48"/>
      <c r="H398" s="48"/>
      <c r="I398" s="48"/>
      <c r="J398" s="48"/>
      <c r="K398" s="49"/>
      <c r="L398" s="28"/>
      <c r="M398" s="28"/>
      <c r="N398" s="28"/>
      <c r="O398" s="28"/>
      <c r="P398" s="28"/>
      <c r="Q398" s="28"/>
      <c r="R398" s="28"/>
      <c r="S398" s="28"/>
      <c r="T398" s="25" t="str">
        <f t="shared" si="8"/>
        <v>pass</v>
      </c>
      <c r="U398" s="28"/>
      <c r="V398" s="28"/>
      <c r="W398" s="28"/>
      <c r="X398" s="28"/>
      <c r="Y398" s="28"/>
      <c r="Z398" s="28"/>
      <c r="AA398" s="28"/>
    </row>
    <row r="399" spans="2:27" outlineLevel="2" x14ac:dyDescent="0.25">
      <c r="B399" s="27">
        <v>181</v>
      </c>
      <c r="C399" s="28"/>
      <c r="D399" s="28"/>
      <c r="E399" s="28"/>
      <c r="F399" s="28"/>
      <c r="G399" s="48"/>
      <c r="H399" s="48"/>
      <c r="I399" s="48"/>
      <c r="J399" s="48"/>
      <c r="K399" s="49"/>
      <c r="L399" s="28"/>
      <c r="M399" s="28"/>
      <c r="N399" s="28"/>
      <c r="O399" s="28"/>
      <c r="P399" s="28"/>
      <c r="Q399" s="28"/>
      <c r="R399" s="28"/>
      <c r="S399" s="28"/>
      <c r="T399" s="25" t="str">
        <f t="shared" si="8"/>
        <v>pass</v>
      </c>
      <c r="U399" s="28"/>
      <c r="V399" s="28"/>
      <c r="W399" s="28"/>
      <c r="X399" s="28"/>
      <c r="Y399" s="28"/>
      <c r="Z399" s="28"/>
      <c r="AA399" s="28"/>
    </row>
    <row r="400" spans="2:27" outlineLevel="2" x14ac:dyDescent="0.25">
      <c r="B400" s="27">
        <v>182</v>
      </c>
      <c r="C400" s="28"/>
      <c r="D400" s="28"/>
      <c r="E400" s="28"/>
      <c r="F400" s="28"/>
      <c r="G400" s="48"/>
      <c r="H400" s="48"/>
      <c r="I400" s="48"/>
      <c r="J400" s="48"/>
      <c r="K400" s="49"/>
      <c r="L400" s="28"/>
      <c r="M400" s="28"/>
      <c r="N400" s="28"/>
      <c r="O400" s="28"/>
      <c r="P400" s="28"/>
      <c r="Q400" s="28"/>
      <c r="R400" s="28"/>
      <c r="S400" s="28"/>
      <c r="T400" s="25" t="str">
        <f t="shared" si="8"/>
        <v>pass</v>
      </c>
      <c r="U400" s="28"/>
      <c r="V400" s="28"/>
      <c r="W400" s="28"/>
      <c r="X400" s="28"/>
      <c r="Y400" s="28"/>
      <c r="Z400" s="28"/>
      <c r="AA400" s="28"/>
    </row>
    <row r="401" spans="2:27" outlineLevel="2" x14ac:dyDescent="0.25">
      <c r="B401" s="27">
        <v>183</v>
      </c>
      <c r="C401" s="28"/>
      <c r="D401" s="28"/>
      <c r="E401" s="28"/>
      <c r="F401" s="28"/>
      <c r="G401" s="48"/>
      <c r="H401" s="48"/>
      <c r="I401" s="48"/>
      <c r="J401" s="48"/>
      <c r="K401" s="49"/>
      <c r="L401" s="28"/>
      <c r="M401" s="28"/>
      <c r="N401" s="28"/>
      <c r="O401" s="28"/>
      <c r="P401" s="28"/>
      <c r="Q401" s="28"/>
      <c r="R401" s="28"/>
      <c r="S401" s="28"/>
      <c r="T401" s="25" t="str">
        <f t="shared" si="8"/>
        <v>pass</v>
      </c>
      <c r="U401" s="28"/>
      <c r="V401" s="28"/>
      <c r="W401" s="28"/>
      <c r="X401" s="28"/>
      <c r="Y401" s="28"/>
      <c r="Z401" s="28"/>
      <c r="AA401" s="28"/>
    </row>
    <row r="402" spans="2:27" outlineLevel="2" x14ac:dyDescent="0.25">
      <c r="B402" s="27">
        <v>184</v>
      </c>
      <c r="C402" s="28"/>
      <c r="D402" s="28"/>
      <c r="E402" s="28"/>
      <c r="F402" s="28"/>
      <c r="G402" s="48"/>
      <c r="H402" s="48"/>
      <c r="I402" s="48"/>
      <c r="J402" s="48"/>
      <c r="K402" s="49"/>
      <c r="L402" s="28"/>
      <c r="M402" s="28"/>
      <c r="N402" s="28"/>
      <c r="O402" s="28"/>
      <c r="P402" s="28"/>
      <c r="Q402" s="28"/>
      <c r="R402" s="28"/>
      <c r="S402" s="28"/>
      <c r="T402" s="25" t="str">
        <f t="shared" si="8"/>
        <v>pass</v>
      </c>
      <c r="U402" s="28"/>
      <c r="V402" s="28"/>
      <c r="W402" s="28"/>
      <c r="X402" s="28"/>
      <c r="Y402" s="28"/>
      <c r="Z402" s="28"/>
      <c r="AA402" s="28"/>
    </row>
    <row r="403" spans="2:27" outlineLevel="2" x14ac:dyDescent="0.25">
      <c r="B403" s="27">
        <v>185</v>
      </c>
      <c r="C403" s="28"/>
      <c r="D403" s="28"/>
      <c r="E403" s="28"/>
      <c r="F403" s="28"/>
      <c r="G403" s="48"/>
      <c r="H403" s="48"/>
      <c r="I403" s="48"/>
      <c r="J403" s="48"/>
      <c r="K403" s="49"/>
      <c r="L403" s="28"/>
      <c r="M403" s="28"/>
      <c r="N403" s="28"/>
      <c r="O403" s="28"/>
      <c r="P403" s="28"/>
      <c r="Q403" s="28"/>
      <c r="R403" s="28"/>
      <c r="S403" s="28"/>
      <c r="T403" s="25" t="str">
        <f t="shared" si="8"/>
        <v>pass</v>
      </c>
      <c r="U403" s="28"/>
      <c r="V403" s="28"/>
      <c r="W403" s="28"/>
      <c r="X403" s="28"/>
      <c r="Y403" s="28"/>
      <c r="Z403" s="28"/>
      <c r="AA403" s="28"/>
    </row>
    <row r="404" spans="2:27" outlineLevel="2" x14ac:dyDescent="0.25">
      <c r="B404" s="27">
        <v>186</v>
      </c>
      <c r="C404" s="28"/>
      <c r="D404" s="28"/>
      <c r="E404" s="28"/>
      <c r="F404" s="28"/>
      <c r="G404" s="48"/>
      <c r="H404" s="48"/>
      <c r="I404" s="48"/>
      <c r="J404" s="48"/>
      <c r="K404" s="49"/>
      <c r="L404" s="28"/>
      <c r="M404" s="28"/>
      <c r="N404" s="28"/>
      <c r="O404" s="28"/>
      <c r="P404" s="28"/>
      <c r="Q404" s="28"/>
      <c r="R404" s="28"/>
      <c r="S404" s="28"/>
      <c r="T404" s="25" t="str">
        <f t="shared" si="8"/>
        <v>pass</v>
      </c>
      <c r="U404" s="28"/>
      <c r="V404" s="28"/>
      <c r="W404" s="28"/>
      <c r="X404" s="28"/>
      <c r="Y404" s="28"/>
      <c r="Z404" s="28"/>
      <c r="AA404" s="28"/>
    </row>
    <row r="405" spans="2:27" outlineLevel="2" x14ac:dyDescent="0.25">
      <c r="B405" s="27">
        <v>187</v>
      </c>
      <c r="C405" s="28"/>
      <c r="D405" s="28"/>
      <c r="E405" s="28"/>
      <c r="F405" s="28"/>
      <c r="G405" s="48"/>
      <c r="H405" s="48"/>
      <c r="I405" s="48"/>
      <c r="J405" s="48"/>
      <c r="K405" s="49"/>
      <c r="L405" s="28"/>
      <c r="M405" s="28"/>
      <c r="N405" s="28"/>
      <c r="O405" s="28"/>
      <c r="P405" s="28"/>
      <c r="Q405" s="28"/>
      <c r="R405" s="28"/>
      <c r="S405" s="28"/>
      <c r="T405" s="25" t="str">
        <f t="shared" si="8"/>
        <v>pass</v>
      </c>
      <c r="U405" s="28"/>
      <c r="V405" s="28"/>
      <c r="W405" s="28"/>
      <c r="X405" s="28"/>
      <c r="Y405" s="28"/>
      <c r="Z405" s="28"/>
      <c r="AA405" s="28"/>
    </row>
    <row r="406" spans="2:27" outlineLevel="2" x14ac:dyDescent="0.25">
      <c r="B406" s="27">
        <v>188</v>
      </c>
      <c r="C406" s="28"/>
      <c r="D406" s="28"/>
      <c r="E406" s="28"/>
      <c r="F406" s="28"/>
      <c r="G406" s="48"/>
      <c r="H406" s="48"/>
      <c r="I406" s="48"/>
      <c r="J406" s="48"/>
      <c r="K406" s="49"/>
      <c r="L406" s="28"/>
      <c r="M406" s="28"/>
      <c r="N406" s="28"/>
      <c r="O406" s="28"/>
      <c r="P406" s="28"/>
      <c r="Q406" s="28"/>
      <c r="R406" s="28"/>
      <c r="S406" s="28"/>
      <c r="T406" s="25" t="str">
        <f t="shared" si="8"/>
        <v>pass</v>
      </c>
      <c r="U406" s="28"/>
      <c r="V406" s="28"/>
      <c r="W406" s="28"/>
      <c r="X406" s="28"/>
      <c r="Y406" s="28"/>
      <c r="Z406" s="28"/>
      <c r="AA406" s="28"/>
    </row>
    <row r="407" spans="2:27" outlineLevel="2" x14ac:dyDescent="0.25">
      <c r="B407" s="27">
        <v>189</v>
      </c>
      <c r="C407" s="28"/>
      <c r="D407" s="28"/>
      <c r="E407" s="28"/>
      <c r="F407" s="28"/>
      <c r="G407" s="48"/>
      <c r="H407" s="48"/>
      <c r="I407" s="48"/>
      <c r="J407" s="48"/>
      <c r="K407" s="49"/>
      <c r="L407" s="28"/>
      <c r="M407" s="28"/>
      <c r="N407" s="28"/>
      <c r="O407" s="28"/>
      <c r="P407" s="28"/>
      <c r="Q407" s="28"/>
      <c r="R407" s="28"/>
      <c r="S407" s="28"/>
      <c r="T407" s="25" t="str">
        <f t="shared" si="8"/>
        <v>pass</v>
      </c>
      <c r="U407" s="28"/>
      <c r="V407" s="28"/>
      <c r="W407" s="28"/>
      <c r="X407" s="28"/>
      <c r="Y407" s="28"/>
      <c r="Z407" s="28"/>
      <c r="AA407" s="28"/>
    </row>
    <row r="408" spans="2:27" outlineLevel="2" x14ac:dyDescent="0.25">
      <c r="B408" s="27">
        <v>190</v>
      </c>
      <c r="C408" s="28"/>
      <c r="D408" s="28"/>
      <c r="E408" s="28"/>
      <c r="F408" s="28"/>
      <c r="G408" s="48"/>
      <c r="H408" s="48"/>
      <c r="I408" s="48"/>
      <c r="J408" s="48"/>
      <c r="K408" s="49"/>
      <c r="L408" s="28"/>
      <c r="M408" s="28"/>
      <c r="N408" s="28"/>
      <c r="O408" s="28"/>
      <c r="P408" s="28"/>
      <c r="Q408" s="28"/>
      <c r="R408" s="28"/>
      <c r="S408" s="28"/>
      <c r="T408" s="25" t="str">
        <f t="shared" si="8"/>
        <v>pass</v>
      </c>
      <c r="U408" s="28"/>
      <c r="V408" s="28"/>
      <c r="W408" s="28"/>
      <c r="X408" s="28"/>
      <c r="Y408" s="28"/>
      <c r="Z408" s="28"/>
      <c r="AA408" s="28"/>
    </row>
    <row r="409" spans="2:27" outlineLevel="2" x14ac:dyDescent="0.25">
      <c r="B409" s="27">
        <v>191</v>
      </c>
      <c r="C409" s="28"/>
      <c r="D409" s="28"/>
      <c r="E409" s="28"/>
      <c r="F409" s="28"/>
      <c r="G409" s="48"/>
      <c r="H409" s="48"/>
      <c r="I409" s="48"/>
      <c r="J409" s="48"/>
      <c r="K409" s="49"/>
      <c r="L409" s="28"/>
      <c r="M409" s="28"/>
      <c r="N409" s="28"/>
      <c r="O409" s="28"/>
      <c r="P409" s="28"/>
      <c r="Q409" s="28"/>
      <c r="R409" s="28"/>
      <c r="S409" s="28"/>
      <c r="T409" s="25" t="str">
        <f t="shared" si="8"/>
        <v>pass</v>
      </c>
      <c r="U409" s="28"/>
      <c r="V409" s="28"/>
      <c r="W409" s="28"/>
      <c r="X409" s="28"/>
      <c r="Y409" s="28"/>
      <c r="Z409" s="28"/>
      <c r="AA409" s="28"/>
    </row>
    <row r="410" spans="2:27" outlineLevel="2" x14ac:dyDescent="0.25">
      <c r="B410" s="27">
        <v>192</v>
      </c>
      <c r="C410" s="28"/>
      <c r="D410" s="28"/>
      <c r="E410" s="28"/>
      <c r="F410" s="28"/>
      <c r="G410" s="48"/>
      <c r="H410" s="48"/>
      <c r="I410" s="48"/>
      <c r="J410" s="48"/>
      <c r="K410" s="49"/>
      <c r="L410" s="28"/>
      <c r="M410" s="28"/>
      <c r="N410" s="28"/>
      <c r="O410" s="28"/>
      <c r="P410" s="28"/>
      <c r="Q410" s="28"/>
      <c r="R410" s="28"/>
      <c r="S410" s="28"/>
      <c r="T410" s="25" t="str">
        <f t="shared" si="8"/>
        <v>pass</v>
      </c>
      <c r="U410" s="28"/>
      <c r="V410" s="28"/>
      <c r="W410" s="28"/>
      <c r="X410" s="28"/>
      <c r="Y410" s="28"/>
      <c r="Z410" s="28"/>
      <c r="AA410" s="28"/>
    </row>
    <row r="411" spans="2:27" outlineLevel="2" x14ac:dyDescent="0.25">
      <c r="B411" s="27">
        <v>193</v>
      </c>
      <c r="C411" s="28"/>
      <c r="D411" s="28"/>
      <c r="E411" s="28"/>
      <c r="F411" s="28"/>
      <c r="G411" s="48"/>
      <c r="H411" s="48"/>
      <c r="I411" s="48"/>
      <c r="J411" s="48"/>
      <c r="K411" s="49"/>
      <c r="L411" s="28"/>
      <c r="M411" s="28"/>
      <c r="N411" s="28"/>
      <c r="O411" s="28"/>
      <c r="P411" s="28"/>
      <c r="Q411" s="28"/>
      <c r="R411" s="28"/>
      <c r="S411" s="28"/>
      <c r="T411" s="25" t="str">
        <f t="shared" ref="T411:T418" si="9">IF(AND(C411&lt;&gt;"",SUM(K411,M411,O411,Q411,S411)=1),"pass",IF(AND(C411="",SUM(K411,M411,O411,Q411,S411)=0),"pass","fail"))</f>
        <v>pass</v>
      </c>
      <c r="U411" s="28"/>
      <c r="V411" s="28"/>
      <c r="W411" s="28"/>
      <c r="X411" s="28"/>
      <c r="Y411" s="28"/>
      <c r="Z411" s="28"/>
      <c r="AA411" s="28"/>
    </row>
    <row r="412" spans="2:27" outlineLevel="2" x14ac:dyDescent="0.25">
      <c r="B412" s="27">
        <v>194</v>
      </c>
      <c r="C412" s="28"/>
      <c r="D412" s="28"/>
      <c r="E412" s="28"/>
      <c r="F412" s="28"/>
      <c r="G412" s="48"/>
      <c r="H412" s="48"/>
      <c r="I412" s="48"/>
      <c r="J412" s="48"/>
      <c r="K412" s="49"/>
      <c r="L412" s="28"/>
      <c r="M412" s="28"/>
      <c r="N412" s="28"/>
      <c r="O412" s="28"/>
      <c r="P412" s="28"/>
      <c r="Q412" s="28"/>
      <c r="R412" s="28"/>
      <c r="S412" s="28"/>
      <c r="T412" s="25" t="str">
        <f t="shared" si="9"/>
        <v>pass</v>
      </c>
      <c r="U412" s="28"/>
      <c r="V412" s="28"/>
      <c r="W412" s="28"/>
      <c r="X412" s="28"/>
      <c r="Y412" s="28"/>
      <c r="Z412" s="28"/>
      <c r="AA412" s="28"/>
    </row>
    <row r="413" spans="2:27" outlineLevel="2" x14ac:dyDescent="0.25">
      <c r="B413" s="27">
        <v>195</v>
      </c>
      <c r="C413" s="28"/>
      <c r="D413" s="28"/>
      <c r="E413" s="28"/>
      <c r="F413" s="28"/>
      <c r="G413" s="48"/>
      <c r="H413" s="48"/>
      <c r="I413" s="48"/>
      <c r="J413" s="48"/>
      <c r="K413" s="49"/>
      <c r="L413" s="28"/>
      <c r="M413" s="28"/>
      <c r="N413" s="28"/>
      <c r="O413" s="28"/>
      <c r="P413" s="28"/>
      <c r="Q413" s="28"/>
      <c r="R413" s="28"/>
      <c r="S413" s="28"/>
      <c r="T413" s="25" t="str">
        <f t="shared" si="9"/>
        <v>pass</v>
      </c>
      <c r="U413" s="28"/>
      <c r="V413" s="28"/>
      <c r="W413" s="28"/>
      <c r="X413" s="28"/>
      <c r="Y413" s="28"/>
      <c r="Z413" s="28"/>
      <c r="AA413" s="28"/>
    </row>
    <row r="414" spans="2:27" outlineLevel="2" x14ac:dyDescent="0.25">
      <c r="B414" s="27">
        <v>196</v>
      </c>
      <c r="C414" s="28"/>
      <c r="D414" s="28"/>
      <c r="E414" s="28"/>
      <c r="F414" s="28"/>
      <c r="G414" s="48"/>
      <c r="H414" s="48"/>
      <c r="I414" s="48"/>
      <c r="J414" s="48"/>
      <c r="K414" s="49"/>
      <c r="L414" s="28"/>
      <c r="M414" s="28"/>
      <c r="N414" s="28"/>
      <c r="O414" s="28"/>
      <c r="P414" s="28"/>
      <c r="Q414" s="28"/>
      <c r="R414" s="28"/>
      <c r="S414" s="28"/>
      <c r="T414" s="25" t="str">
        <f t="shared" si="9"/>
        <v>pass</v>
      </c>
      <c r="U414" s="28"/>
      <c r="V414" s="28"/>
      <c r="W414" s="28"/>
      <c r="X414" s="28"/>
      <c r="Y414" s="28"/>
      <c r="Z414" s="28"/>
      <c r="AA414" s="28"/>
    </row>
    <row r="415" spans="2:27" outlineLevel="2" x14ac:dyDescent="0.25">
      <c r="B415" s="27">
        <v>197</v>
      </c>
      <c r="C415" s="28"/>
      <c r="D415" s="28"/>
      <c r="E415" s="28"/>
      <c r="F415" s="28"/>
      <c r="G415" s="48"/>
      <c r="H415" s="48"/>
      <c r="I415" s="48"/>
      <c r="J415" s="48"/>
      <c r="K415" s="49"/>
      <c r="L415" s="28"/>
      <c r="M415" s="28"/>
      <c r="N415" s="28"/>
      <c r="O415" s="28"/>
      <c r="P415" s="28"/>
      <c r="Q415" s="28"/>
      <c r="R415" s="28"/>
      <c r="S415" s="28"/>
      <c r="T415" s="25" t="str">
        <f t="shared" si="9"/>
        <v>pass</v>
      </c>
      <c r="U415" s="28"/>
      <c r="V415" s="28"/>
      <c r="W415" s="28"/>
      <c r="X415" s="28"/>
      <c r="Y415" s="28"/>
      <c r="Z415" s="28"/>
      <c r="AA415" s="28"/>
    </row>
    <row r="416" spans="2:27" outlineLevel="2" x14ac:dyDescent="0.25">
      <c r="B416" s="27">
        <v>198</v>
      </c>
      <c r="C416" s="28"/>
      <c r="D416" s="28"/>
      <c r="E416" s="28"/>
      <c r="F416" s="28"/>
      <c r="G416" s="48"/>
      <c r="H416" s="48"/>
      <c r="I416" s="48"/>
      <c r="J416" s="48"/>
      <c r="K416" s="49"/>
      <c r="L416" s="28"/>
      <c r="M416" s="28"/>
      <c r="N416" s="28"/>
      <c r="O416" s="28"/>
      <c r="P416" s="28"/>
      <c r="Q416" s="28"/>
      <c r="R416" s="28"/>
      <c r="S416" s="28"/>
      <c r="T416" s="25" t="str">
        <f t="shared" si="9"/>
        <v>pass</v>
      </c>
      <c r="U416" s="28"/>
      <c r="V416" s="28"/>
      <c r="W416" s="28"/>
      <c r="X416" s="28"/>
      <c r="Y416" s="28"/>
      <c r="Z416" s="28"/>
      <c r="AA416" s="28"/>
    </row>
    <row r="417" spans="2:27" outlineLevel="2" x14ac:dyDescent="0.25">
      <c r="B417" s="27">
        <v>199</v>
      </c>
      <c r="C417" s="28"/>
      <c r="D417" s="28"/>
      <c r="E417" s="28"/>
      <c r="F417" s="28"/>
      <c r="G417" s="48"/>
      <c r="H417" s="48"/>
      <c r="I417" s="48"/>
      <c r="J417" s="48"/>
      <c r="K417" s="49"/>
      <c r="L417" s="28"/>
      <c r="M417" s="28"/>
      <c r="N417" s="28"/>
      <c r="O417" s="28"/>
      <c r="P417" s="28"/>
      <c r="Q417" s="28"/>
      <c r="R417" s="28"/>
      <c r="S417" s="28"/>
      <c r="T417" s="25" t="str">
        <f t="shared" si="9"/>
        <v>pass</v>
      </c>
      <c r="U417" s="28"/>
      <c r="V417" s="28"/>
      <c r="W417" s="28"/>
      <c r="X417" s="28"/>
      <c r="Y417" s="28"/>
      <c r="Z417" s="28"/>
      <c r="AA417" s="28"/>
    </row>
    <row r="418" spans="2:27" outlineLevel="2" x14ac:dyDescent="0.25">
      <c r="B418" s="27">
        <v>200</v>
      </c>
      <c r="C418" s="28"/>
      <c r="D418" s="28"/>
      <c r="E418" s="28"/>
      <c r="F418" s="28"/>
      <c r="G418" s="48"/>
      <c r="H418" s="48"/>
      <c r="I418" s="48"/>
      <c r="J418" s="48"/>
      <c r="K418" s="49"/>
      <c r="L418" s="28"/>
      <c r="M418" s="28"/>
      <c r="N418" s="28"/>
      <c r="O418" s="28"/>
      <c r="P418" s="28"/>
      <c r="Q418" s="28"/>
      <c r="R418" s="28"/>
      <c r="S418" s="28"/>
      <c r="T418" s="25" t="str">
        <f t="shared" si="9"/>
        <v>pass</v>
      </c>
      <c r="U418" s="28"/>
      <c r="V418" s="28"/>
      <c r="W418" s="28"/>
      <c r="X418" s="28"/>
      <c r="Y418" s="28"/>
      <c r="Z418" s="28"/>
      <c r="AA418" s="28"/>
    </row>
  </sheetData>
  <mergeCells count="2">
    <mergeCell ref="S217:W217"/>
    <mergeCell ref="Q12:U12"/>
  </mergeCells>
  <conditionalFormatting sqref="F4">
    <cfRule type="containsText" dxfId="10" priority="1" operator="containsText" text="TRUE">
      <formula>NOT(ISERROR(SEARCH("TRUE",F4)))</formula>
    </cfRule>
    <cfRule type="containsText" dxfId="9" priority="2" operator="containsText" text="FALSE">
      <formula>NOT(ISERROR(SEARCH("FALSE",F4)))</formula>
    </cfRule>
  </conditionalFormatting>
  <conditionalFormatting sqref="F8">
    <cfRule type="containsText" dxfId="8" priority="3" operator="containsText" text="Can't find">
      <formula>NOT(ISERROR(SEARCH("Can't find",F8)))</formula>
    </cfRule>
  </conditionalFormatting>
  <conditionalFormatting sqref="T14:T35 R36:R213 T219:T418">
    <cfRule type="cellIs" dxfId="7" priority="6" operator="equal">
      <formula>"pass"</formula>
    </cfRule>
    <cfRule type="cellIs" dxfId="6" priority="7" operator="equal">
      <formula>"fail"</formula>
    </cfRule>
  </conditionalFormatting>
  <dataValidations count="10">
    <dataValidation type="list" allowBlank="1" showInputMessage="1" showErrorMessage="1" sqref="J14:J213 J219:J418 L14:L213 L219:L418 N14:N213 N219:N418 P14:P213 P219:P418 R14:R35 R219:R418" xr:uid="{00000000-0002-0000-0600-000000000000}">
      <formula1>LOBs_names</formula1>
    </dataValidation>
    <dataValidation type="list" allowBlank="1" showInputMessage="1" showErrorMessage="1" sqref="D14:D213 D225:D418" xr:uid="{00000000-0002-0000-0600-000001000000}">
      <formula1>P_NP_types</formula1>
    </dataValidation>
    <dataValidation type="list" allowBlank="1" showInputMessage="1" showErrorMessage="1" sqref="H14:H213 H219:H418" xr:uid="{00000000-0002-0000-0600-000002000000}">
      <formula1>Country_list</formula1>
    </dataValidation>
    <dataValidation type="list" allowBlank="1" showInputMessage="1" showErrorMessage="1" sqref="I14:I213 I219:I418" xr:uid="{00000000-0002-0000-0600-000003000000}">
      <formula1>re_insurance_list</formula1>
    </dataValidation>
    <dataValidation type="list" allowBlank="1" showInputMessage="1" showErrorMessage="1" sqref="G14:G213 G219:G418" xr:uid="{00000000-0002-0000-0600-000004000000}">
      <formula1>Region_list</formula1>
    </dataValidation>
    <dataValidation type="decimal" allowBlank="1" showInputMessage="1" showErrorMessage="1" sqref="K14:K213 K219:K418 M14:M213 M219:M418 O14:O213 O219:O418 Q14:Q213 Q219:Q418 S14:S35 S219:S418" xr:uid="{00000000-0002-0000-0600-000005000000}">
      <formula1>0</formula1>
      <formula2>1</formula2>
    </dataValidation>
    <dataValidation type="list" allowBlank="1" showInputMessage="1" showErrorMessage="1" sqref="S36:S213 U14:U35 U219:U418" xr:uid="{00000000-0002-0000-0600-000006000000}">
      <formula1>Currency_list</formula1>
    </dataValidation>
    <dataValidation type="decimal" operator="greaterThanOrEqual" allowBlank="1" showInputMessage="1" showErrorMessage="1" sqref="T36:T213 V14:V35 V219:V418" xr:uid="{00000000-0002-0000-0600-000007000000}">
      <formula1>0</formula1>
    </dataValidation>
    <dataValidation type="list" allowBlank="1" showInputMessage="1" showErrorMessage="1" sqref="E225:E418 F219:F418" xr:uid="{00000000-0002-0000-0600-000008000000}">
      <formula1>Development_classes</formula1>
    </dataValidation>
    <dataValidation type="list" allowBlank="1" showInputMessage="1" showErrorMessage="1" sqref="Z36:AC213 AB14:AE35" xr:uid="{00000000-0002-0000-0600-000009000000}">
      <formula1>"Derived from cedant data, Benchmark data, Cedant provided, Broker provided"</formula1>
    </dataValidation>
  </dataValidations>
  <pageMargins left="0.7" right="0.7" top="0.75" bottom="0.75" header="0.3" footer="0.3"/>
  <pageSetup orientation="portrait"/>
  <headerFooter>
    <oddFooter>&amp;C&amp;"Calibri"&amp;8 &amp;K000000_x000D_#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FW379"/>
  <sheetViews>
    <sheetView zoomScale="70" zoomScaleNormal="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0" defaultRowHeight="15" x14ac:dyDescent="0.25"/>
  <cols>
    <col min="1" max="1" width="23.140625" customWidth="1"/>
    <col min="2" max="3" width="23.140625" style="8" customWidth="1"/>
    <col min="4" max="5" width="23.140625" style="9" customWidth="1"/>
    <col min="6" max="6" width="23.28515625" style="12" customWidth="1"/>
    <col min="7" max="7" width="15.7109375" style="3" customWidth="1"/>
    <col min="8" max="10" width="15.7109375" style="14" customWidth="1"/>
    <col min="11" max="157" width="15.7109375" style="3" customWidth="1"/>
    <col min="158" max="179" width="0" hidden="1" customWidth="1"/>
    <col min="180" max="180" width="9.140625" hidden="1" customWidth="1"/>
    <col min="181" max="16384" width="9.140625" hidden="1"/>
  </cols>
  <sheetData>
    <row r="1" spans="1:157" s="1" customFormat="1" ht="25.5" customHeight="1" x14ac:dyDescent="0.25">
      <c r="B1" s="4"/>
      <c r="C1" s="4"/>
      <c r="D1" s="5"/>
      <c r="E1" s="5"/>
      <c r="F1" s="56"/>
      <c r="G1" s="74" t="s">
        <v>69</v>
      </c>
      <c r="H1" s="75"/>
      <c r="I1" s="75"/>
      <c r="J1" s="7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30" customHeight="1" x14ac:dyDescent="0.25">
      <c r="A2" s="6" t="s">
        <v>70</v>
      </c>
      <c r="B2" s="6" t="s">
        <v>71</v>
      </c>
      <c r="C2" s="6" t="s">
        <v>72</v>
      </c>
      <c r="D2" s="7" t="s">
        <v>73</v>
      </c>
      <c r="E2" s="7" t="s">
        <v>74</v>
      </c>
      <c r="F2" s="11" t="s">
        <v>75</v>
      </c>
      <c r="G2" s="13">
        <f>month_first_development</f>
        <v>6</v>
      </c>
      <c r="H2" s="13">
        <f t="shared" ref="H2:AM2" si="0">G2+triangle_increments_months</f>
        <v>18</v>
      </c>
      <c r="I2" s="13">
        <f t="shared" si="0"/>
        <v>30</v>
      </c>
      <c r="J2" s="13">
        <f t="shared" si="0"/>
        <v>42</v>
      </c>
      <c r="K2" s="13">
        <f t="shared" si="0"/>
        <v>54</v>
      </c>
      <c r="L2" s="13">
        <f t="shared" si="0"/>
        <v>66</v>
      </c>
      <c r="M2" s="13">
        <f t="shared" si="0"/>
        <v>78</v>
      </c>
      <c r="N2" s="13">
        <f t="shared" si="0"/>
        <v>90</v>
      </c>
      <c r="O2" s="13">
        <f t="shared" si="0"/>
        <v>102</v>
      </c>
      <c r="P2" s="13">
        <f t="shared" si="0"/>
        <v>114</v>
      </c>
      <c r="Q2" s="13">
        <f t="shared" si="0"/>
        <v>126</v>
      </c>
      <c r="R2" s="13">
        <f t="shared" si="0"/>
        <v>138</v>
      </c>
      <c r="S2" s="13">
        <f t="shared" si="0"/>
        <v>150</v>
      </c>
      <c r="T2" s="13">
        <f t="shared" si="0"/>
        <v>162</v>
      </c>
      <c r="U2" s="13">
        <f t="shared" si="0"/>
        <v>174</v>
      </c>
      <c r="V2" s="13">
        <f t="shared" si="0"/>
        <v>186</v>
      </c>
      <c r="W2" s="13">
        <f t="shared" si="0"/>
        <v>198</v>
      </c>
      <c r="X2" s="13">
        <f t="shared" si="0"/>
        <v>210</v>
      </c>
      <c r="Y2" s="13">
        <f t="shared" si="0"/>
        <v>222</v>
      </c>
      <c r="Z2" s="13">
        <f t="shared" si="0"/>
        <v>234</v>
      </c>
      <c r="AA2" s="13">
        <f t="shared" si="0"/>
        <v>246</v>
      </c>
      <c r="AB2" s="13">
        <f t="shared" si="0"/>
        <v>258</v>
      </c>
      <c r="AC2" s="13">
        <f t="shared" si="0"/>
        <v>270</v>
      </c>
      <c r="AD2" s="13">
        <f t="shared" si="0"/>
        <v>282</v>
      </c>
      <c r="AE2" s="13">
        <f t="shared" si="0"/>
        <v>294</v>
      </c>
      <c r="AF2" s="13">
        <f t="shared" si="0"/>
        <v>306</v>
      </c>
      <c r="AG2" s="13">
        <f t="shared" si="0"/>
        <v>318</v>
      </c>
      <c r="AH2" s="13">
        <f t="shared" si="0"/>
        <v>330</v>
      </c>
      <c r="AI2" s="13">
        <f t="shared" si="0"/>
        <v>342</v>
      </c>
      <c r="AJ2" s="13">
        <f t="shared" si="0"/>
        <v>354</v>
      </c>
      <c r="AK2" s="13">
        <f t="shared" si="0"/>
        <v>366</v>
      </c>
      <c r="AL2" s="13">
        <f t="shared" si="0"/>
        <v>378</v>
      </c>
      <c r="AM2" s="13">
        <f t="shared" si="0"/>
        <v>390</v>
      </c>
      <c r="AN2" s="13">
        <f t="shared" ref="AN2:BS2" si="1">AM2+triangle_increments_months</f>
        <v>402</v>
      </c>
      <c r="AO2" s="13">
        <f t="shared" si="1"/>
        <v>414</v>
      </c>
      <c r="AP2" s="13">
        <f t="shared" si="1"/>
        <v>426</v>
      </c>
      <c r="AQ2" s="13">
        <f t="shared" si="1"/>
        <v>438</v>
      </c>
      <c r="AR2" s="13">
        <f t="shared" si="1"/>
        <v>450</v>
      </c>
      <c r="AS2" s="13">
        <f t="shared" si="1"/>
        <v>462</v>
      </c>
      <c r="AT2" s="13">
        <f t="shared" si="1"/>
        <v>474</v>
      </c>
      <c r="AU2" s="13">
        <f t="shared" si="1"/>
        <v>486</v>
      </c>
      <c r="AV2" s="13">
        <f t="shared" si="1"/>
        <v>498</v>
      </c>
      <c r="AW2" s="13">
        <f t="shared" si="1"/>
        <v>510</v>
      </c>
      <c r="AX2" s="13">
        <f t="shared" si="1"/>
        <v>522</v>
      </c>
      <c r="AY2" s="13">
        <f t="shared" si="1"/>
        <v>534</v>
      </c>
      <c r="AZ2" s="13">
        <f t="shared" si="1"/>
        <v>546</v>
      </c>
      <c r="BA2" s="13">
        <f t="shared" si="1"/>
        <v>558</v>
      </c>
      <c r="BB2" s="13">
        <f t="shared" si="1"/>
        <v>570</v>
      </c>
      <c r="BC2" s="13">
        <f t="shared" si="1"/>
        <v>582</v>
      </c>
      <c r="BD2" s="13">
        <f t="shared" si="1"/>
        <v>594</v>
      </c>
      <c r="BE2" s="13">
        <f t="shared" si="1"/>
        <v>606</v>
      </c>
      <c r="BF2" s="13">
        <f t="shared" si="1"/>
        <v>618</v>
      </c>
      <c r="BG2" s="13">
        <f t="shared" si="1"/>
        <v>630</v>
      </c>
      <c r="BH2" s="13">
        <f t="shared" si="1"/>
        <v>642</v>
      </c>
      <c r="BI2" s="13">
        <f t="shared" si="1"/>
        <v>654</v>
      </c>
      <c r="BJ2" s="13">
        <f t="shared" si="1"/>
        <v>666</v>
      </c>
      <c r="BK2" s="13">
        <f t="shared" si="1"/>
        <v>678</v>
      </c>
      <c r="BL2" s="13">
        <f t="shared" si="1"/>
        <v>690</v>
      </c>
      <c r="BM2" s="13">
        <f t="shared" si="1"/>
        <v>702</v>
      </c>
      <c r="BN2" s="13">
        <f t="shared" si="1"/>
        <v>714</v>
      </c>
      <c r="BO2" s="13">
        <f t="shared" si="1"/>
        <v>726</v>
      </c>
      <c r="BP2" s="13">
        <f t="shared" si="1"/>
        <v>738</v>
      </c>
      <c r="BQ2" s="13">
        <f t="shared" si="1"/>
        <v>750</v>
      </c>
      <c r="BR2" s="13">
        <f t="shared" si="1"/>
        <v>762</v>
      </c>
      <c r="BS2" s="13">
        <f t="shared" si="1"/>
        <v>774</v>
      </c>
      <c r="BT2" s="13">
        <f t="shared" ref="BT2:CY2" si="2">BS2+triangle_increments_months</f>
        <v>786</v>
      </c>
      <c r="BU2" s="13">
        <f t="shared" si="2"/>
        <v>798</v>
      </c>
      <c r="BV2" s="13">
        <f t="shared" si="2"/>
        <v>810</v>
      </c>
      <c r="BW2" s="13">
        <f t="shared" si="2"/>
        <v>822</v>
      </c>
      <c r="BX2" s="13">
        <f t="shared" si="2"/>
        <v>834</v>
      </c>
      <c r="BY2" s="13">
        <f t="shared" si="2"/>
        <v>846</v>
      </c>
      <c r="BZ2" s="13">
        <f t="shared" si="2"/>
        <v>858</v>
      </c>
      <c r="CA2" s="13">
        <f t="shared" si="2"/>
        <v>870</v>
      </c>
      <c r="CB2" s="13">
        <f t="shared" si="2"/>
        <v>882</v>
      </c>
      <c r="CC2" s="13">
        <f t="shared" si="2"/>
        <v>894</v>
      </c>
      <c r="CD2" s="13">
        <f t="shared" si="2"/>
        <v>906</v>
      </c>
      <c r="CE2" s="13">
        <f t="shared" si="2"/>
        <v>918</v>
      </c>
      <c r="CF2" s="13">
        <f t="shared" si="2"/>
        <v>930</v>
      </c>
      <c r="CG2" s="13">
        <f t="shared" si="2"/>
        <v>942</v>
      </c>
      <c r="CH2" s="13">
        <f t="shared" si="2"/>
        <v>954</v>
      </c>
      <c r="CI2" s="13">
        <f t="shared" si="2"/>
        <v>966</v>
      </c>
      <c r="CJ2" s="13">
        <f t="shared" si="2"/>
        <v>978</v>
      </c>
      <c r="CK2" s="13">
        <f t="shared" si="2"/>
        <v>990</v>
      </c>
      <c r="CL2" s="13">
        <f t="shared" si="2"/>
        <v>1002</v>
      </c>
      <c r="CM2" s="13">
        <f t="shared" si="2"/>
        <v>1014</v>
      </c>
      <c r="CN2" s="13">
        <f t="shared" si="2"/>
        <v>1026</v>
      </c>
      <c r="CO2" s="13">
        <f t="shared" si="2"/>
        <v>1038</v>
      </c>
      <c r="CP2" s="13">
        <f t="shared" si="2"/>
        <v>1050</v>
      </c>
      <c r="CQ2" s="13">
        <f t="shared" si="2"/>
        <v>1062</v>
      </c>
      <c r="CR2" s="13">
        <f t="shared" si="2"/>
        <v>1074</v>
      </c>
      <c r="CS2" s="13">
        <f t="shared" si="2"/>
        <v>1086</v>
      </c>
      <c r="CT2" s="13">
        <f t="shared" si="2"/>
        <v>1098</v>
      </c>
      <c r="CU2" s="13">
        <f t="shared" si="2"/>
        <v>1110</v>
      </c>
      <c r="CV2" s="13">
        <f t="shared" si="2"/>
        <v>1122</v>
      </c>
      <c r="CW2" s="13">
        <f t="shared" si="2"/>
        <v>1134</v>
      </c>
      <c r="CX2" s="13">
        <f t="shared" si="2"/>
        <v>1146</v>
      </c>
      <c r="CY2" s="13">
        <f t="shared" si="2"/>
        <v>1158</v>
      </c>
      <c r="CZ2" s="13">
        <f t="shared" ref="CZ2:EE2" si="3">CY2+triangle_increments_months</f>
        <v>1170</v>
      </c>
      <c r="DA2" s="13">
        <f t="shared" si="3"/>
        <v>1182</v>
      </c>
      <c r="DB2" s="13">
        <f t="shared" si="3"/>
        <v>1194</v>
      </c>
      <c r="DC2" s="13">
        <f t="shared" si="3"/>
        <v>1206</v>
      </c>
      <c r="DD2" s="13">
        <f t="shared" si="3"/>
        <v>1218</v>
      </c>
      <c r="DE2" s="13">
        <f t="shared" si="3"/>
        <v>1230</v>
      </c>
      <c r="DF2" s="13">
        <f t="shared" si="3"/>
        <v>1242</v>
      </c>
      <c r="DG2" s="13">
        <f t="shared" si="3"/>
        <v>1254</v>
      </c>
      <c r="DH2" s="13">
        <f t="shared" si="3"/>
        <v>1266</v>
      </c>
      <c r="DI2" s="13">
        <f t="shared" si="3"/>
        <v>1278</v>
      </c>
      <c r="DJ2" s="13">
        <f t="shared" si="3"/>
        <v>1290</v>
      </c>
      <c r="DK2" s="13">
        <f t="shared" si="3"/>
        <v>1302</v>
      </c>
      <c r="DL2" s="13">
        <f t="shared" si="3"/>
        <v>1314</v>
      </c>
      <c r="DM2" s="13">
        <f t="shared" si="3"/>
        <v>1326</v>
      </c>
      <c r="DN2" s="13">
        <f t="shared" si="3"/>
        <v>1338</v>
      </c>
      <c r="DO2" s="13">
        <f t="shared" si="3"/>
        <v>1350</v>
      </c>
      <c r="DP2" s="13">
        <f t="shared" si="3"/>
        <v>1362</v>
      </c>
      <c r="DQ2" s="13">
        <f t="shared" si="3"/>
        <v>1374</v>
      </c>
      <c r="DR2" s="13">
        <f t="shared" si="3"/>
        <v>1386</v>
      </c>
      <c r="DS2" s="13">
        <f t="shared" si="3"/>
        <v>1398</v>
      </c>
      <c r="DT2" s="13">
        <f t="shared" si="3"/>
        <v>1410</v>
      </c>
      <c r="DU2" s="13">
        <f t="shared" si="3"/>
        <v>1422</v>
      </c>
      <c r="DV2" s="13">
        <f t="shared" si="3"/>
        <v>1434</v>
      </c>
      <c r="DW2" s="13">
        <f t="shared" si="3"/>
        <v>1446</v>
      </c>
      <c r="DX2" s="13">
        <f t="shared" si="3"/>
        <v>1458</v>
      </c>
      <c r="DY2" s="13">
        <f t="shared" si="3"/>
        <v>1470</v>
      </c>
      <c r="DZ2" s="13">
        <f t="shared" si="3"/>
        <v>1482</v>
      </c>
      <c r="EA2" s="13">
        <f t="shared" si="3"/>
        <v>1494</v>
      </c>
      <c r="EB2" s="13">
        <f t="shared" si="3"/>
        <v>1506</v>
      </c>
      <c r="EC2" s="13">
        <f t="shared" si="3"/>
        <v>1518</v>
      </c>
      <c r="ED2" s="13">
        <f t="shared" si="3"/>
        <v>1530</v>
      </c>
      <c r="EE2" s="13">
        <f t="shared" si="3"/>
        <v>1542</v>
      </c>
      <c r="EF2" s="13">
        <f t="shared" ref="EF2:FA2" si="4">EE2+triangle_increments_months</f>
        <v>1554</v>
      </c>
      <c r="EG2" s="13">
        <f t="shared" si="4"/>
        <v>1566</v>
      </c>
      <c r="EH2" s="13">
        <f t="shared" si="4"/>
        <v>1578</v>
      </c>
      <c r="EI2" s="13">
        <f t="shared" si="4"/>
        <v>1590</v>
      </c>
      <c r="EJ2" s="13">
        <f t="shared" si="4"/>
        <v>1602</v>
      </c>
      <c r="EK2" s="13">
        <f t="shared" si="4"/>
        <v>1614</v>
      </c>
      <c r="EL2" s="13">
        <f t="shared" si="4"/>
        <v>1626</v>
      </c>
      <c r="EM2" s="13">
        <f t="shared" si="4"/>
        <v>1638</v>
      </c>
      <c r="EN2" s="13">
        <f t="shared" si="4"/>
        <v>1650</v>
      </c>
      <c r="EO2" s="13">
        <f t="shared" si="4"/>
        <v>1662</v>
      </c>
      <c r="EP2" s="13">
        <f t="shared" si="4"/>
        <v>1674</v>
      </c>
      <c r="EQ2" s="13">
        <f t="shared" si="4"/>
        <v>1686</v>
      </c>
      <c r="ER2" s="13">
        <f t="shared" si="4"/>
        <v>1698</v>
      </c>
      <c r="ES2" s="13">
        <f t="shared" si="4"/>
        <v>1710</v>
      </c>
      <c r="ET2" s="13">
        <f t="shared" si="4"/>
        <v>1722</v>
      </c>
      <c r="EU2" s="13">
        <f t="shared" si="4"/>
        <v>1734</v>
      </c>
      <c r="EV2" s="13">
        <f t="shared" si="4"/>
        <v>1746</v>
      </c>
      <c r="EW2" s="13">
        <f t="shared" si="4"/>
        <v>1758</v>
      </c>
      <c r="EX2" s="13">
        <f t="shared" si="4"/>
        <v>1770</v>
      </c>
      <c r="EY2" s="13">
        <f t="shared" si="4"/>
        <v>1782</v>
      </c>
      <c r="EZ2" s="13">
        <f t="shared" si="4"/>
        <v>1794</v>
      </c>
      <c r="FA2" s="13">
        <f t="shared" si="4"/>
        <v>1806</v>
      </c>
    </row>
    <row r="3" spans="1:157" x14ac:dyDescent="0.25">
      <c r="A3" s="28" t="s">
        <v>96</v>
      </c>
      <c r="B3" s="8" t="s">
        <v>76</v>
      </c>
      <c r="C3" s="8" t="s">
        <v>77</v>
      </c>
      <c r="D3" s="9" t="s">
        <v>82</v>
      </c>
      <c r="E3" s="9" t="s">
        <v>78</v>
      </c>
      <c r="F3" s="68">
        <f>triangle_start_date</f>
        <v>36892</v>
      </c>
      <c r="G3" s="3">
        <v>1000000</v>
      </c>
      <c r="H3" s="3">
        <v>2000000</v>
      </c>
      <c r="I3" s="3">
        <v>2000000</v>
      </c>
      <c r="J3" s="3">
        <v>2000000</v>
      </c>
      <c r="K3" s="3">
        <v>2000000</v>
      </c>
      <c r="L3" s="3">
        <v>2000000</v>
      </c>
      <c r="M3" s="3">
        <v>2000000</v>
      </c>
      <c r="N3" s="3">
        <v>2000000</v>
      </c>
      <c r="O3" s="3">
        <v>2000000</v>
      </c>
      <c r="P3" s="3">
        <v>2000000</v>
      </c>
      <c r="Q3" s="3">
        <v>2000000</v>
      </c>
      <c r="R3" s="3">
        <v>2000000</v>
      </c>
      <c r="S3" s="3">
        <v>2000000</v>
      </c>
      <c r="T3" s="3">
        <v>2000000</v>
      </c>
      <c r="U3" s="3">
        <v>2000000</v>
      </c>
      <c r="V3" s="3">
        <v>2000000</v>
      </c>
      <c r="W3" s="3">
        <v>2000000</v>
      </c>
      <c r="X3" s="3">
        <v>2000000</v>
      </c>
      <c r="Y3" s="3">
        <v>2000000</v>
      </c>
      <c r="Z3" s="3">
        <v>2000000</v>
      </c>
    </row>
    <row r="4" spans="1:157" x14ac:dyDescent="0.25">
      <c r="A4" s="28" t="s">
        <v>96</v>
      </c>
      <c r="B4" s="8" t="s">
        <v>76</v>
      </c>
      <c r="C4" s="8" t="s">
        <v>77</v>
      </c>
      <c r="D4" s="9" t="s">
        <v>82</v>
      </c>
      <c r="E4" s="9" t="s">
        <v>78</v>
      </c>
      <c r="F4" s="68">
        <f t="shared" ref="F4:F22" si="5">EDATE(F3,12)</f>
        <v>37257</v>
      </c>
      <c r="G4" s="3">
        <v>1000000</v>
      </c>
      <c r="H4" s="3">
        <v>2000000</v>
      </c>
      <c r="I4" s="3">
        <v>2000000</v>
      </c>
      <c r="J4" s="3">
        <v>2000000</v>
      </c>
      <c r="K4" s="3">
        <v>2000000</v>
      </c>
      <c r="L4" s="3">
        <v>2000000</v>
      </c>
      <c r="M4" s="3">
        <v>2000000</v>
      </c>
      <c r="N4" s="3">
        <v>2000000</v>
      </c>
      <c r="O4" s="3">
        <v>2000000</v>
      </c>
      <c r="P4" s="3">
        <v>2000000</v>
      </c>
      <c r="Q4" s="3">
        <v>2000000</v>
      </c>
      <c r="R4" s="3">
        <v>2000000</v>
      </c>
      <c r="S4" s="3">
        <v>2000000</v>
      </c>
      <c r="T4" s="3">
        <v>2000000</v>
      </c>
      <c r="U4" s="3">
        <v>2000000</v>
      </c>
      <c r="V4" s="3">
        <v>2000000</v>
      </c>
      <c r="W4" s="3">
        <v>2000000</v>
      </c>
      <c r="X4" s="3">
        <v>2000000</v>
      </c>
      <c r="Y4" s="3">
        <v>2000000</v>
      </c>
    </row>
    <row r="5" spans="1:157" x14ac:dyDescent="0.25">
      <c r="A5" s="28" t="s">
        <v>96</v>
      </c>
      <c r="B5" s="8" t="s">
        <v>76</v>
      </c>
      <c r="C5" s="8" t="s">
        <v>77</v>
      </c>
      <c r="D5" s="9" t="s">
        <v>82</v>
      </c>
      <c r="E5" s="9" t="s">
        <v>78</v>
      </c>
      <c r="F5" s="68">
        <f t="shared" si="5"/>
        <v>37622</v>
      </c>
      <c r="G5" s="3">
        <v>1000000</v>
      </c>
      <c r="H5" s="3">
        <v>2000000</v>
      </c>
      <c r="I5" s="3">
        <v>2000000</v>
      </c>
      <c r="J5" s="3">
        <v>2000000</v>
      </c>
      <c r="K5" s="3">
        <v>2000000</v>
      </c>
      <c r="L5" s="3">
        <v>2000000</v>
      </c>
      <c r="M5" s="3">
        <v>2000000</v>
      </c>
      <c r="N5" s="3">
        <v>2000000</v>
      </c>
      <c r="O5" s="3">
        <v>2000000</v>
      </c>
      <c r="P5" s="3">
        <v>2000000</v>
      </c>
      <c r="Q5" s="3">
        <v>2000000</v>
      </c>
      <c r="R5" s="3">
        <v>2000000</v>
      </c>
      <c r="S5" s="3">
        <v>2000000</v>
      </c>
      <c r="T5" s="3">
        <v>2000000</v>
      </c>
      <c r="U5" s="3">
        <v>2000000</v>
      </c>
      <c r="V5" s="3">
        <v>2000000</v>
      </c>
      <c r="W5" s="3">
        <v>2000000</v>
      </c>
      <c r="X5" s="3">
        <v>2000000</v>
      </c>
    </row>
    <row r="6" spans="1:157" x14ac:dyDescent="0.25">
      <c r="A6" s="28" t="s">
        <v>96</v>
      </c>
      <c r="B6" s="8" t="s">
        <v>76</v>
      </c>
      <c r="C6" s="8" t="s">
        <v>77</v>
      </c>
      <c r="D6" s="9" t="s">
        <v>82</v>
      </c>
      <c r="E6" s="9" t="s">
        <v>78</v>
      </c>
      <c r="F6" s="68">
        <f t="shared" si="5"/>
        <v>37987</v>
      </c>
      <c r="G6" s="3">
        <v>1000000</v>
      </c>
      <c r="H6" s="3">
        <v>2000000</v>
      </c>
      <c r="I6" s="3">
        <v>2000000</v>
      </c>
      <c r="J6" s="3">
        <v>2000000</v>
      </c>
      <c r="K6" s="3">
        <v>2000000</v>
      </c>
      <c r="L6" s="3">
        <v>2000000</v>
      </c>
      <c r="M6" s="3">
        <v>2000000</v>
      </c>
      <c r="N6" s="3">
        <v>2000000</v>
      </c>
      <c r="O6" s="3">
        <v>2000000</v>
      </c>
      <c r="P6" s="3">
        <v>2000000</v>
      </c>
      <c r="Q6" s="3">
        <v>2000000</v>
      </c>
      <c r="R6" s="3">
        <v>2000000</v>
      </c>
      <c r="S6" s="3">
        <v>2000000</v>
      </c>
      <c r="T6" s="3">
        <v>2000000</v>
      </c>
      <c r="U6" s="3">
        <v>2000000</v>
      </c>
      <c r="V6" s="3">
        <v>2000000</v>
      </c>
      <c r="W6" s="3">
        <v>2000000</v>
      </c>
    </row>
    <row r="7" spans="1:157" x14ac:dyDescent="0.25">
      <c r="A7" s="28" t="s">
        <v>96</v>
      </c>
      <c r="B7" s="8" t="s">
        <v>76</v>
      </c>
      <c r="C7" s="8" t="s">
        <v>77</v>
      </c>
      <c r="D7" s="9" t="s">
        <v>82</v>
      </c>
      <c r="E7" s="9" t="s">
        <v>78</v>
      </c>
      <c r="F7" s="68">
        <f t="shared" si="5"/>
        <v>38353</v>
      </c>
      <c r="G7" s="3">
        <v>1000000</v>
      </c>
      <c r="H7" s="3">
        <v>2000000</v>
      </c>
      <c r="I7" s="3">
        <v>2000000</v>
      </c>
      <c r="J7" s="3">
        <v>2000000</v>
      </c>
      <c r="K7" s="3">
        <v>2000000</v>
      </c>
      <c r="L7" s="3">
        <v>2000000</v>
      </c>
      <c r="M7" s="3">
        <v>2000000</v>
      </c>
      <c r="N7" s="3">
        <v>2000000</v>
      </c>
      <c r="O7" s="3">
        <v>2000000</v>
      </c>
      <c r="P7" s="3">
        <v>2000000</v>
      </c>
      <c r="Q7" s="3">
        <v>2000000</v>
      </c>
      <c r="R7" s="3">
        <v>2000000</v>
      </c>
      <c r="S7" s="3">
        <v>2000000</v>
      </c>
      <c r="T7" s="3">
        <v>2000000</v>
      </c>
      <c r="U7" s="3">
        <v>2000000</v>
      </c>
      <c r="V7" s="3">
        <v>2000000</v>
      </c>
    </row>
    <row r="8" spans="1:157" x14ac:dyDescent="0.25">
      <c r="A8" s="28" t="s">
        <v>96</v>
      </c>
      <c r="B8" s="8" t="s">
        <v>76</v>
      </c>
      <c r="C8" s="8" t="s">
        <v>77</v>
      </c>
      <c r="D8" s="9" t="s">
        <v>82</v>
      </c>
      <c r="E8" s="9" t="s">
        <v>78</v>
      </c>
      <c r="F8" s="68">
        <f t="shared" si="5"/>
        <v>38718</v>
      </c>
      <c r="G8" s="3">
        <v>1000000</v>
      </c>
      <c r="H8" s="3">
        <v>2000000</v>
      </c>
      <c r="I8" s="3">
        <v>2000000</v>
      </c>
      <c r="J8" s="3">
        <v>2000000</v>
      </c>
      <c r="K8" s="3">
        <v>2000000</v>
      </c>
      <c r="L8" s="3">
        <v>2000000</v>
      </c>
      <c r="M8" s="3">
        <v>2000000</v>
      </c>
      <c r="N8" s="3">
        <v>2000000</v>
      </c>
      <c r="O8" s="3">
        <v>2000000</v>
      </c>
      <c r="P8" s="3">
        <v>2000000</v>
      </c>
      <c r="Q8" s="3">
        <v>2000000</v>
      </c>
      <c r="R8" s="3">
        <v>2000000</v>
      </c>
      <c r="S8" s="3">
        <v>2000000</v>
      </c>
      <c r="T8" s="3">
        <v>2000000</v>
      </c>
      <c r="U8" s="3">
        <v>2000000</v>
      </c>
    </row>
    <row r="9" spans="1:157" x14ac:dyDescent="0.25">
      <c r="A9" s="28" t="s">
        <v>96</v>
      </c>
      <c r="B9" s="8" t="s">
        <v>76</v>
      </c>
      <c r="C9" s="8" t="s">
        <v>77</v>
      </c>
      <c r="D9" s="9" t="s">
        <v>82</v>
      </c>
      <c r="E9" s="9" t="s">
        <v>78</v>
      </c>
      <c r="F9" s="68">
        <f t="shared" si="5"/>
        <v>39083</v>
      </c>
      <c r="G9" s="3">
        <v>1000000</v>
      </c>
      <c r="H9" s="3">
        <v>2000000</v>
      </c>
      <c r="I9" s="3">
        <v>2000000</v>
      </c>
      <c r="J9" s="3">
        <v>2000000</v>
      </c>
      <c r="K9" s="3">
        <v>2000000</v>
      </c>
      <c r="L9" s="3">
        <v>2000000</v>
      </c>
      <c r="M9" s="3">
        <v>2000000</v>
      </c>
      <c r="N9" s="3">
        <v>2000000</v>
      </c>
      <c r="O9" s="3">
        <v>2000000</v>
      </c>
      <c r="P9" s="3">
        <v>2000000</v>
      </c>
      <c r="Q9" s="3">
        <v>2000000</v>
      </c>
      <c r="R9" s="3">
        <v>2000000</v>
      </c>
      <c r="S9" s="3">
        <v>2000000</v>
      </c>
      <c r="T9" s="3">
        <v>2000000</v>
      </c>
    </row>
    <row r="10" spans="1:157" x14ac:dyDescent="0.25">
      <c r="A10" s="28" t="s">
        <v>96</v>
      </c>
      <c r="B10" s="8" t="s">
        <v>76</v>
      </c>
      <c r="C10" s="8" t="s">
        <v>77</v>
      </c>
      <c r="D10" s="9" t="s">
        <v>82</v>
      </c>
      <c r="E10" s="9" t="s">
        <v>78</v>
      </c>
      <c r="F10" s="68">
        <f t="shared" si="5"/>
        <v>39448</v>
      </c>
      <c r="G10" s="3">
        <v>1000000</v>
      </c>
      <c r="H10" s="3">
        <v>2000000</v>
      </c>
      <c r="I10" s="3">
        <v>2000000</v>
      </c>
      <c r="J10" s="3">
        <v>2000000</v>
      </c>
      <c r="K10" s="3">
        <v>2000000</v>
      </c>
      <c r="L10" s="3">
        <v>2000000</v>
      </c>
      <c r="M10" s="3">
        <v>2000000</v>
      </c>
      <c r="N10" s="3">
        <v>2000000</v>
      </c>
      <c r="O10" s="3">
        <v>2000000</v>
      </c>
      <c r="P10" s="3">
        <v>2000000</v>
      </c>
      <c r="Q10" s="3">
        <v>2000000</v>
      </c>
      <c r="R10" s="3">
        <v>2000000</v>
      </c>
      <c r="S10" s="3">
        <v>2000000</v>
      </c>
    </row>
    <row r="11" spans="1:157" x14ac:dyDescent="0.25">
      <c r="A11" s="28" t="s">
        <v>96</v>
      </c>
      <c r="B11" s="8" t="s">
        <v>76</v>
      </c>
      <c r="C11" s="8" t="s">
        <v>77</v>
      </c>
      <c r="D11" s="9" t="s">
        <v>82</v>
      </c>
      <c r="E11" s="9" t="s">
        <v>78</v>
      </c>
      <c r="F11" s="68">
        <f t="shared" si="5"/>
        <v>39814</v>
      </c>
      <c r="G11" s="3">
        <v>1000000</v>
      </c>
      <c r="H11" s="3">
        <v>2000000</v>
      </c>
      <c r="I11" s="3">
        <v>2000000</v>
      </c>
      <c r="J11" s="3">
        <v>2000000</v>
      </c>
      <c r="K11" s="3">
        <v>2000000</v>
      </c>
      <c r="L11" s="3">
        <v>2000000</v>
      </c>
      <c r="M11" s="3">
        <v>2000000</v>
      </c>
      <c r="N11" s="3">
        <v>2000000</v>
      </c>
      <c r="O11" s="3">
        <v>2000000</v>
      </c>
      <c r="P11" s="3">
        <v>2000000</v>
      </c>
      <c r="Q11" s="3">
        <v>2000000</v>
      </c>
      <c r="R11" s="3">
        <v>2000000</v>
      </c>
    </row>
    <row r="12" spans="1:157" x14ac:dyDescent="0.25">
      <c r="A12" s="28" t="s">
        <v>96</v>
      </c>
      <c r="B12" s="8" t="s">
        <v>76</v>
      </c>
      <c r="C12" s="8" t="s">
        <v>77</v>
      </c>
      <c r="D12" s="9" t="s">
        <v>82</v>
      </c>
      <c r="E12" s="9" t="s">
        <v>78</v>
      </c>
      <c r="F12" s="68">
        <f t="shared" si="5"/>
        <v>40179</v>
      </c>
      <c r="G12" s="3">
        <v>1000000</v>
      </c>
      <c r="H12" s="3">
        <v>2000000</v>
      </c>
      <c r="I12" s="3">
        <v>2000000</v>
      </c>
      <c r="J12" s="3">
        <v>2000000</v>
      </c>
      <c r="K12" s="3">
        <v>2000000</v>
      </c>
      <c r="L12" s="3">
        <v>2000000</v>
      </c>
      <c r="M12" s="3">
        <v>2000000</v>
      </c>
      <c r="N12" s="3">
        <v>2000000</v>
      </c>
      <c r="O12" s="3">
        <v>2000000</v>
      </c>
      <c r="P12" s="3">
        <v>2000000</v>
      </c>
      <c r="Q12" s="3">
        <v>2000000</v>
      </c>
    </row>
    <row r="13" spans="1:157" x14ac:dyDescent="0.25">
      <c r="A13" s="28" t="s">
        <v>96</v>
      </c>
      <c r="B13" s="8" t="s">
        <v>76</v>
      </c>
      <c r="C13" s="8" t="s">
        <v>77</v>
      </c>
      <c r="D13" s="9" t="s">
        <v>82</v>
      </c>
      <c r="E13" s="9" t="s">
        <v>78</v>
      </c>
      <c r="F13" s="68">
        <f t="shared" si="5"/>
        <v>40544</v>
      </c>
      <c r="G13" s="3">
        <v>1000000</v>
      </c>
      <c r="H13" s="3">
        <v>2000000</v>
      </c>
      <c r="I13" s="3">
        <v>2000000</v>
      </c>
      <c r="J13" s="3">
        <v>2000000</v>
      </c>
      <c r="K13" s="3">
        <v>2000000</v>
      </c>
      <c r="L13" s="3">
        <v>2000000</v>
      </c>
      <c r="M13" s="3">
        <v>2000000</v>
      </c>
      <c r="N13" s="3">
        <v>2000000</v>
      </c>
      <c r="O13" s="3">
        <v>2000000</v>
      </c>
      <c r="P13" s="3">
        <v>2000000</v>
      </c>
    </row>
    <row r="14" spans="1:157" x14ac:dyDescent="0.25">
      <c r="A14" s="28" t="s">
        <v>96</v>
      </c>
      <c r="B14" s="8" t="s">
        <v>76</v>
      </c>
      <c r="C14" s="8" t="s">
        <v>77</v>
      </c>
      <c r="D14" s="9" t="s">
        <v>82</v>
      </c>
      <c r="E14" s="9" t="s">
        <v>78</v>
      </c>
      <c r="F14" s="68">
        <f t="shared" si="5"/>
        <v>40909</v>
      </c>
      <c r="G14" s="3">
        <v>1000000</v>
      </c>
      <c r="H14" s="3">
        <v>2000000</v>
      </c>
      <c r="I14" s="3">
        <v>2000000</v>
      </c>
      <c r="J14" s="3">
        <v>2000000</v>
      </c>
      <c r="K14" s="3">
        <v>2000000</v>
      </c>
      <c r="L14" s="3">
        <v>2000000</v>
      </c>
      <c r="M14" s="3">
        <v>2000000</v>
      </c>
      <c r="N14" s="3">
        <v>2000000</v>
      </c>
      <c r="O14" s="3">
        <v>2000000</v>
      </c>
    </row>
    <row r="15" spans="1:157" x14ac:dyDescent="0.25">
      <c r="A15" s="28" t="s">
        <v>96</v>
      </c>
      <c r="B15" s="8" t="s">
        <v>76</v>
      </c>
      <c r="C15" s="8" t="s">
        <v>77</v>
      </c>
      <c r="D15" s="9" t="s">
        <v>82</v>
      </c>
      <c r="E15" s="9" t="s">
        <v>78</v>
      </c>
      <c r="F15" s="68">
        <f t="shared" si="5"/>
        <v>41275</v>
      </c>
      <c r="G15" s="3">
        <v>1000000</v>
      </c>
      <c r="H15" s="3">
        <v>2000000</v>
      </c>
      <c r="I15" s="3">
        <v>2000000</v>
      </c>
      <c r="J15" s="3">
        <v>2000000</v>
      </c>
      <c r="K15" s="3">
        <v>2000000</v>
      </c>
      <c r="L15" s="3">
        <v>2000000</v>
      </c>
      <c r="M15" s="3">
        <v>2000000</v>
      </c>
      <c r="N15" s="3">
        <v>2000000</v>
      </c>
    </row>
    <row r="16" spans="1:157" x14ac:dyDescent="0.25">
      <c r="A16" s="28" t="s">
        <v>96</v>
      </c>
      <c r="B16" s="8" t="s">
        <v>76</v>
      </c>
      <c r="C16" s="8" t="s">
        <v>77</v>
      </c>
      <c r="D16" s="9" t="s">
        <v>82</v>
      </c>
      <c r="E16" s="9" t="s">
        <v>78</v>
      </c>
      <c r="F16" s="68">
        <f t="shared" si="5"/>
        <v>41640</v>
      </c>
      <c r="G16" s="3">
        <v>1000000</v>
      </c>
      <c r="H16" s="3">
        <v>2000000</v>
      </c>
      <c r="I16" s="3">
        <v>2000000</v>
      </c>
      <c r="J16" s="3">
        <v>2000000</v>
      </c>
      <c r="K16" s="3">
        <v>2000000</v>
      </c>
      <c r="L16" s="3">
        <v>2000000</v>
      </c>
      <c r="M16" s="3">
        <v>2000000</v>
      </c>
    </row>
    <row r="17" spans="1:26" x14ac:dyDescent="0.25">
      <c r="A17" s="28" t="s">
        <v>96</v>
      </c>
      <c r="B17" s="8" t="s">
        <v>76</v>
      </c>
      <c r="C17" s="8" t="s">
        <v>77</v>
      </c>
      <c r="D17" s="9" t="s">
        <v>82</v>
      </c>
      <c r="E17" s="9" t="s">
        <v>78</v>
      </c>
      <c r="F17" s="68">
        <f t="shared" si="5"/>
        <v>42005</v>
      </c>
      <c r="G17" s="3">
        <v>1000000</v>
      </c>
      <c r="H17" s="3">
        <v>2000000</v>
      </c>
      <c r="I17" s="3">
        <v>2000000</v>
      </c>
      <c r="J17" s="3">
        <v>2000000</v>
      </c>
      <c r="K17" s="3">
        <v>2000000</v>
      </c>
      <c r="L17" s="3">
        <v>2000000</v>
      </c>
    </row>
    <row r="18" spans="1:26" x14ac:dyDescent="0.25">
      <c r="A18" s="28" t="s">
        <v>96</v>
      </c>
      <c r="B18" s="8" t="s">
        <v>76</v>
      </c>
      <c r="C18" s="8" t="s">
        <v>77</v>
      </c>
      <c r="D18" s="9" t="s">
        <v>82</v>
      </c>
      <c r="E18" s="9" t="s">
        <v>78</v>
      </c>
      <c r="F18" s="68">
        <f t="shared" si="5"/>
        <v>42370</v>
      </c>
      <c r="G18" s="3">
        <v>1000000</v>
      </c>
      <c r="H18" s="3">
        <v>2000000</v>
      </c>
      <c r="I18" s="3">
        <v>2000000</v>
      </c>
      <c r="J18" s="3">
        <v>2000000</v>
      </c>
      <c r="K18" s="3">
        <v>2000000</v>
      </c>
    </row>
    <row r="19" spans="1:26" x14ac:dyDescent="0.25">
      <c r="A19" s="28" t="s">
        <v>96</v>
      </c>
      <c r="B19" s="8" t="s">
        <v>76</v>
      </c>
      <c r="C19" s="8" t="s">
        <v>77</v>
      </c>
      <c r="D19" s="9" t="s">
        <v>82</v>
      </c>
      <c r="E19" s="9" t="s">
        <v>78</v>
      </c>
      <c r="F19" s="68">
        <f t="shared" si="5"/>
        <v>42736</v>
      </c>
      <c r="G19" s="3">
        <v>1000000</v>
      </c>
      <c r="H19" s="3">
        <v>2000000</v>
      </c>
      <c r="I19" s="3">
        <v>2000000</v>
      </c>
      <c r="J19" s="3">
        <v>2000000</v>
      </c>
    </row>
    <row r="20" spans="1:26" x14ac:dyDescent="0.25">
      <c r="A20" s="28" t="s">
        <v>96</v>
      </c>
      <c r="B20" s="8" t="s">
        <v>76</v>
      </c>
      <c r="C20" s="8" t="s">
        <v>77</v>
      </c>
      <c r="D20" s="9" t="s">
        <v>82</v>
      </c>
      <c r="E20" s="9" t="s">
        <v>78</v>
      </c>
      <c r="F20" s="68">
        <f t="shared" si="5"/>
        <v>43101</v>
      </c>
      <c r="G20" s="3">
        <v>1000000</v>
      </c>
      <c r="H20" s="3">
        <v>2000000</v>
      </c>
      <c r="I20" s="3">
        <v>2000000</v>
      </c>
      <c r="J20" s="3"/>
    </row>
    <row r="21" spans="1:26" x14ac:dyDescent="0.25">
      <c r="A21" s="28" t="s">
        <v>96</v>
      </c>
      <c r="B21" s="8" t="s">
        <v>76</v>
      </c>
      <c r="C21" s="8" t="s">
        <v>77</v>
      </c>
      <c r="D21" s="9" t="s">
        <v>82</v>
      </c>
      <c r="E21" s="9" t="s">
        <v>78</v>
      </c>
      <c r="F21" s="68">
        <f t="shared" si="5"/>
        <v>43466</v>
      </c>
      <c r="G21" s="3">
        <v>1000000</v>
      </c>
      <c r="H21" s="3">
        <v>2000000</v>
      </c>
      <c r="I21" s="3"/>
      <c r="J21" s="3"/>
    </row>
    <row r="22" spans="1:26" x14ac:dyDescent="0.25">
      <c r="A22" s="28" t="s">
        <v>96</v>
      </c>
      <c r="B22" s="8" t="s">
        <v>76</v>
      </c>
      <c r="C22" s="8" t="s">
        <v>77</v>
      </c>
      <c r="D22" s="9" t="s">
        <v>82</v>
      </c>
      <c r="E22" s="9" t="s">
        <v>78</v>
      </c>
      <c r="F22" s="68">
        <f t="shared" si="5"/>
        <v>43831</v>
      </c>
      <c r="G22" s="3">
        <v>1000000</v>
      </c>
      <c r="H22" s="3"/>
      <c r="I22" s="3"/>
      <c r="J22" s="3"/>
    </row>
    <row r="23" spans="1:26" x14ac:dyDescent="0.25">
      <c r="A23" s="28"/>
      <c r="F23" s="68"/>
      <c r="H23" s="3"/>
      <c r="I23" s="3"/>
      <c r="J23" s="3"/>
    </row>
    <row r="24" spans="1:26" x14ac:dyDescent="0.25">
      <c r="A24" s="28" t="s">
        <v>102</v>
      </c>
      <c r="B24" s="8" t="s">
        <v>76</v>
      </c>
      <c r="C24" s="8" t="s">
        <v>77</v>
      </c>
      <c r="D24" s="9" t="s">
        <v>82</v>
      </c>
      <c r="E24" s="9" t="s">
        <v>78</v>
      </c>
      <c r="F24" s="68">
        <f>triangle_start_date</f>
        <v>36892</v>
      </c>
      <c r="G24" s="3">
        <v>1000000</v>
      </c>
      <c r="H24" s="3">
        <v>2000000</v>
      </c>
      <c r="I24" s="3">
        <v>2000000</v>
      </c>
      <c r="J24" s="3">
        <v>2000000</v>
      </c>
      <c r="K24" s="3">
        <v>2000000</v>
      </c>
      <c r="L24" s="3">
        <v>2000000</v>
      </c>
      <c r="M24" s="3">
        <v>2000000</v>
      </c>
      <c r="N24" s="3">
        <v>2000000</v>
      </c>
      <c r="O24" s="3">
        <v>2000000</v>
      </c>
      <c r="P24" s="3">
        <v>2000000</v>
      </c>
      <c r="Q24" s="3">
        <v>2000000</v>
      </c>
      <c r="R24" s="3">
        <v>2000000</v>
      </c>
      <c r="S24" s="3">
        <v>2000000</v>
      </c>
      <c r="T24" s="3">
        <v>2000000</v>
      </c>
      <c r="U24" s="3">
        <v>2000000</v>
      </c>
      <c r="V24" s="3">
        <v>2000000</v>
      </c>
      <c r="W24" s="3">
        <v>2000000</v>
      </c>
      <c r="X24" s="3">
        <v>2000000</v>
      </c>
      <c r="Y24" s="3">
        <v>2000000</v>
      </c>
      <c r="Z24" s="3">
        <v>2000000</v>
      </c>
    </row>
    <row r="25" spans="1:26" x14ac:dyDescent="0.25">
      <c r="A25" s="28" t="s">
        <v>102</v>
      </c>
      <c r="B25" s="8" t="s">
        <v>76</v>
      </c>
      <c r="C25" s="8" t="s">
        <v>77</v>
      </c>
      <c r="D25" s="9" t="s">
        <v>82</v>
      </c>
      <c r="E25" s="9" t="s">
        <v>78</v>
      </c>
      <c r="F25" s="68">
        <f t="shared" ref="F25:F43" si="6">EDATE(F24,12)</f>
        <v>37257</v>
      </c>
      <c r="G25" s="3">
        <v>1000000</v>
      </c>
      <c r="H25" s="3">
        <v>2000000</v>
      </c>
      <c r="I25" s="3">
        <v>2000000</v>
      </c>
      <c r="J25" s="3">
        <v>2000000</v>
      </c>
      <c r="K25" s="3">
        <v>2000000</v>
      </c>
      <c r="L25" s="3">
        <v>2000000</v>
      </c>
      <c r="M25" s="3">
        <v>2000000</v>
      </c>
      <c r="N25" s="3">
        <v>2000000</v>
      </c>
      <c r="O25" s="3">
        <v>2000000</v>
      </c>
      <c r="P25" s="3">
        <v>2000000</v>
      </c>
      <c r="Q25" s="3">
        <v>2000000</v>
      </c>
      <c r="R25" s="3">
        <v>2000000</v>
      </c>
      <c r="S25" s="3">
        <v>2000000</v>
      </c>
      <c r="T25" s="3">
        <v>2000000</v>
      </c>
      <c r="U25" s="3">
        <v>2000000</v>
      </c>
      <c r="V25" s="3">
        <v>2000000</v>
      </c>
      <c r="W25" s="3">
        <v>2000000</v>
      </c>
      <c r="X25" s="3">
        <v>2000000</v>
      </c>
      <c r="Y25" s="3">
        <v>2000000</v>
      </c>
    </row>
    <row r="26" spans="1:26" x14ac:dyDescent="0.25">
      <c r="A26" s="28" t="s">
        <v>102</v>
      </c>
      <c r="B26" s="8" t="s">
        <v>76</v>
      </c>
      <c r="C26" s="8" t="s">
        <v>77</v>
      </c>
      <c r="D26" s="9" t="s">
        <v>82</v>
      </c>
      <c r="E26" s="9" t="s">
        <v>78</v>
      </c>
      <c r="F26" s="68">
        <f t="shared" si="6"/>
        <v>37622</v>
      </c>
      <c r="G26" s="3">
        <v>1000000</v>
      </c>
      <c r="H26" s="3">
        <v>2000000</v>
      </c>
      <c r="I26" s="3">
        <v>2000000</v>
      </c>
      <c r="J26" s="3">
        <v>2000000</v>
      </c>
      <c r="K26" s="3">
        <v>2000000</v>
      </c>
      <c r="L26" s="3">
        <v>2000000</v>
      </c>
      <c r="M26" s="3">
        <v>2000000</v>
      </c>
      <c r="N26" s="3">
        <v>2000000</v>
      </c>
      <c r="O26" s="3">
        <v>2000000</v>
      </c>
      <c r="P26" s="3">
        <v>2000000</v>
      </c>
      <c r="Q26" s="3">
        <v>2000000</v>
      </c>
      <c r="R26" s="3">
        <v>2000000</v>
      </c>
      <c r="S26" s="3">
        <v>2000000</v>
      </c>
      <c r="T26" s="3">
        <v>2000000</v>
      </c>
      <c r="U26" s="3">
        <v>2000000</v>
      </c>
      <c r="V26" s="3">
        <v>2000000</v>
      </c>
      <c r="W26" s="3">
        <v>2000000</v>
      </c>
      <c r="X26" s="3">
        <v>2000000</v>
      </c>
    </row>
    <row r="27" spans="1:26" x14ac:dyDescent="0.25">
      <c r="A27" s="28" t="s">
        <v>102</v>
      </c>
      <c r="B27" s="8" t="s">
        <v>76</v>
      </c>
      <c r="C27" s="8" t="s">
        <v>77</v>
      </c>
      <c r="D27" s="9" t="s">
        <v>82</v>
      </c>
      <c r="E27" s="9" t="s">
        <v>78</v>
      </c>
      <c r="F27" s="68">
        <f t="shared" si="6"/>
        <v>37987</v>
      </c>
      <c r="G27" s="3">
        <v>1000000</v>
      </c>
      <c r="H27" s="3">
        <v>2000000</v>
      </c>
      <c r="I27" s="3">
        <v>2000000</v>
      </c>
      <c r="J27" s="3">
        <v>2000000</v>
      </c>
      <c r="K27" s="3">
        <v>2000000</v>
      </c>
      <c r="L27" s="3">
        <v>2000000</v>
      </c>
      <c r="M27" s="3">
        <v>2000000</v>
      </c>
      <c r="N27" s="3">
        <v>2000000</v>
      </c>
      <c r="O27" s="3">
        <v>2000000</v>
      </c>
      <c r="P27" s="3">
        <v>2000000</v>
      </c>
      <c r="Q27" s="3">
        <v>2000000</v>
      </c>
      <c r="R27" s="3">
        <v>2000000</v>
      </c>
      <c r="S27" s="3">
        <v>2000000</v>
      </c>
      <c r="T27" s="3">
        <v>2000000</v>
      </c>
      <c r="U27" s="3">
        <v>2000000</v>
      </c>
      <c r="V27" s="3">
        <v>2000000</v>
      </c>
      <c r="W27" s="3">
        <v>2000000</v>
      </c>
    </row>
    <row r="28" spans="1:26" x14ac:dyDescent="0.25">
      <c r="A28" s="28" t="s">
        <v>102</v>
      </c>
      <c r="B28" s="8" t="s">
        <v>76</v>
      </c>
      <c r="C28" s="8" t="s">
        <v>77</v>
      </c>
      <c r="D28" s="9" t="s">
        <v>82</v>
      </c>
      <c r="E28" s="9" t="s">
        <v>78</v>
      </c>
      <c r="F28" s="68">
        <f t="shared" si="6"/>
        <v>38353</v>
      </c>
      <c r="G28" s="3">
        <v>1000000</v>
      </c>
      <c r="H28" s="3">
        <v>2000000</v>
      </c>
      <c r="I28" s="3">
        <v>2000000</v>
      </c>
      <c r="J28" s="3">
        <v>2000000</v>
      </c>
      <c r="K28" s="3">
        <v>2000000</v>
      </c>
      <c r="L28" s="3">
        <v>2000000</v>
      </c>
      <c r="M28" s="3">
        <v>2000000</v>
      </c>
      <c r="N28" s="3">
        <v>2000000</v>
      </c>
      <c r="O28" s="3">
        <v>2000000</v>
      </c>
      <c r="P28" s="3">
        <v>2000000</v>
      </c>
      <c r="Q28" s="3">
        <v>2000000</v>
      </c>
      <c r="R28" s="3">
        <v>2000000</v>
      </c>
      <c r="S28" s="3">
        <v>2000000</v>
      </c>
      <c r="T28" s="3">
        <v>2000000</v>
      </c>
      <c r="U28" s="3">
        <v>2000000</v>
      </c>
      <c r="V28" s="3">
        <v>2000000</v>
      </c>
    </row>
    <row r="29" spans="1:26" x14ac:dyDescent="0.25">
      <c r="A29" s="28" t="s">
        <v>102</v>
      </c>
      <c r="B29" s="8" t="s">
        <v>76</v>
      </c>
      <c r="C29" s="8" t="s">
        <v>77</v>
      </c>
      <c r="D29" s="9" t="s">
        <v>82</v>
      </c>
      <c r="E29" s="9" t="s">
        <v>78</v>
      </c>
      <c r="F29" s="68">
        <f t="shared" si="6"/>
        <v>38718</v>
      </c>
      <c r="G29" s="3">
        <v>1000000</v>
      </c>
      <c r="H29" s="3">
        <v>2000000</v>
      </c>
      <c r="I29" s="3">
        <v>2000000</v>
      </c>
      <c r="J29" s="3">
        <v>2000000</v>
      </c>
      <c r="K29" s="3">
        <v>2000000</v>
      </c>
      <c r="L29" s="3">
        <v>2000000</v>
      </c>
      <c r="M29" s="3">
        <v>2000000</v>
      </c>
      <c r="N29" s="3">
        <v>2000000</v>
      </c>
      <c r="O29" s="3">
        <v>2000000</v>
      </c>
      <c r="P29" s="3">
        <v>2000000</v>
      </c>
      <c r="Q29" s="3">
        <v>2000000</v>
      </c>
      <c r="R29" s="3">
        <v>2000000</v>
      </c>
      <c r="S29" s="3">
        <v>2000000</v>
      </c>
      <c r="T29" s="3">
        <v>2000000</v>
      </c>
      <c r="U29" s="3">
        <v>2000000</v>
      </c>
    </row>
    <row r="30" spans="1:26" x14ac:dyDescent="0.25">
      <c r="A30" s="28" t="s">
        <v>102</v>
      </c>
      <c r="B30" s="8" t="s">
        <v>76</v>
      </c>
      <c r="C30" s="8" t="s">
        <v>77</v>
      </c>
      <c r="D30" s="9" t="s">
        <v>82</v>
      </c>
      <c r="E30" s="9" t="s">
        <v>78</v>
      </c>
      <c r="F30" s="68">
        <f t="shared" si="6"/>
        <v>39083</v>
      </c>
      <c r="G30" s="3">
        <v>1000000</v>
      </c>
      <c r="H30" s="3">
        <v>2000000</v>
      </c>
      <c r="I30" s="3">
        <v>2000000</v>
      </c>
      <c r="J30" s="3">
        <v>2000000</v>
      </c>
      <c r="K30" s="3">
        <v>2000000</v>
      </c>
      <c r="L30" s="3">
        <v>2000000</v>
      </c>
      <c r="M30" s="3">
        <v>2000000</v>
      </c>
      <c r="N30" s="3">
        <v>2000000</v>
      </c>
      <c r="O30" s="3">
        <v>2000000</v>
      </c>
      <c r="P30" s="3">
        <v>2000000</v>
      </c>
      <c r="Q30" s="3">
        <v>2000000</v>
      </c>
      <c r="R30" s="3">
        <v>2000000</v>
      </c>
      <c r="S30" s="3">
        <v>2000000</v>
      </c>
      <c r="T30" s="3">
        <v>2000000</v>
      </c>
    </row>
    <row r="31" spans="1:26" x14ac:dyDescent="0.25">
      <c r="A31" s="28" t="s">
        <v>102</v>
      </c>
      <c r="B31" s="8" t="s">
        <v>76</v>
      </c>
      <c r="C31" s="8" t="s">
        <v>77</v>
      </c>
      <c r="D31" s="9" t="s">
        <v>82</v>
      </c>
      <c r="E31" s="9" t="s">
        <v>78</v>
      </c>
      <c r="F31" s="68">
        <f t="shared" si="6"/>
        <v>39448</v>
      </c>
      <c r="G31" s="3">
        <v>1000000</v>
      </c>
      <c r="H31" s="3">
        <v>2000000</v>
      </c>
      <c r="I31" s="3">
        <v>2000000</v>
      </c>
      <c r="J31" s="3">
        <v>2000000</v>
      </c>
      <c r="K31" s="3">
        <v>2000000</v>
      </c>
      <c r="L31" s="3">
        <v>2000000</v>
      </c>
      <c r="M31" s="3">
        <v>2000000</v>
      </c>
      <c r="N31" s="3">
        <v>2000000</v>
      </c>
      <c r="O31" s="3">
        <v>2000000</v>
      </c>
      <c r="P31" s="3">
        <v>2000000</v>
      </c>
      <c r="Q31" s="3">
        <v>2000000</v>
      </c>
      <c r="R31" s="3">
        <v>2000000</v>
      </c>
      <c r="S31" s="3">
        <v>2000000</v>
      </c>
    </row>
    <row r="32" spans="1:26" x14ac:dyDescent="0.25">
      <c r="A32" s="28" t="s">
        <v>102</v>
      </c>
      <c r="B32" s="8" t="s">
        <v>76</v>
      </c>
      <c r="C32" s="8" t="s">
        <v>77</v>
      </c>
      <c r="D32" s="9" t="s">
        <v>82</v>
      </c>
      <c r="E32" s="9" t="s">
        <v>78</v>
      </c>
      <c r="F32" s="68">
        <f t="shared" si="6"/>
        <v>39814</v>
      </c>
      <c r="G32" s="3">
        <v>1000000</v>
      </c>
      <c r="H32" s="3">
        <v>2000000</v>
      </c>
      <c r="I32" s="3">
        <v>2000000</v>
      </c>
      <c r="J32" s="3">
        <v>2000000</v>
      </c>
      <c r="K32" s="3">
        <v>2000000</v>
      </c>
      <c r="L32" s="3">
        <v>2000000</v>
      </c>
      <c r="M32" s="3">
        <v>2000000</v>
      </c>
      <c r="N32" s="3">
        <v>2000000</v>
      </c>
      <c r="O32" s="3">
        <v>2000000</v>
      </c>
      <c r="P32" s="3">
        <v>2000000</v>
      </c>
      <c r="Q32" s="3">
        <v>2000000</v>
      </c>
      <c r="R32" s="3">
        <v>2000000</v>
      </c>
    </row>
    <row r="33" spans="1:26" x14ac:dyDescent="0.25">
      <c r="A33" s="28" t="s">
        <v>102</v>
      </c>
      <c r="B33" s="8" t="s">
        <v>76</v>
      </c>
      <c r="C33" s="8" t="s">
        <v>77</v>
      </c>
      <c r="D33" s="9" t="s">
        <v>82</v>
      </c>
      <c r="E33" s="9" t="s">
        <v>78</v>
      </c>
      <c r="F33" s="68">
        <f t="shared" si="6"/>
        <v>40179</v>
      </c>
      <c r="G33" s="3">
        <v>1000000</v>
      </c>
      <c r="H33" s="3">
        <v>2000000</v>
      </c>
      <c r="I33" s="3">
        <v>2000000</v>
      </c>
      <c r="J33" s="3">
        <v>2000000</v>
      </c>
      <c r="K33" s="3">
        <v>2000000</v>
      </c>
      <c r="L33" s="3">
        <v>2000000</v>
      </c>
      <c r="M33" s="3">
        <v>2000000</v>
      </c>
      <c r="N33" s="3">
        <v>2000000</v>
      </c>
      <c r="O33" s="3">
        <v>2000000</v>
      </c>
      <c r="P33" s="3">
        <v>2000000</v>
      </c>
      <c r="Q33" s="3">
        <v>2000000</v>
      </c>
    </row>
    <row r="34" spans="1:26" x14ac:dyDescent="0.25">
      <c r="A34" s="28" t="s">
        <v>102</v>
      </c>
      <c r="B34" s="8" t="s">
        <v>76</v>
      </c>
      <c r="C34" s="8" t="s">
        <v>77</v>
      </c>
      <c r="D34" s="9" t="s">
        <v>82</v>
      </c>
      <c r="E34" s="9" t="s">
        <v>78</v>
      </c>
      <c r="F34" s="68">
        <f t="shared" si="6"/>
        <v>40544</v>
      </c>
      <c r="G34" s="3">
        <v>1000000</v>
      </c>
      <c r="H34" s="3">
        <v>2000000</v>
      </c>
      <c r="I34" s="3">
        <v>2000000</v>
      </c>
      <c r="J34" s="3">
        <v>2000000</v>
      </c>
      <c r="K34" s="3">
        <v>2000000</v>
      </c>
      <c r="L34" s="3">
        <v>2000000</v>
      </c>
      <c r="M34" s="3">
        <v>2000000</v>
      </c>
      <c r="N34" s="3">
        <v>2000000</v>
      </c>
      <c r="O34" s="3">
        <v>2000000</v>
      </c>
      <c r="P34" s="3">
        <v>2000000</v>
      </c>
    </row>
    <row r="35" spans="1:26" x14ac:dyDescent="0.25">
      <c r="A35" s="28" t="s">
        <v>102</v>
      </c>
      <c r="B35" s="8" t="s">
        <v>76</v>
      </c>
      <c r="C35" s="8" t="s">
        <v>77</v>
      </c>
      <c r="D35" s="9" t="s">
        <v>82</v>
      </c>
      <c r="E35" s="9" t="s">
        <v>78</v>
      </c>
      <c r="F35" s="68">
        <f t="shared" si="6"/>
        <v>40909</v>
      </c>
      <c r="G35" s="3">
        <v>1000000</v>
      </c>
      <c r="H35" s="3">
        <v>2000000</v>
      </c>
      <c r="I35" s="3">
        <v>2000000</v>
      </c>
      <c r="J35" s="3">
        <v>2000000</v>
      </c>
      <c r="K35" s="3">
        <v>2000000</v>
      </c>
      <c r="L35" s="3">
        <v>2000000</v>
      </c>
      <c r="M35" s="3">
        <v>2000000</v>
      </c>
      <c r="N35" s="3">
        <v>2000000</v>
      </c>
      <c r="O35" s="3">
        <v>2000000</v>
      </c>
    </row>
    <row r="36" spans="1:26" x14ac:dyDescent="0.25">
      <c r="A36" s="28" t="s">
        <v>102</v>
      </c>
      <c r="B36" s="8" t="s">
        <v>76</v>
      </c>
      <c r="C36" s="8" t="s">
        <v>77</v>
      </c>
      <c r="D36" s="9" t="s">
        <v>82</v>
      </c>
      <c r="E36" s="9" t="s">
        <v>78</v>
      </c>
      <c r="F36" s="68">
        <f t="shared" si="6"/>
        <v>41275</v>
      </c>
      <c r="G36" s="3">
        <v>1000000</v>
      </c>
      <c r="H36" s="3">
        <v>2000000</v>
      </c>
      <c r="I36" s="3">
        <v>2000000</v>
      </c>
      <c r="J36" s="3">
        <v>2000000</v>
      </c>
      <c r="K36" s="3">
        <v>2000000</v>
      </c>
      <c r="L36" s="3">
        <v>2000000</v>
      </c>
      <c r="M36" s="3">
        <v>2000000</v>
      </c>
      <c r="N36" s="3">
        <v>2000000</v>
      </c>
    </row>
    <row r="37" spans="1:26" x14ac:dyDescent="0.25">
      <c r="A37" s="28" t="s">
        <v>102</v>
      </c>
      <c r="B37" s="8" t="s">
        <v>76</v>
      </c>
      <c r="C37" s="8" t="s">
        <v>77</v>
      </c>
      <c r="D37" s="9" t="s">
        <v>82</v>
      </c>
      <c r="E37" s="9" t="s">
        <v>78</v>
      </c>
      <c r="F37" s="68">
        <f t="shared" si="6"/>
        <v>41640</v>
      </c>
      <c r="G37" s="3">
        <v>1000000</v>
      </c>
      <c r="H37" s="3">
        <v>2000000</v>
      </c>
      <c r="I37" s="3">
        <v>2000000</v>
      </c>
      <c r="J37" s="3">
        <v>2000000</v>
      </c>
      <c r="K37" s="3">
        <v>2000000</v>
      </c>
      <c r="L37" s="3">
        <v>2000000</v>
      </c>
      <c r="M37" s="3">
        <v>2000000</v>
      </c>
    </row>
    <row r="38" spans="1:26" x14ac:dyDescent="0.25">
      <c r="A38" s="28" t="s">
        <v>102</v>
      </c>
      <c r="B38" s="8" t="s">
        <v>76</v>
      </c>
      <c r="C38" s="8" t="s">
        <v>77</v>
      </c>
      <c r="D38" s="9" t="s">
        <v>82</v>
      </c>
      <c r="E38" s="9" t="s">
        <v>78</v>
      </c>
      <c r="F38" s="68">
        <f t="shared" si="6"/>
        <v>42005</v>
      </c>
      <c r="G38" s="3">
        <v>1000000</v>
      </c>
      <c r="H38" s="3">
        <v>2000000</v>
      </c>
      <c r="I38" s="3">
        <v>2000000</v>
      </c>
      <c r="J38" s="3">
        <v>2000000</v>
      </c>
      <c r="K38" s="3">
        <v>2000000</v>
      </c>
      <c r="L38" s="3">
        <v>2000000</v>
      </c>
    </row>
    <row r="39" spans="1:26" x14ac:dyDescent="0.25">
      <c r="A39" s="28" t="s">
        <v>102</v>
      </c>
      <c r="B39" s="8" t="s">
        <v>76</v>
      </c>
      <c r="C39" s="8" t="s">
        <v>77</v>
      </c>
      <c r="D39" s="9" t="s">
        <v>82</v>
      </c>
      <c r="E39" s="9" t="s">
        <v>78</v>
      </c>
      <c r="F39" s="68">
        <f t="shared" si="6"/>
        <v>42370</v>
      </c>
      <c r="G39" s="3">
        <v>1000000</v>
      </c>
      <c r="H39" s="3">
        <v>2000000</v>
      </c>
      <c r="I39" s="3">
        <v>2000000</v>
      </c>
      <c r="J39" s="3">
        <v>2000000</v>
      </c>
      <c r="K39" s="3">
        <v>2000000</v>
      </c>
    </row>
    <row r="40" spans="1:26" x14ac:dyDescent="0.25">
      <c r="A40" s="28" t="s">
        <v>102</v>
      </c>
      <c r="B40" s="8" t="s">
        <v>76</v>
      </c>
      <c r="C40" s="8" t="s">
        <v>77</v>
      </c>
      <c r="D40" s="9" t="s">
        <v>82</v>
      </c>
      <c r="E40" s="9" t="s">
        <v>78</v>
      </c>
      <c r="F40" s="68">
        <f t="shared" si="6"/>
        <v>42736</v>
      </c>
      <c r="G40" s="3">
        <v>1000000</v>
      </c>
      <c r="H40" s="3">
        <v>2000000</v>
      </c>
      <c r="I40" s="3">
        <v>2000000</v>
      </c>
      <c r="J40" s="3">
        <v>2000000</v>
      </c>
    </row>
    <row r="41" spans="1:26" x14ac:dyDescent="0.25">
      <c r="A41" s="28" t="s">
        <v>102</v>
      </c>
      <c r="B41" s="8" t="s">
        <v>76</v>
      </c>
      <c r="C41" s="8" t="s">
        <v>77</v>
      </c>
      <c r="D41" s="9" t="s">
        <v>82</v>
      </c>
      <c r="E41" s="9" t="s">
        <v>78</v>
      </c>
      <c r="F41" s="68">
        <f t="shared" si="6"/>
        <v>43101</v>
      </c>
      <c r="G41" s="3">
        <v>1000000</v>
      </c>
      <c r="H41" s="3">
        <v>2000000</v>
      </c>
      <c r="I41" s="3">
        <v>2000000</v>
      </c>
      <c r="J41" s="3"/>
    </row>
    <row r="42" spans="1:26" x14ac:dyDescent="0.25">
      <c r="A42" s="28" t="s">
        <v>102</v>
      </c>
      <c r="B42" s="8" t="s">
        <v>76</v>
      </c>
      <c r="C42" s="8" t="s">
        <v>77</v>
      </c>
      <c r="D42" s="9" t="s">
        <v>82</v>
      </c>
      <c r="E42" s="9" t="s">
        <v>78</v>
      </c>
      <c r="F42" s="68">
        <f t="shared" si="6"/>
        <v>43466</v>
      </c>
      <c r="G42" s="3">
        <v>1000000</v>
      </c>
      <c r="H42" s="3">
        <v>2000000</v>
      </c>
      <c r="I42" s="3"/>
      <c r="J42" s="3"/>
    </row>
    <row r="43" spans="1:26" x14ac:dyDescent="0.25">
      <c r="A43" s="28" t="s">
        <v>102</v>
      </c>
      <c r="B43" s="8" t="s">
        <v>76</v>
      </c>
      <c r="C43" s="8" t="s">
        <v>77</v>
      </c>
      <c r="D43" s="9" t="s">
        <v>82</v>
      </c>
      <c r="E43" s="9" t="s">
        <v>78</v>
      </c>
      <c r="F43" s="68">
        <f t="shared" si="6"/>
        <v>43831</v>
      </c>
      <c r="G43" s="3">
        <v>1000000</v>
      </c>
      <c r="H43" s="3"/>
      <c r="I43" s="3"/>
      <c r="J43" s="3"/>
    </row>
    <row r="44" spans="1:26" x14ac:dyDescent="0.25">
      <c r="A44" s="28"/>
      <c r="F44" s="42"/>
      <c r="H44" s="3"/>
      <c r="I44" s="3"/>
      <c r="J44" s="3"/>
    </row>
    <row r="45" spans="1:26" x14ac:dyDescent="0.25">
      <c r="A45" s="28" t="s">
        <v>103</v>
      </c>
      <c r="B45" s="8" t="s">
        <v>76</v>
      </c>
      <c r="C45" s="8" t="s">
        <v>77</v>
      </c>
      <c r="D45" s="9" t="s">
        <v>82</v>
      </c>
      <c r="E45" s="9" t="s">
        <v>78</v>
      </c>
      <c r="F45" s="68">
        <f>triangle_start_date</f>
        <v>36892</v>
      </c>
      <c r="G45" s="3">
        <v>1000000</v>
      </c>
      <c r="H45" s="3">
        <v>2000000</v>
      </c>
      <c r="I45" s="3">
        <v>2000000</v>
      </c>
      <c r="J45" s="3">
        <v>2000000</v>
      </c>
      <c r="K45" s="3">
        <v>2000000</v>
      </c>
      <c r="L45" s="3">
        <v>2000000</v>
      </c>
      <c r="M45" s="3">
        <v>2000000</v>
      </c>
      <c r="N45" s="3">
        <v>2000000</v>
      </c>
      <c r="O45" s="3">
        <v>2000000</v>
      </c>
      <c r="P45" s="3">
        <v>2000000</v>
      </c>
      <c r="Q45" s="3">
        <v>2000000</v>
      </c>
      <c r="R45" s="3">
        <v>2000000</v>
      </c>
      <c r="S45" s="3">
        <v>2000000</v>
      </c>
      <c r="T45" s="3">
        <v>2000000</v>
      </c>
      <c r="U45" s="3">
        <v>2000000</v>
      </c>
      <c r="V45" s="3">
        <v>2000000</v>
      </c>
      <c r="W45" s="3">
        <v>2000000</v>
      </c>
      <c r="X45" s="3">
        <v>2000000</v>
      </c>
      <c r="Y45" s="3">
        <v>2000000</v>
      </c>
      <c r="Z45" s="3">
        <v>2000000</v>
      </c>
    </row>
    <row r="46" spans="1:26" x14ac:dyDescent="0.25">
      <c r="A46" s="28" t="s">
        <v>103</v>
      </c>
      <c r="B46" s="8" t="s">
        <v>76</v>
      </c>
      <c r="C46" s="8" t="s">
        <v>77</v>
      </c>
      <c r="D46" s="9" t="s">
        <v>82</v>
      </c>
      <c r="E46" s="9" t="s">
        <v>78</v>
      </c>
      <c r="F46" s="68">
        <f t="shared" ref="F46:F64" si="7">EDATE(F45,12)</f>
        <v>37257</v>
      </c>
      <c r="G46" s="3">
        <v>1000000</v>
      </c>
      <c r="H46" s="3">
        <v>2000000</v>
      </c>
      <c r="I46" s="3">
        <v>2000000</v>
      </c>
      <c r="J46" s="3">
        <v>2000000</v>
      </c>
      <c r="K46" s="3">
        <v>2000000</v>
      </c>
      <c r="L46" s="3">
        <v>2000000</v>
      </c>
      <c r="M46" s="3">
        <v>2000000</v>
      </c>
      <c r="N46" s="3">
        <v>2000000</v>
      </c>
      <c r="O46" s="3">
        <v>2000000</v>
      </c>
      <c r="P46" s="3">
        <v>2000000</v>
      </c>
      <c r="Q46" s="3">
        <v>2000000</v>
      </c>
      <c r="R46" s="3">
        <v>2000000</v>
      </c>
      <c r="S46" s="3">
        <v>2000000</v>
      </c>
      <c r="T46" s="3">
        <v>2000000</v>
      </c>
      <c r="U46" s="3">
        <v>2000000</v>
      </c>
      <c r="V46" s="3">
        <v>2000000</v>
      </c>
      <c r="W46" s="3">
        <v>2000000</v>
      </c>
      <c r="X46" s="3">
        <v>2000000</v>
      </c>
      <c r="Y46" s="3">
        <v>2000000</v>
      </c>
    </row>
    <row r="47" spans="1:26" x14ac:dyDescent="0.25">
      <c r="A47" s="28" t="s">
        <v>103</v>
      </c>
      <c r="B47" s="8" t="s">
        <v>76</v>
      </c>
      <c r="C47" s="8" t="s">
        <v>77</v>
      </c>
      <c r="D47" s="9" t="s">
        <v>82</v>
      </c>
      <c r="E47" s="9" t="s">
        <v>78</v>
      </c>
      <c r="F47" s="68">
        <f t="shared" si="7"/>
        <v>37622</v>
      </c>
      <c r="G47" s="3">
        <v>1000000</v>
      </c>
      <c r="H47" s="3">
        <v>2000000</v>
      </c>
      <c r="I47" s="3">
        <v>2000000</v>
      </c>
      <c r="J47" s="3">
        <v>2000000</v>
      </c>
      <c r="K47" s="3">
        <v>2000000</v>
      </c>
      <c r="L47" s="3">
        <v>2000000</v>
      </c>
      <c r="M47" s="3">
        <v>2000000</v>
      </c>
      <c r="N47" s="3">
        <v>2000000</v>
      </c>
      <c r="O47" s="3">
        <v>2000000</v>
      </c>
      <c r="P47" s="3">
        <v>2000000</v>
      </c>
      <c r="Q47" s="3">
        <v>2000000</v>
      </c>
      <c r="R47" s="3">
        <v>2000000</v>
      </c>
      <c r="S47" s="3">
        <v>2000000</v>
      </c>
      <c r="T47" s="3">
        <v>2000000</v>
      </c>
      <c r="U47" s="3">
        <v>2000000</v>
      </c>
      <c r="V47" s="3">
        <v>2000000</v>
      </c>
      <c r="W47" s="3">
        <v>2000000</v>
      </c>
      <c r="X47" s="3">
        <v>2000000</v>
      </c>
    </row>
    <row r="48" spans="1:26" x14ac:dyDescent="0.25">
      <c r="A48" s="28" t="s">
        <v>103</v>
      </c>
      <c r="B48" s="8" t="s">
        <v>76</v>
      </c>
      <c r="C48" s="8" t="s">
        <v>77</v>
      </c>
      <c r="D48" s="9" t="s">
        <v>82</v>
      </c>
      <c r="E48" s="9" t="s">
        <v>78</v>
      </c>
      <c r="F48" s="68">
        <f t="shared" si="7"/>
        <v>37987</v>
      </c>
      <c r="G48" s="3">
        <v>1000000</v>
      </c>
      <c r="H48" s="3">
        <v>2000000</v>
      </c>
      <c r="I48" s="3">
        <v>2000000</v>
      </c>
      <c r="J48" s="3">
        <v>2000000</v>
      </c>
      <c r="K48" s="3">
        <v>2000000</v>
      </c>
      <c r="L48" s="3">
        <v>2000000</v>
      </c>
      <c r="M48" s="3">
        <v>2000000</v>
      </c>
      <c r="N48" s="3">
        <v>2000000</v>
      </c>
      <c r="O48" s="3">
        <v>2000000</v>
      </c>
      <c r="P48" s="3">
        <v>2000000</v>
      </c>
      <c r="Q48" s="3">
        <v>2000000</v>
      </c>
      <c r="R48" s="3">
        <v>2000000</v>
      </c>
      <c r="S48" s="3">
        <v>2000000</v>
      </c>
      <c r="T48" s="3">
        <v>2000000</v>
      </c>
      <c r="U48" s="3">
        <v>2000000</v>
      </c>
      <c r="V48" s="3">
        <v>2000000</v>
      </c>
      <c r="W48" s="3">
        <v>2000000</v>
      </c>
    </row>
    <row r="49" spans="1:22" x14ac:dyDescent="0.25">
      <c r="A49" s="28" t="s">
        <v>103</v>
      </c>
      <c r="B49" s="8" t="s">
        <v>76</v>
      </c>
      <c r="C49" s="8" t="s">
        <v>77</v>
      </c>
      <c r="D49" s="9" t="s">
        <v>82</v>
      </c>
      <c r="E49" s="9" t="s">
        <v>78</v>
      </c>
      <c r="F49" s="68">
        <f t="shared" si="7"/>
        <v>38353</v>
      </c>
      <c r="G49" s="3">
        <v>1000000</v>
      </c>
      <c r="H49" s="3">
        <v>2000000</v>
      </c>
      <c r="I49" s="3">
        <v>2000000</v>
      </c>
      <c r="J49" s="3">
        <v>2000000</v>
      </c>
      <c r="K49" s="3">
        <v>2000000</v>
      </c>
      <c r="L49" s="3">
        <v>2000000</v>
      </c>
      <c r="M49" s="3">
        <v>2000000</v>
      </c>
      <c r="N49" s="3">
        <v>2000000</v>
      </c>
      <c r="O49" s="3">
        <v>2000000</v>
      </c>
      <c r="P49" s="3">
        <v>2000000</v>
      </c>
      <c r="Q49" s="3">
        <v>2000000</v>
      </c>
      <c r="R49" s="3">
        <v>2000000</v>
      </c>
      <c r="S49" s="3">
        <v>2000000</v>
      </c>
      <c r="T49" s="3">
        <v>2000000</v>
      </c>
      <c r="U49" s="3">
        <v>2000000</v>
      </c>
      <c r="V49" s="3">
        <v>2000000</v>
      </c>
    </row>
    <row r="50" spans="1:22" x14ac:dyDescent="0.25">
      <c r="A50" s="28" t="s">
        <v>103</v>
      </c>
      <c r="B50" s="8" t="s">
        <v>76</v>
      </c>
      <c r="C50" s="8" t="s">
        <v>77</v>
      </c>
      <c r="D50" s="9" t="s">
        <v>82</v>
      </c>
      <c r="E50" s="9" t="s">
        <v>78</v>
      </c>
      <c r="F50" s="68">
        <f t="shared" si="7"/>
        <v>38718</v>
      </c>
      <c r="G50" s="3">
        <v>1000000</v>
      </c>
      <c r="H50" s="3">
        <v>2000000</v>
      </c>
      <c r="I50" s="3">
        <v>2000000</v>
      </c>
      <c r="J50" s="3">
        <v>2000000</v>
      </c>
      <c r="K50" s="3">
        <v>2000000</v>
      </c>
      <c r="L50" s="3">
        <v>2000000</v>
      </c>
      <c r="M50" s="3">
        <v>2000000</v>
      </c>
      <c r="N50" s="3">
        <v>2000000</v>
      </c>
      <c r="O50" s="3">
        <v>2000000</v>
      </c>
      <c r="P50" s="3">
        <v>2000000</v>
      </c>
      <c r="Q50" s="3">
        <v>2000000</v>
      </c>
      <c r="R50" s="3">
        <v>2000000</v>
      </c>
      <c r="S50" s="3">
        <v>2000000</v>
      </c>
      <c r="T50" s="3">
        <v>2000000</v>
      </c>
      <c r="U50" s="3">
        <v>2000000</v>
      </c>
    </row>
    <row r="51" spans="1:22" x14ac:dyDescent="0.25">
      <c r="A51" s="28" t="s">
        <v>103</v>
      </c>
      <c r="B51" s="8" t="s">
        <v>76</v>
      </c>
      <c r="C51" s="8" t="s">
        <v>77</v>
      </c>
      <c r="D51" s="9" t="s">
        <v>82</v>
      </c>
      <c r="E51" s="9" t="s">
        <v>78</v>
      </c>
      <c r="F51" s="68">
        <f t="shared" si="7"/>
        <v>39083</v>
      </c>
      <c r="G51" s="3">
        <v>1000000</v>
      </c>
      <c r="H51" s="3">
        <v>2000000</v>
      </c>
      <c r="I51" s="3">
        <v>2000000</v>
      </c>
      <c r="J51" s="3">
        <v>2000000</v>
      </c>
      <c r="K51" s="3">
        <v>2000000</v>
      </c>
      <c r="L51" s="3">
        <v>2000000</v>
      </c>
      <c r="M51" s="3">
        <v>2000000</v>
      </c>
      <c r="N51" s="3">
        <v>2000000</v>
      </c>
      <c r="O51" s="3">
        <v>2000000</v>
      </c>
      <c r="P51" s="3">
        <v>2000000</v>
      </c>
      <c r="Q51" s="3">
        <v>2000000</v>
      </c>
      <c r="R51" s="3">
        <v>2000000</v>
      </c>
      <c r="S51" s="3">
        <v>2000000</v>
      </c>
      <c r="T51" s="3">
        <v>2000000</v>
      </c>
    </row>
    <row r="52" spans="1:22" x14ac:dyDescent="0.25">
      <c r="A52" s="28" t="s">
        <v>103</v>
      </c>
      <c r="B52" s="8" t="s">
        <v>76</v>
      </c>
      <c r="C52" s="8" t="s">
        <v>77</v>
      </c>
      <c r="D52" s="9" t="s">
        <v>82</v>
      </c>
      <c r="E52" s="9" t="s">
        <v>78</v>
      </c>
      <c r="F52" s="68">
        <f t="shared" si="7"/>
        <v>39448</v>
      </c>
      <c r="G52" s="3">
        <v>1000000</v>
      </c>
      <c r="H52" s="3">
        <v>2000000</v>
      </c>
      <c r="I52" s="3">
        <v>2000000</v>
      </c>
      <c r="J52" s="3">
        <v>2000000</v>
      </c>
      <c r="K52" s="3">
        <v>2000000</v>
      </c>
      <c r="L52" s="3">
        <v>2000000</v>
      </c>
      <c r="M52" s="3">
        <v>2000000</v>
      </c>
      <c r="N52" s="3">
        <v>2000000</v>
      </c>
      <c r="O52" s="3">
        <v>2000000</v>
      </c>
      <c r="P52" s="3">
        <v>2000000</v>
      </c>
      <c r="Q52" s="3">
        <v>2000000</v>
      </c>
      <c r="R52" s="3">
        <v>2000000</v>
      </c>
      <c r="S52" s="3">
        <v>2000000</v>
      </c>
    </row>
    <row r="53" spans="1:22" x14ac:dyDescent="0.25">
      <c r="A53" s="28" t="s">
        <v>103</v>
      </c>
      <c r="B53" s="8" t="s">
        <v>76</v>
      </c>
      <c r="C53" s="8" t="s">
        <v>77</v>
      </c>
      <c r="D53" s="9" t="s">
        <v>82</v>
      </c>
      <c r="E53" s="9" t="s">
        <v>78</v>
      </c>
      <c r="F53" s="68">
        <f t="shared" si="7"/>
        <v>39814</v>
      </c>
      <c r="G53" s="3">
        <v>1000000</v>
      </c>
      <c r="H53" s="3">
        <v>2000000</v>
      </c>
      <c r="I53" s="3">
        <v>2000000</v>
      </c>
      <c r="J53" s="3">
        <v>2000000</v>
      </c>
      <c r="K53" s="3">
        <v>2000000</v>
      </c>
      <c r="L53" s="3">
        <v>2000000</v>
      </c>
      <c r="M53" s="3">
        <v>2000000</v>
      </c>
      <c r="N53" s="3">
        <v>2000000</v>
      </c>
      <c r="O53" s="3">
        <v>2000000</v>
      </c>
      <c r="P53" s="3">
        <v>2000000</v>
      </c>
      <c r="Q53" s="3">
        <v>2000000</v>
      </c>
      <c r="R53" s="3">
        <v>2000000</v>
      </c>
    </row>
    <row r="54" spans="1:22" x14ac:dyDescent="0.25">
      <c r="A54" s="28" t="s">
        <v>103</v>
      </c>
      <c r="B54" s="8" t="s">
        <v>76</v>
      </c>
      <c r="C54" s="8" t="s">
        <v>77</v>
      </c>
      <c r="D54" s="9" t="s">
        <v>82</v>
      </c>
      <c r="E54" s="9" t="s">
        <v>78</v>
      </c>
      <c r="F54" s="68">
        <f t="shared" si="7"/>
        <v>40179</v>
      </c>
      <c r="G54" s="3">
        <v>1000000</v>
      </c>
      <c r="H54" s="3">
        <v>2000000</v>
      </c>
      <c r="I54" s="3">
        <v>2000000</v>
      </c>
      <c r="J54" s="3">
        <v>2000000</v>
      </c>
      <c r="K54" s="3">
        <v>2000000</v>
      </c>
      <c r="L54" s="3">
        <v>2000000</v>
      </c>
      <c r="M54" s="3">
        <v>2000000</v>
      </c>
      <c r="N54" s="3">
        <v>2000000</v>
      </c>
      <c r="O54" s="3">
        <v>2000000</v>
      </c>
      <c r="P54" s="3">
        <v>2000000</v>
      </c>
      <c r="Q54" s="3">
        <v>2000000</v>
      </c>
    </row>
    <row r="55" spans="1:22" x14ac:dyDescent="0.25">
      <c r="A55" s="28" t="s">
        <v>103</v>
      </c>
      <c r="B55" s="8" t="s">
        <v>76</v>
      </c>
      <c r="C55" s="8" t="s">
        <v>77</v>
      </c>
      <c r="D55" s="9" t="s">
        <v>82</v>
      </c>
      <c r="E55" s="9" t="s">
        <v>78</v>
      </c>
      <c r="F55" s="68">
        <f t="shared" si="7"/>
        <v>40544</v>
      </c>
      <c r="G55" s="3">
        <v>1000000</v>
      </c>
      <c r="H55" s="3">
        <v>2000000</v>
      </c>
      <c r="I55" s="3">
        <v>2000000</v>
      </c>
      <c r="J55" s="3">
        <v>2000000</v>
      </c>
      <c r="K55" s="3">
        <v>2000000</v>
      </c>
      <c r="L55" s="3">
        <v>2000000</v>
      </c>
      <c r="M55" s="3">
        <v>2000000</v>
      </c>
      <c r="N55" s="3">
        <v>2000000</v>
      </c>
      <c r="O55" s="3">
        <v>2000000</v>
      </c>
      <c r="P55" s="3">
        <v>2000000</v>
      </c>
    </row>
    <row r="56" spans="1:22" x14ac:dyDescent="0.25">
      <c r="A56" s="28" t="s">
        <v>103</v>
      </c>
      <c r="B56" s="8" t="s">
        <v>76</v>
      </c>
      <c r="C56" s="8" t="s">
        <v>77</v>
      </c>
      <c r="D56" s="9" t="s">
        <v>82</v>
      </c>
      <c r="E56" s="9" t="s">
        <v>78</v>
      </c>
      <c r="F56" s="68">
        <f t="shared" si="7"/>
        <v>40909</v>
      </c>
      <c r="G56" s="3">
        <v>1000000</v>
      </c>
      <c r="H56" s="3">
        <v>2000000</v>
      </c>
      <c r="I56" s="3">
        <v>2000000</v>
      </c>
      <c r="J56" s="3">
        <v>2000000</v>
      </c>
      <c r="K56" s="3">
        <v>2000000</v>
      </c>
      <c r="L56" s="3">
        <v>2000000</v>
      </c>
      <c r="M56" s="3">
        <v>2000000</v>
      </c>
      <c r="N56" s="3">
        <v>2000000</v>
      </c>
      <c r="O56" s="3">
        <v>2000000</v>
      </c>
    </row>
    <row r="57" spans="1:22" x14ac:dyDescent="0.25">
      <c r="A57" s="28" t="s">
        <v>103</v>
      </c>
      <c r="B57" s="8" t="s">
        <v>76</v>
      </c>
      <c r="C57" s="8" t="s">
        <v>77</v>
      </c>
      <c r="D57" s="9" t="s">
        <v>82</v>
      </c>
      <c r="E57" s="9" t="s">
        <v>78</v>
      </c>
      <c r="F57" s="68">
        <f t="shared" si="7"/>
        <v>41275</v>
      </c>
      <c r="G57" s="3">
        <v>1000000</v>
      </c>
      <c r="H57" s="3">
        <v>2000000</v>
      </c>
      <c r="I57" s="3">
        <v>2000000</v>
      </c>
      <c r="J57" s="3">
        <v>2000000</v>
      </c>
      <c r="K57" s="3">
        <v>2000000</v>
      </c>
      <c r="L57" s="3">
        <v>2000000</v>
      </c>
      <c r="M57" s="3">
        <v>2000000</v>
      </c>
      <c r="N57" s="3">
        <v>2000000</v>
      </c>
    </row>
    <row r="58" spans="1:22" x14ac:dyDescent="0.25">
      <c r="A58" s="28" t="s">
        <v>103</v>
      </c>
      <c r="B58" s="8" t="s">
        <v>76</v>
      </c>
      <c r="C58" s="8" t="s">
        <v>77</v>
      </c>
      <c r="D58" s="9" t="s">
        <v>82</v>
      </c>
      <c r="E58" s="9" t="s">
        <v>78</v>
      </c>
      <c r="F58" s="68">
        <f t="shared" si="7"/>
        <v>41640</v>
      </c>
      <c r="G58" s="3">
        <v>1000000</v>
      </c>
      <c r="H58" s="3">
        <v>2000000</v>
      </c>
      <c r="I58" s="3">
        <v>2000000</v>
      </c>
      <c r="J58" s="3">
        <v>2000000</v>
      </c>
      <c r="K58" s="3">
        <v>2000000</v>
      </c>
      <c r="L58" s="3">
        <v>2000000</v>
      </c>
      <c r="M58" s="3">
        <v>2000000</v>
      </c>
    </row>
    <row r="59" spans="1:22" x14ac:dyDescent="0.25">
      <c r="A59" s="28" t="s">
        <v>103</v>
      </c>
      <c r="B59" s="8" t="s">
        <v>76</v>
      </c>
      <c r="C59" s="8" t="s">
        <v>77</v>
      </c>
      <c r="D59" s="9" t="s">
        <v>82</v>
      </c>
      <c r="E59" s="9" t="s">
        <v>78</v>
      </c>
      <c r="F59" s="68">
        <f t="shared" si="7"/>
        <v>42005</v>
      </c>
      <c r="G59" s="3">
        <v>1000000</v>
      </c>
      <c r="H59" s="3">
        <v>2000000</v>
      </c>
      <c r="I59" s="3">
        <v>2000000</v>
      </c>
      <c r="J59" s="3">
        <v>2000000</v>
      </c>
      <c r="K59" s="3">
        <v>2000000</v>
      </c>
      <c r="L59" s="3">
        <v>2000000</v>
      </c>
    </row>
    <row r="60" spans="1:22" x14ac:dyDescent="0.25">
      <c r="A60" s="28" t="s">
        <v>103</v>
      </c>
      <c r="B60" s="8" t="s">
        <v>76</v>
      </c>
      <c r="C60" s="8" t="s">
        <v>77</v>
      </c>
      <c r="D60" s="9" t="s">
        <v>82</v>
      </c>
      <c r="E60" s="9" t="s">
        <v>78</v>
      </c>
      <c r="F60" s="68">
        <f t="shared" si="7"/>
        <v>42370</v>
      </c>
      <c r="G60" s="3">
        <v>1000000</v>
      </c>
      <c r="H60" s="3">
        <v>2000000</v>
      </c>
      <c r="I60" s="3">
        <v>2000000</v>
      </c>
      <c r="J60" s="3">
        <v>2000000</v>
      </c>
      <c r="K60" s="3">
        <v>2000000</v>
      </c>
    </row>
    <row r="61" spans="1:22" x14ac:dyDescent="0.25">
      <c r="A61" s="28" t="s">
        <v>103</v>
      </c>
      <c r="B61" s="8" t="s">
        <v>76</v>
      </c>
      <c r="C61" s="8" t="s">
        <v>77</v>
      </c>
      <c r="D61" s="9" t="s">
        <v>82</v>
      </c>
      <c r="E61" s="9" t="s">
        <v>78</v>
      </c>
      <c r="F61" s="68">
        <f t="shared" si="7"/>
        <v>42736</v>
      </c>
      <c r="G61" s="3">
        <v>1000000</v>
      </c>
      <c r="H61" s="3">
        <v>2000000</v>
      </c>
      <c r="I61" s="3">
        <v>2000000</v>
      </c>
      <c r="J61" s="3">
        <v>2000000</v>
      </c>
    </row>
    <row r="62" spans="1:22" x14ac:dyDescent="0.25">
      <c r="A62" s="28" t="s">
        <v>103</v>
      </c>
      <c r="B62" s="8" t="s">
        <v>76</v>
      </c>
      <c r="C62" s="8" t="s">
        <v>77</v>
      </c>
      <c r="D62" s="9" t="s">
        <v>82</v>
      </c>
      <c r="E62" s="9" t="s">
        <v>78</v>
      </c>
      <c r="F62" s="68">
        <f t="shared" si="7"/>
        <v>43101</v>
      </c>
      <c r="G62" s="3">
        <v>1000000</v>
      </c>
      <c r="H62" s="3">
        <v>2000000</v>
      </c>
      <c r="I62" s="3">
        <v>2000000</v>
      </c>
      <c r="J62" s="3"/>
    </row>
    <row r="63" spans="1:22" x14ac:dyDescent="0.25">
      <c r="A63" s="28" t="s">
        <v>103</v>
      </c>
      <c r="B63" s="8" t="s">
        <v>76</v>
      </c>
      <c r="C63" s="8" t="s">
        <v>77</v>
      </c>
      <c r="D63" s="9" t="s">
        <v>82</v>
      </c>
      <c r="E63" s="9" t="s">
        <v>78</v>
      </c>
      <c r="F63" s="68">
        <f t="shared" si="7"/>
        <v>43466</v>
      </c>
      <c r="G63" s="3">
        <v>1000000</v>
      </c>
      <c r="H63" s="3">
        <v>2000000</v>
      </c>
      <c r="I63" s="3"/>
      <c r="J63" s="3"/>
    </row>
    <row r="64" spans="1:22" x14ac:dyDescent="0.25">
      <c r="A64" s="28" t="s">
        <v>103</v>
      </c>
      <c r="B64" s="8" t="s">
        <v>76</v>
      </c>
      <c r="C64" s="8" t="s">
        <v>77</v>
      </c>
      <c r="D64" s="9" t="s">
        <v>82</v>
      </c>
      <c r="E64" s="9" t="s">
        <v>78</v>
      </c>
      <c r="F64" s="68">
        <f t="shared" si="7"/>
        <v>43831</v>
      </c>
      <c r="G64" s="3">
        <v>1000000</v>
      </c>
      <c r="H64" s="3"/>
      <c r="I64" s="3"/>
      <c r="J64" s="3"/>
    </row>
    <row r="65" spans="1:26" x14ac:dyDescent="0.25">
      <c r="A65" s="28"/>
      <c r="F65" s="42"/>
      <c r="H65" s="3"/>
      <c r="I65" s="3"/>
      <c r="J65" s="3"/>
    </row>
    <row r="66" spans="1:26" x14ac:dyDescent="0.25">
      <c r="A66" s="28" t="s">
        <v>105</v>
      </c>
      <c r="B66" s="8" t="s">
        <v>76</v>
      </c>
      <c r="C66" s="8" t="s">
        <v>77</v>
      </c>
      <c r="D66" s="9" t="s">
        <v>82</v>
      </c>
      <c r="E66" s="9" t="s">
        <v>78</v>
      </c>
      <c r="F66" s="68">
        <f>triangle_start_date</f>
        <v>36892</v>
      </c>
      <c r="G66" s="3">
        <v>1000000</v>
      </c>
      <c r="H66" s="3">
        <v>2000000</v>
      </c>
      <c r="I66" s="3">
        <v>2000000</v>
      </c>
      <c r="J66" s="3">
        <v>2000000</v>
      </c>
      <c r="K66" s="3">
        <v>2000000</v>
      </c>
      <c r="L66" s="3">
        <v>2000000</v>
      </c>
      <c r="M66" s="3">
        <v>2000000</v>
      </c>
      <c r="N66" s="3">
        <v>2000000</v>
      </c>
      <c r="O66" s="3">
        <v>2000000</v>
      </c>
      <c r="P66" s="3">
        <v>2000000</v>
      </c>
      <c r="Q66" s="3">
        <v>2000000</v>
      </c>
      <c r="R66" s="3">
        <v>2000000</v>
      </c>
      <c r="S66" s="3">
        <v>2000000</v>
      </c>
      <c r="T66" s="3">
        <v>2000000</v>
      </c>
      <c r="U66" s="3">
        <v>2000000</v>
      </c>
      <c r="V66" s="3">
        <v>2000000</v>
      </c>
      <c r="W66" s="3">
        <v>2000000</v>
      </c>
      <c r="X66" s="3">
        <v>2000000</v>
      </c>
      <c r="Y66" s="3">
        <v>2000000</v>
      </c>
      <c r="Z66" s="3">
        <v>2000000</v>
      </c>
    </row>
    <row r="67" spans="1:26" x14ac:dyDescent="0.25">
      <c r="A67" s="28" t="s">
        <v>105</v>
      </c>
      <c r="B67" s="8" t="s">
        <v>76</v>
      </c>
      <c r="C67" s="8" t="s">
        <v>77</v>
      </c>
      <c r="D67" s="9" t="s">
        <v>82</v>
      </c>
      <c r="E67" s="9" t="s">
        <v>78</v>
      </c>
      <c r="F67" s="68">
        <f t="shared" ref="F67:F85" si="8">EDATE(F66,12)</f>
        <v>37257</v>
      </c>
      <c r="G67" s="3">
        <v>1000000</v>
      </c>
      <c r="H67" s="3">
        <v>2000000</v>
      </c>
      <c r="I67" s="3">
        <v>2000000</v>
      </c>
      <c r="J67" s="3">
        <v>2000000</v>
      </c>
      <c r="K67" s="3">
        <v>2000000</v>
      </c>
      <c r="L67" s="3">
        <v>2000000</v>
      </c>
      <c r="M67" s="3">
        <v>2000000</v>
      </c>
      <c r="N67" s="3">
        <v>2000000</v>
      </c>
      <c r="O67" s="3">
        <v>2000000</v>
      </c>
      <c r="P67" s="3">
        <v>2000000</v>
      </c>
      <c r="Q67" s="3">
        <v>2000000</v>
      </c>
      <c r="R67" s="3">
        <v>2000000</v>
      </c>
      <c r="S67" s="3">
        <v>2000000</v>
      </c>
      <c r="T67" s="3">
        <v>2000000</v>
      </c>
      <c r="U67" s="3">
        <v>2000000</v>
      </c>
      <c r="V67" s="3">
        <v>2000000</v>
      </c>
      <c r="W67" s="3">
        <v>2000000</v>
      </c>
      <c r="X67" s="3">
        <v>2000000</v>
      </c>
      <c r="Y67" s="3">
        <v>2000000</v>
      </c>
    </row>
    <row r="68" spans="1:26" x14ac:dyDescent="0.25">
      <c r="A68" s="28" t="s">
        <v>105</v>
      </c>
      <c r="B68" s="8" t="s">
        <v>76</v>
      </c>
      <c r="C68" s="8" t="s">
        <v>77</v>
      </c>
      <c r="D68" s="9" t="s">
        <v>82</v>
      </c>
      <c r="E68" s="9" t="s">
        <v>78</v>
      </c>
      <c r="F68" s="68">
        <f t="shared" si="8"/>
        <v>37622</v>
      </c>
      <c r="G68" s="3">
        <v>1000000</v>
      </c>
      <c r="H68" s="3">
        <v>2000000</v>
      </c>
      <c r="I68" s="3">
        <v>2000000</v>
      </c>
      <c r="J68" s="3">
        <v>2000000</v>
      </c>
      <c r="K68" s="3">
        <v>2000000</v>
      </c>
      <c r="L68" s="3">
        <v>2000000</v>
      </c>
      <c r="M68" s="3">
        <v>2000000</v>
      </c>
      <c r="N68" s="3">
        <v>2000000</v>
      </c>
      <c r="O68" s="3">
        <v>2000000</v>
      </c>
      <c r="P68" s="3">
        <v>2000000</v>
      </c>
      <c r="Q68" s="3">
        <v>2000000</v>
      </c>
      <c r="R68" s="3">
        <v>2000000</v>
      </c>
      <c r="S68" s="3">
        <v>2000000</v>
      </c>
      <c r="T68" s="3">
        <v>2000000</v>
      </c>
      <c r="U68" s="3">
        <v>2000000</v>
      </c>
      <c r="V68" s="3">
        <v>2000000</v>
      </c>
      <c r="W68" s="3">
        <v>2000000</v>
      </c>
      <c r="X68" s="3">
        <v>2000000</v>
      </c>
    </row>
    <row r="69" spans="1:26" x14ac:dyDescent="0.25">
      <c r="A69" s="28" t="s">
        <v>105</v>
      </c>
      <c r="B69" s="8" t="s">
        <v>76</v>
      </c>
      <c r="C69" s="8" t="s">
        <v>77</v>
      </c>
      <c r="D69" s="9" t="s">
        <v>82</v>
      </c>
      <c r="E69" s="9" t="s">
        <v>78</v>
      </c>
      <c r="F69" s="68">
        <f t="shared" si="8"/>
        <v>37987</v>
      </c>
      <c r="G69" s="3">
        <v>1000000</v>
      </c>
      <c r="H69" s="3">
        <v>2000000</v>
      </c>
      <c r="I69" s="3">
        <v>2000000</v>
      </c>
      <c r="J69" s="3">
        <v>2000000</v>
      </c>
      <c r="K69" s="3">
        <v>2000000</v>
      </c>
      <c r="L69" s="3">
        <v>2000000</v>
      </c>
      <c r="M69" s="3">
        <v>2000000</v>
      </c>
      <c r="N69" s="3">
        <v>2000000</v>
      </c>
      <c r="O69" s="3">
        <v>2000000</v>
      </c>
      <c r="P69" s="3">
        <v>2000000</v>
      </c>
      <c r="Q69" s="3">
        <v>2000000</v>
      </c>
      <c r="R69" s="3">
        <v>2000000</v>
      </c>
      <c r="S69" s="3">
        <v>2000000</v>
      </c>
      <c r="T69" s="3">
        <v>2000000</v>
      </c>
      <c r="U69" s="3">
        <v>2000000</v>
      </c>
      <c r="V69" s="3">
        <v>2000000</v>
      </c>
      <c r="W69" s="3">
        <v>2000000</v>
      </c>
    </row>
    <row r="70" spans="1:26" x14ac:dyDescent="0.25">
      <c r="A70" s="28" t="s">
        <v>105</v>
      </c>
      <c r="B70" s="8" t="s">
        <v>76</v>
      </c>
      <c r="C70" s="8" t="s">
        <v>77</v>
      </c>
      <c r="D70" s="9" t="s">
        <v>82</v>
      </c>
      <c r="E70" s="9" t="s">
        <v>78</v>
      </c>
      <c r="F70" s="68">
        <f t="shared" si="8"/>
        <v>38353</v>
      </c>
      <c r="G70" s="3">
        <v>1000000</v>
      </c>
      <c r="H70" s="3">
        <v>2000000</v>
      </c>
      <c r="I70" s="3">
        <v>2000000</v>
      </c>
      <c r="J70" s="3">
        <v>2000000</v>
      </c>
      <c r="K70" s="3">
        <v>2000000</v>
      </c>
      <c r="L70" s="3">
        <v>2000000</v>
      </c>
      <c r="M70" s="3">
        <v>2000000</v>
      </c>
      <c r="N70" s="3">
        <v>2000000</v>
      </c>
      <c r="O70" s="3">
        <v>2000000</v>
      </c>
      <c r="P70" s="3">
        <v>2000000</v>
      </c>
      <c r="Q70" s="3">
        <v>2000000</v>
      </c>
      <c r="R70" s="3">
        <v>2000000</v>
      </c>
      <c r="S70" s="3">
        <v>2000000</v>
      </c>
      <c r="T70" s="3">
        <v>2000000</v>
      </c>
      <c r="U70" s="3">
        <v>2000000</v>
      </c>
      <c r="V70" s="3">
        <v>2000000</v>
      </c>
    </row>
    <row r="71" spans="1:26" x14ac:dyDescent="0.25">
      <c r="A71" s="28" t="s">
        <v>105</v>
      </c>
      <c r="B71" s="8" t="s">
        <v>76</v>
      </c>
      <c r="C71" s="8" t="s">
        <v>77</v>
      </c>
      <c r="D71" s="9" t="s">
        <v>82</v>
      </c>
      <c r="E71" s="9" t="s">
        <v>78</v>
      </c>
      <c r="F71" s="68">
        <f t="shared" si="8"/>
        <v>38718</v>
      </c>
      <c r="G71" s="3">
        <v>1000000</v>
      </c>
      <c r="H71" s="3">
        <v>2000000</v>
      </c>
      <c r="I71" s="3">
        <v>2000000</v>
      </c>
      <c r="J71" s="3">
        <v>2000000</v>
      </c>
      <c r="K71" s="3">
        <v>2000000</v>
      </c>
      <c r="L71" s="3">
        <v>2000000</v>
      </c>
      <c r="M71" s="3">
        <v>2000000</v>
      </c>
      <c r="N71" s="3">
        <v>2000000</v>
      </c>
      <c r="O71" s="3">
        <v>2000000</v>
      </c>
      <c r="P71" s="3">
        <v>2000000</v>
      </c>
      <c r="Q71" s="3">
        <v>2000000</v>
      </c>
      <c r="R71" s="3">
        <v>2000000</v>
      </c>
      <c r="S71" s="3">
        <v>2000000</v>
      </c>
      <c r="T71" s="3">
        <v>2000000</v>
      </c>
      <c r="U71" s="3">
        <v>2000000</v>
      </c>
    </row>
    <row r="72" spans="1:26" x14ac:dyDescent="0.25">
      <c r="A72" s="28" t="s">
        <v>105</v>
      </c>
      <c r="B72" s="8" t="s">
        <v>76</v>
      </c>
      <c r="C72" s="8" t="s">
        <v>77</v>
      </c>
      <c r="D72" s="9" t="s">
        <v>82</v>
      </c>
      <c r="E72" s="9" t="s">
        <v>78</v>
      </c>
      <c r="F72" s="68">
        <f t="shared" si="8"/>
        <v>39083</v>
      </c>
      <c r="G72" s="3">
        <v>1000000</v>
      </c>
      <c r="H72" s="3">
        <v>2000000</v>
      </c>
      <c r="I72" s="3">
        <v>2000000</v>
      </c>
      <c r="J72" s="3">
        <v>2000000</v>
      </c>
      <c r="K72" s="3">
        <v>2000000</v>
      </c>
      <c r="L72" s="3">
        <v>2000000</v>
      </c>
      <c r="M72" s="3">
        <v>2000000</v>
      </c>
      <c r="N72" s="3">
        <v>2000000</v>
      </c>
      <c r="O72" s="3">
        <v>2000000</v>
      </c>
      <c r="P72" s="3">
        <v>2000000</v>
      </c>
      <c r="Q72" s="3">
        <v>2000000</v>
      </c>
      <c r="R72" s="3">
        <v>2000000</v>
      </c>
      <c r="S72" s="3">
        <v>2000000</v>
      </c>
      <c r="T72" s="3">
        <v>2000000</v>
      </c>
    </row>
    <row r="73" spans="1:26" x14ac:dyDescent="0.25">
      <c r="A73" s="28" t="s">
        <v>105</v>
      </c>
      <c r="B73" s="8" t="s">
        <v>76</v>
      </c>
      <c r="C73" s="8" t="s">
        <v>77</v>
      </c>
      <c r="D73" s="9" t="s">
        <v>82</v>
      </c>
      <c r="E73" s="9" t="s">
        <v>78</v>
      </c>
      <c r="F73" s="68">
        <f t="shared" si="8"/>
        <v>39448</v>
      </c>
      <c r="G73" s="3">
        <v>1000000</v>
      </c>
      <c r="H73" s="3">
        <v>2000000</v>
      </c>
      <c r="I73" s="3">
        <v>2000000</v>
      </c>
      <c r="J73" s="3">
        <v>2000000</v>
      </c>
      <c r="K73" s="3">
        <v>2000000</v>
      </c>
      <c r="L73" s="3">
        <v>2000000</v>
      </c>
      <c r="M73" s="3">
        <v>2000000</v>
      </c>
      <c r="N73" s="3">
        <v>2000000</v>
      </c>
      <c r="O73" s="3">
        <v>2000000</v>
      </c>
      <c r="P73" s="3">
        <v>2000000</v>
      </c>
      <c r="Q73" s="3">
        <v>2000000</v>
      </c>
      <c r="R73" s="3">
        <v>2000000</v>
      </c>
      <c r="S73" s="3">
        <v>2000000</v>
      </c>
    </row>
    <row r="74" spans="1:26" x14ac:dyDescent="0.25">
      <c r="A74" s="28" t="s">
        <v>105</v>
      </c>
      <c r="B74" s="8" t="s">
        <v>76</v>
      </c>
      <c r="C74" s="8" t="s">
        <v>77</v>
      </c>
      <c r="D74" s="9" t="s">
        <v>82</v>
      </c>
      <c r="E74" s="9" t="s">
        <v>78</v>
      </c>
      <c r="F74" s="68">
        <f t="shared" si="8"/>
        <v>39814</v>
      </c>
      <c r="G74" s="3">
        <v>1000000</v>
      </c>
      <c r="H74" s="3">
        <v>2000000</v>
      </c>
      <c r="I74" s="3">
        <v>2000000</v>
      </c>
      <c r="J74" s="3">
        <v>2000000</v>
      </c>
      <c r="K74" s="3">
        <v>2000000</v>
      </c>
      <c r="L74" s="3">
        <v>2000000</v>
      </c>
      <c r="M74" s="3">
        <v>2000000</v>
      </c>
      <c r="N74" s="3">
        <v>2000000</v>
      </c>
      <c r="O74" s="3">
        <v>2000000</v>
      </c>
      <c r="P74" s="3">
        <v>2000000</v>
      </c>
      <c r="Q74" s="3">
        <v>2000000</v>
      </c>
      <c r="R74" s="3">
        <v>2000000</v>
      </c>
    </row>
    <row r="75" spans="1:26" x14ac:dyDescent="0.25">
      <c r="A75" s="28" t="s">
        <v>105</v>
      </c>
      <c r="B75" s="8" t="s">
        <v>76</v>
      </c>
      <c r="C75" s="8" t="s">
        <v>77</v>
      </c>
      <c r="D75" s="9" t="s">
        <v>82</v>
      </c>
      <c r="E75" s="9" t="s">
        <v>78</v>
      </c>
      <c r="F75" s="68">
        <f t="shared" si="8"/>
        <v>40179</v>
      </c>
      <c r="G75" s="3">
        <v>1000000</v>
      </c>
      <c r="H75" s="3">
        <v>2000000</v>
      </c>
      <c r="I75" s="3">
        <v>2000000</v>
      </c>
      <c r="J75" s="3">
        <v>2000000</v>
      </c>
      <c r="K75" s="3">
        <v>2000000</v>
      </c>
      <c r="L75" s="3">
        <v>2000000</v>
      </c>
      <c r="M75" s="3">
        <v>2000000</v>
      </c>
      <c r="N75" s="3">
        <v>2000000</v>
      </c>
      <c r="O75" s="3">
        <v>2000000</v>
      </c>
      <c r="P75" s="3">
        <v>2000000</v>
      </c>
      <c r="Q75" s="3">
        <v>2000000</v>
      </c>
    </row>
    <row r="76" spans="1:26" x14ac:dyDescent="0.25">
      <c r="A76" s="28" t="s">
        <v>105</v>
      </c>
      <c r="B76" s="8" t="s">
        <v>76</v>
      </c>
      <c r="C76" s="8" t="s">
        <v>77</v>
      </c>
      <c r="D76" s="9" t="s">
        <v>82</v>
      </c>
      <c r="E76" s="9" t="s">
        <v>78</v>
      </c>
      <c r="F76" s="68">
        <f t="shared" si="8"/>
        <v>40544</v>
      </c>
      <c r="G76" s="3">
        <v>1000000</v>
      </c>
      <c r="H76" s="3">
        <v>2000000</v>
      </c>
      <c r="I76" s="3">
        <v>2000000</v>
      </c>
      <c r="J76" s="3">
        <v>2000000</v>
      </c>
      <c r="K76" s="3">
        <v>2000000</v>
      </c>
      <c r="L76" s="3">
        <v>2000000</v>
      </c>
      <c r="M76" s="3">
        <v>2000000</v>
      </c>
      <c r="N76" s="3">
        <v>2000000</v>
      </c>
      <c r="O76" s="3">
        <v>2000000</v>
      </c>
      <c r="P76" s="3">
        <v>2000000</v>
      </c>
    </row>
    <row r="77" spans="1:26" x14ac:dyDescent="0.25">
      <c r="A77" s="28" t="s">
        <v>105</v>
      </c>
      <c r="B77" s="8" t="s">
        <v>76</v>
      </c>
      <c r="C77" s="8" t="s">
        <v>77</v>
      </c>
      <c r="D77" s="9" t="s">
        <v>82</v>
      </c>
      <c r="E77" s="9" t="s">
        <v>78</v>
      </c>
      <c r="F77" s="68">
        <f t="shared" si="8"/>
        <v>40909</v>
      </c>
      <c r="G77" s="3">
        <v>1000000</v>
      </c>
      <c r="H77" s="3">
        <v>2000000</v>
      </c>
      <c r="I77" s="3">
        <v>2000000</v>
      </c>
      <c r="J77" s="3">
        <v>2000000</v>
      </c>
      <c r="K77" s="3">
        <v>2000000</v>
      </c>
      <c r="L77" s="3">
        <v>2000000</v>
      </c>
      <c r="M77" s="3">
        <v>2000000</v>
      </c>
      <c r="N77" s="3">
        <v>2000000</v>
      </c>
      <c r="O77" s="3">
        <v>2000000</v>
      </c>
    </row>
    <row r="78" spans="1:26" x14ac:dyDescent="0.25">
      <c r="A78" s="28" t="s">
        <v>105</v>
      </c>
      <c r="B78" s="8" t="s">
        <v>76</v>
      </c>
      <c r="C78" s="8" t="s">
        <v>77</v>
      </c>
      <c r="D78" s="9" t="s">
        <v>82</v>
      </c>
      <c r="E78" s="9" t="s">
        <v>78</v>
      </c>
      <c r="F78" s="68">
        <f t="shared" si="8"/>
        <v>41275</v>
      </c>
      <c r="G78" s="3">
        <v>1000000</v>
      </c>
      <c r="H78" s="3">
        <v>2000000</v>
      </c>
      <c r="I78" s="3">
        <v>2000000</v>
      </c>
      <c r="J78" s="3">
        <v>2000000</v>
      </c>
      <c r="K78" s="3">
        <v>2000000</v>
      </c>
      <c r="L78" s="3">
        <v>2000000</v>
      </c>
      <c r="M78" s="3">
        <v>2000000</v>
      </c>
      <c r="N78" s="3">
        <v>2000000</v>
      </c>
    </row>
    <row r="79" spans="1:26" x14ac:dyDescent="0.25">
      <c r="A79" s="28" t="s">
        <v>105</v>
      </c>
      <c r="B79" s="8" t="s">
        <v>76</v>
      </c>
      <c r="C79" s="8" t="s">
        <v>77</v>
      </c>
      <c r="D79" s="9" t="s">
        <v>82</v>
      </c>
      <c r="E79" s="9" t="s">
        <v>78</v>
      </c>
      <c r="F79" s="68">
        <f t="shared" si="8"/>
        <v>41640</v>
      </c>
      <c r="G79" s="3">
        <v>1000000</v>
      </c>
      <c r="H79" s="3">
        <v>2000000</v>
      </c>
      <c r="I79" s="3">
        <v>2000000</v>
      </c>
      <c r="J79" s="3">
        <v>2000000</v>
      </c>
      <c r="K79" s="3">
        <v>2000000</v>
      </c>
      <c r="L79" s="3">
        <v>2000000</v>
      </c>
      <c r="M79" s="3">
        <v>2000000</v>
      </c>
    </row>
    <row r="80" spans="1:26" x14ac:dyDescent="0.25">
      <c r="A80" s="28" t="s">
        <v>105</v>
      </c>
      <c r="B80" s="8" t="s">
        <v>76</v>
      </c>
      <c r="C80" s="8" t="s">
        <v>77</v>
      </c>
      <c r="D80" s="9" t="s">
        <v>82</v>
      </c>
      <c r="E80" s="9" t="s">
        <v>78</v>
      </c>
      <c r="F80" s="68">
        <f t="shared" si="8"/>
        <v>42005</v>
      </c>
      <c r="G80" s="3">
        <v>1000000</v>
      </c>
      <c r="H80" s="3">
        <v>2000000</v>
      </c>
      <c r="I80" s="3">
        <v>2000000</v>
      </c>
      <c r="J80" s="3">
        <v>2000000</v>
      </c>
      <c r="K80" s="3">
        <v>2000000</v>
      </c>
      <c r="L80" s="3">
        <v>2000000</v>
      </c>
    </row>
    <row r="81" spans="1:26" x14ac:dyDescent="0.25">
      <c r="A81" s="28" t="s">
        <v>105</v>
      </c>
      <c r="B81" s="8" t="s">
        <v>76</v>
      </c>
      <c r="C81" s="8" t="s">
        <v>77</v>
      </c>
      <c r="D81" s="9" t="s">
        <v>82</v>
      </c>
      <c r="E81" s="9" t="s">
        <v>78</v>
      </c>
      <c r="F81" s="68">
        <f t="shared" si="8"/>
        <v>42370</v>
      </c>
      <c r="G81" s="3">
        <v>1000000</v>
      </c>
      <c r="H81" s="3">
        <v>2000000</v>
      </c>
      <c r="I81" s="3">
        <v>2000000</v>
      </c>
      <c r="J81" s="3">
        <v>2000000</v>
      </c>
      <c r="K81" s="3">
        <v>2000000</v>
      </c>
    </row>
    <row r="82" spans="1:26" x14ac:dyDescent="0.25">
      <c r="A82" s="28" t="s">
        <v>105</v>
      </c>
      <c r="B82" s="8" t="s">
        <v>76</v>
      </c>
      <c r="C82" s="8" t="s">
        <v>77</v>
      </c>
      <c r="D82" s="9" t="s">
        <v>82</v>
      </c>
      <c r="E82" s="9" t="s">
        <v>78</v>
      </c>
      <c r="F82" s="68">
        <f t="shared" si="8"/>
        <v>42736</v>
      </c>
      <c r="G82" s="3">
        <v>1000000</v>
      </c>
      <c r="H82" s="3">
        <v>2000000</v>
      </c>
      <c r="I82" s="3">
        <v>2000000</v>
      </c>
      <c r="J82" s="3">
        <v>2000000</v>
      </c>
    </row>
    <row r="83" spans="1:26" x14ac:dyDescent="0.25">
      <c r="A83" s="28" t="s">
        <v>105</v>
      </c>
      <c r="B83" s="8" t="s">
        <v>76</v>
      </c>
      <c r="C83" s="8" t="s">
        <v>77</v>
      </c>
      <c r="D83" s="9" t="s">
        <v>82</v>
      </c>
      <c r="E83" s="9" t="s">
        <v>78</v>
      </c>
      <c r="F83" s="68">
        <f t="shared" si="8"/>
        <v>43101</v>
      </c>
      <c r="G83" s="3">
        <v>1000000</v>
      </c>
      <c r="H83" s="3">
        <v>2000000</v>
      </c>
      <c r="I83" s="3">
        <v>2000000</v>
      </c>
      <c r="J83" s="3"/>
    </row>
    <row r="84" spans="1:26" x14ac:dyDescent="0.25">
      <c r="A84" s="28" t="s">
        <v>105</v>
      </c>
      <c r="B84" s="8" t="s">
        <v>76</v>
      </c>
      <c r="C84" s="8" t="s">
        <v>77</v>
      </c>
      <c r="D84" s="9" t="s">
        <v>82</v>
      </c>
      <c r="E84" s="9" t="s">
        <v>78</v>
      </c>
      <c r="F84" s="68">
        <f t="shared" si="8"/>
        <v>43466</v>
      </c>
      <c r="G84" s="3">
        <v>1000000</v>
      </c>
      <c r="H84" s="3">
        <v>2000000</v>
      </c>
      <c r="I84" s="3"/>
      <c r="J84" s="3"/>
    </row>
    <row r="85" spans="1:26" x14ac:dyDescent="0.25">
      <c r="A85" s="28" t="s">
        <v>105</v>
      </c>
      <c r="B85" s="8" t="s">
        <v>76</v>
      </c>
      <c r="C85" s="8" t="s">
        <v>77</v>
      </c>
      <c r="D85" s="9" t="s">
        <v>82</v>
      </c>
      <c r="E85" s="9" t="s">
        <v>78</v>
      </c>
      <c r="F85" s="68">
        <f t="shared" si="8"/>
        <v>43831</v>
      </c>
      <c r="G85" s="3">
        <v>1000000</v>
      </c>
      <c r="H85" s="3"/>
      <c r="I85" s="3"/>
      <c r="J85" s="3"/>
    </row>
    <row r="86" spans="1:26" x14ac:dyDescent="0.25">
      <c r="A86" s="28"/>
      <c r="F86" s="4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5">
      <c r="A87" s="28" t="s">
        <v>108</v>
      </c>
      <c r="B87" s="8" t="s">
        <v>76</v>
      </c>
      <c r="C87" s="8" t="s">
        <v>77</v>
      </c>
      <c r="D87" s="9" t="s">
        <v>82</v>
      </c>
      <c r="E87" s="9" t="s">
        <v>78</v>
      </c>
      <c r="F87" s="68">
        <f>triangle_start_date</f>
        <v>36892</v>
      </c>
      <c r="G87" s="3">
        <v>1000000</v>
      </c>
      <c r="H87" s="3">
        <v>2000000</v>
      </c>
      <c r="I87" s="3">
        <v>2000000</v>
      </c>
      <c r="J87" s="3">
        <v>2000000</v>
      </c>
      <c r="K87" s="3">
        <v>2000000</v>
      </c>
      <c r="L87" s="3">
        <v>2000000</v>
      </c>
      <c r="M87" s="3">
        <v>2000000</v>
      </c>
      <c r="N87" s="3">
        <v>2000000</v>
      </c>
      <c r="O87" s="3">
        <v>2000000</v>
      </c>
      <c r="P87" s="3">
        <v>2000000</v>
      </c>
      <c r="Q87" s="3">
        <v>2000000</v>
      </c>
      <c r="R87" s="3">
        <v>2000000</v>
      </c>
      <c r="S87" s="3">
        <v>2000000</v>
      </c>
      <c r="T87" s="3">
        <v>2000000</v>
      </c>
      <c r="U87" s="3">
        <v>2000000</v>
      </c>
      <c r="V87" s="3">
        <v>2000000</v>
      </c>
      <c r="W87" s="3">
        <v>2000000</v>
      </c>
      <c r="X87" s="3">
        <v>2000000</v>
      </c>
      <c r="Y87" s="3">
        <v>2000000</v>
      </c>
      <c r="Z87" s="3">
        <v>2000000</v>
      </c>
    </row>
    <row r="88" spans="1:26" x14ac:dyDescent="0.25">
      <c r="A88" s="28" t="s">
        <v>108</v>
      </c>
      <c r="B88" s="8" t="s">
        <v>76</v>
      </c>
      <c r="C88" s="8" t="s">
        <v>77</v>
      </c>
      <c r="D88" s="9" t="s">
        <v>82</v>
      </c>
      <c r="E88" s="9" t="s">
        <v>78</v>
      </c>
      <c r="F88" s="68">
        <f t="shared" ref="F88:F106" si="9">EDATE(F87,12)</f>
        <v>37257</v>
      </c>
      <c r="G88" s="3">
        <v>1000000</v>
      </c>
      <c r="H88" s="3">
        <v>2000000</v>
      </c>
      <c r="I88" s="3">
        <v>2000000</v>
      </c>
      <c r="J88" s="3">
        <v>2000000</v>
      </c>
      <c r="K88" s="3">
        <v>2000000</v>
      </c>
      <c r="L88" s="3">
        <v>2000000</v>
      </c>
      <c r="M88" s="3">
        <v>2000000</v>
      </c>
      <c r="N88" s="3">
        <v>2000000</v>
      </c>
      <c r="O88" s="3">
        <v>2000000</v>
      </c>
      <c r="P88" s="3">
        <v>2000000</v>
      </c>
      <c r="Q88" s="3">
        <v>2000000</v>
      </c>
      <c r="R88" s="3">
        <v>2000000</v>
      </c>
      <c r="S88" s="3">
        <v>2000000</v>
      </c>
      <c r="T88" s="3">
        <v>2000000</v>
      </c>
      <c r="U88" s="3">
        <v>2000000</v>
      </c>
      <c r="V88" s="3">
        <v>2000000</v>
      </c>
      <c r="W88" s="3">
        <v>2000000</v>
      </c>
      <c r="X88" s="3">
        <v>2000000</v>
      </c>
      <c r="Y88" s="3">
        <v>2000000</v>
      </c>
    </row>
    <row r="89" spans="1:26" x14ac:dyDescent="0.25">
      <c r="A89" s="28" t="s">
        <v>108</v>
      </c>
      <c r="B89" s="8" t="s">
        <v>76</v>
      </c>
      <c r="C89" s="8" t="s">
        <v>77</v>
      </c>
      <c r="D89" s="9" t="s">
        <v>82</v>
      </c>
      <c r="E89" s="9" t="s">
        <v>78</v>
      </c>
      <c r="F89" s="68">
        <f t="shared" si="9"/>
        <v>37622</v>
      </c>
      <c r="G89" s="3">
        <v>1000000</v>
      </c>
      <c r="H89" s="3">
        <v>2000000</v>
      </c>
      <c r="I89" s="3">
        <v>2000000</v>
      </c>
      <c r="J89" s="3">
        <v>2000000</v>
      </c>
      <c r="K89" s="3">
        <v>2000000</v>
      </c>
      <c r="L89" s="3">
        <v>2000000</v>
      </c>
      <c r="M89" s="3">
        <v>2000000</v>
      </c>
      <c r="N89" s="3">
        <v>2000000</v>
      </c>
      <c r="O89" s="3">
        <v>2000000</v>
      </c>
      <c r="P89" s="3">
        <v>2000000</v>
      </c>
      <c r="Q89" s="3">
        <v>2000000</v>
      </c>
      <c r="R89" s="3">
        <v>2000000</v>
      </c>
      <c r="S89" s="3">
        <v>2000000</v>
      </c>
      <c r="T89" s="3">
        <v>2000000</v>
      </c>
      <c r="U89" s="3">
        <v>2000000</v>
      </c>
      <c r="V89" s="3">
        <v>2000000</v>
      </c>
      <c r="W89" s="3">
        <v>2000000</v>
      </c>
      <c r="X89" s="3">
        <v>2000000</v>
      </c>
    </row>
    <row r="90" spans="1:26" x14ac:dyDescent="0.25">
      <c r="A90" s="28" t="s">
        <v>108</v>
      </c>
      <c r="B90" s="8" t="s">
        <v>76</v>
      </c>
      <c r="C90" s="8" t="s">
        <v>77</v>
      </c>
      <c r="D90" s="9" t="s">
        <v>82</v>
      </c>
      <c r="E90" s="9" t="s">
        <v>78</v>
      </c>
      <c r="F90" s="68">
        <f t="shared" si="9"/>
        <v>37987</v>
      </c>
      <c r="G90" s="3">
        <v>1000000</v>
      </c>
      <c r="H90" s="3">
        <v>2000000</v>
      </c>
      <c r="I90" s="3">
        <v>2000000</v>
      </c>
      <c r="J90" s="3">
        <v>2000000</v>
      </c>
      <c r="K90" s="3">
        <v>2000000</v>
      </c>
      <c r="L90" s="3">
        <v>2000000</v>
      </c>
      <c r="M90" s="3">
        <v>2000000</v>
      </c>
      <c r="N90" s="3">
        <v>2000000</v>
      </c>
      <c r="O90" s="3">
        <v>2000000</v>
      </c>
      <c r="P90" s="3">
        <v>2000000</v>
      </c>
      <c r="Q90" s="3">
        <v>2000000</v>
      </c>
      <c r="R90" s="3">
        <v>2000000</v>
      </c>
      <c r="S90" s="3">
        <v>2000000</v>
      </c>
      <c r="T90" s="3">
        <v>2000000</v>
      </c>
      <c r="U90" s="3">
        <v>2000000</v>
      </c>
      <c r="V90" s="3">
        <v>2000000</v>
      </c>
      <c r="W90" s="3">
        <v>2000000</v>
      </c>
    </row>
    <row r="91" spans="1:26" x14ac:dyDescent="0.25">
      <c r="A91" s="28" t="s">
        <v>108</v>
      </c>
      <c r="B91" s="8" t="s">
        <v>76</v>
      </c>
      <c r="C91" s="8" t="s">
        <v>77</v>
      </c>
      <c r="D91" s="9" t="s">
        <v>82</v>
      </c>
      <c r="E91" s="9" t="s">
        <v>78</v>
      </c>
      <c r="F91" s="68">
        <f t="shared" si="9"/>
        <v>38353</v>
      </c>
      <c r="G91" s="3">
        <v>1000000</v>
      </c>
      <c r="H91" s="3">
        <v>2000000</v>
      </c>
      <c r="I91" s="3">
        <v>2000000</v>
      </c>
      <c r="J91" s="3">
        <v>2000000</v>
      </c>
      <c r="K91" s="3">
        <v>2000000</v>
      </c>
      <c r="L91" s="3">
        <v>2000000</v>
      </c>
      <c r="M91" s="3">
        <v>2000000</v>
      </c>
      <c r="N91" s="3">
        <v>2000000</v>
      </c>
      <c r="O91" s="3">
        <v>2000000</v>
      </c>
      <c r="P91" s="3">
        <v>2000000</v>
      </c>
      <c r="Q91" s="3">
        <v>2000000</v>
      </c>
      <c r="R91" s="3">
        <v>2000000</v>
      </c>
      <c r="S91" s="3">
        <v>2000000</v>
      </c>
      <c r="T91" s="3">
        <v>2000000</v>
      </c>
      <c r="U91" s="3">
        <v>2000000</v>
      </c>
      <c r="V91" s="3">
        <v>2000000</v>
      </c>
    </row>
    <row r="92" spans="1:26" x14ac:dyDescent="0.25">
      <c r="A92" s="28" t="s">
        <v>108</v>
      </c>
      <c r="B92" s="8" t="s">
        <v>76</v>
      </c>
      <c r="C92" s="8" t="s">
        <v>77</v>
      </c>
      <c r="D92" s="9" t="s">
        <v>82</v>
      </c>
      <c r="E92" s="9" t="s">
        <v>78</v>
      </c>
      <c r="F92" s="68">
        <f t="shared" si="9"/>
        <v>38718</v>
      </c>
      <c r="G92" s="3">
        <v>1000000</v>
      </c>
      <c r="H92" s="3">
        <v>2000000</v>
      </c>
      <c r="I92" s="3">
        <v>2000000</v>
      </c>
      <c r="J92" s="3">
        <v>2000000</v>
      </c>
      <c r="K92" s="3">
        <v>2000000</v>
      </c>
      <c r="L92" s="3">
        <v>2000000</v>
      </c>
      <c r="M92" s="3">
        <v>2000000</v>
      </c>
      <c r="N92" s="3">
        <v>2000000</v>
      </c>
      <c r="O92" s="3">
        <v>2000000</v>
      </c>
      <c r="P92" s="3">
        <v>2000000</v>
      </c>
      <c r="Q92" s="3">
        <v>2000000</v>
      </c>
      <c r="R92" s="3">
        <v>2000000</v>
      </c>
      <c r="S92" s="3">
        <v>2000000</v>
      </c>
      <c r="T92" s="3">
        <v>2000000</v>
      </c>
      <c r="U92" s="3">
        <v>2000000</v>
      </c>
    </row>
    <row r="93" spans="1:26" x14ac:dyDescent="0.25">
      <c r="A93" s="28" t="s">
        <v>108</v>
      </c>
      <c r="B93" s="8" t="s">
        <v>76</v>
      </c>
      <c r="C93" s="8" t="s">
        <v>77</v>
      </c>
      <c r="D93" s="9" t="s">
        <v>82</v>
      </c>
      <c r="E93" s="9" t="s">
        <v>78</v>
      </c>
      <c r="F93" s="68">
        <f t="shared" si="9"/>
        <v>39083</v>
      </c>
      <c r="G93" s="3">
        <v>1000000</v>
      </c>
      <c r="H93" s="3">
        <v>2000000</v>
      </c>
      <c r="I93" s="3">
        <v>2000000</v>
      </c>
      <c r="J93" s="3">
        <v>2000000</v>
      </c>
      <c r="K93" s="3">
        <v>2000000</v>
      </c>
      <c r="L93" s="3">
        <v>2000000</v>
      </c>
      <c r="M93" s="3">
        <v>2000000</v>
      </c>
      <c r="N93" s="3">
        <v>2000000</v>
      </c>
      <c r="O93" s="3">
        <v>2000000</v>
      </c>
      <c r="P93" s="3">
        <v>2000000</v>
      </c>
      <c r="Q93" s="3">
        <v>2000000</v>
      </c>
      <c r="R93" s="3">
        <v>2000000</v>
      </c>
      <c r="S93" s="3">
        <v>2000000</v>
      </c>
      <c r="T93" s="3">
        <v>2000000</v>
      </c>
    </row>
    <row r="94" spans="1:26" x14ac:dyDescent="0.25">
      <c r="A94" s="28" t="s">
        <v>108</v>
      </c>
      <c r="B94" s="8" t="s">
        <v>76</v>
      </c>
      <c r="C94" s="8" t="s">
        <v>77</v>
      </c>
      <c r="D94" s="9" t="s">
        <v>82</v>
      </c>
      <c r="E94" s="9" t="s">
        <v>78</v>
      </c>
      <c r="F94" s="68">
        <f t="shared" si="9"/>
        <v>39448</v>
      </c>
      <c r="G94" s="3">
        <v>1000000</v>
      </c>
      <c r="H94" s="3">
        <v>2000000</v>
      </c>
      <c r="I94" s="3">
        <v>2000000</v>
      </c>
      <c r="J94" s="3">
        <v>2000000</v>
      </c>
      <c r="K94" s="3">
        <v>2000000</v>
      </c>
      <c r="L94" s="3">
        <v>2000000</v>
      </c>
      <c r="M94" s="3">
        <v>2000000</v>
      </c>
      <c r="N94" s="3">
        <v>2000000</v>
      </c>
      <c r="O94" s="3">
        <v>2000000</v>
      </c>
      <c r="P94" s="3">
        <v>2000000</v>
      </c>
      <c r="Q94" s="3">
        <v>2000000</v>
      </c>
      <c r="R94" s="3">
        <v>2000000</v>
      </c>
      <c r="S94" s="3">
        <v>2000000</v>
      </c>
    </row>
    <row r="95" spans="1:26" x14ac:dyDescent="0.25">
      <c r="A95" s="28" t="s">
        <v>108</v>
      </c>
      <c r="B95" s="8" t="s">
        <v>76</v>
      </c>
      <c r="C95" s="8" t="s">
        <v>77</v>
      </c>
      <c r="D95" s="9" t="s">
        <v>82</v>
      </c>
      <c r="E95" s="9" t="s">
        <v>78</v>
      </c>
      <c r="F95" s="68">
        <f t="shared" si="9"/>
        <v>39814</v>
      </c>
      <c r="G95" s="3">
        <v>1000000</v>
      </c>
      <c r="H95" s="3">
        <v>2000000</v>
      </c>
      <c r="I95" s="3">
        <v>2000000</v>
      </c>
      <c r="J95" s="3">
        <v>2000000</v>
      </c>
      <c r="K95" s="3">
        <v>2000000</v>
      </c>
      <c r="L95" s="3">
        <v>2000000</v>
      </c>
      <c r="M95" s="3">
        <v>2000000</v>
      </c>
      <c r="N95" s="3">
        <v>2000000</v>
      </c>
      <c r="O95" s="3">
        <v>2000000</v>
      </c>
      <c r="P95" s="3">
        <v>2000000</v>
      </c>
      <c r="Q95" s="3">
        <v>2000000</v>
      </c>
      <c r="R95" s="3">
        <v>2000000</v>
      </c>
    </row>
    <row r="96" spans="1:26" x14ac:dyDescent="0.25">
      <c r="A96" s="28" t="s">
        <v>108</v>
      </c>
      <c r="B96" s="8" t="s">
        <v>76</v>
      </c>
      <c r="C96" s="8" t="s">
        <v>77</v>
      </c>
      <c r="D96" s="9" t="s">
        <v>82</v>
      </c>
      <c r="E96" s="9" t="s">
        <v>78</v>
      </c>
      <c r="F96" s="68">
        <f t="shared" si="9"/>
        <v>40179</v>
      </c>
      <c r="G96" s="3">
        <v>1000000</v>
      </c>
      <c r="H96" s="3">
        <v>2000000</v>
      </c>
      <c r="I96" s="3">
        <v>2000000</v>
      </c>
      <c r="J96" s="3">
        <v>2000000</v>
      </c>
      <c r="K96" s="3">
        <v>2000000</v>
      </c>
      <c r="L96" s="3">
        <v>2000000</v>
      </c>
      <c r="M96" s="3">
        <v>2000000</v>
      </c>
      <c r="N96" s="3">
        <v>2000000</v>
      </c>
      <c r="O96" s="3">
        <v>2000000</v>
      </c>
      <c r="P96" s="3">
        <v>2000000</v>
      </c>
      <c r="Q96" s="3">
        <v>2000000</v>
      </c>
    </row>
    <row r="97" spans="1:26" x14ac:dyDescent="0.25">
      <c r="A97" s="28" t="s">
        <v>108</v>
      </c>
      <c r="B97" s="8" t="s">
        <v>76</v>
      </c>
      <c r="C97" s="8" t="s">
        <v>77</v>
      </c>
      <c r="D97" s="9" t="s">
        <v>82</v>
      </c>
      <c r="E97" s="9" t="s">
        <v>78</v>
      </c>
      <c r="F97" s="68">
        <f t="shared" si="9"/>
        <v>40544</v>
      </c>
      <c r="G97" s="3">
        <v>1000000</v>
      </c>
      <c r="H97" s="3">
        <v>2000000</v>
      </c>
      <c r="I97" s="3">
        <v>2000000</v>
      </c>
      <c r="J97" s="3">
        <v>2000000</v>
      </c>
      <c r="K97" s="3">
        <v>2000000</v>
      </c>
      <c r="L97" s="3">
        <v>2000000</v>
      </c>
      <c r="M97" s="3">
        <v>2000000</v>
      </c>
      <c r="N97" s="3">
        <v>2000000</v>
      </c>
      <c r="O97" s="3">
        <v>2000000</v>
      </c>
      <c r="P97" s="3">
        <v>2000000</v>
      </c>
    </row>
    <row r="98" spans="1:26" x14ac:dyDescent="0.25">
      <c r="A98" s="28" t="s">
        <v>108</v>
      </c>
      <c r="B98" s="8" t="s">
        <v>76</v>
      </c>
      <c r="C98" s="8" t="s">
        <v>77</v>
      </c>
      <c r="D98" s="9" t="s">
        <v>82</v>
      </c>
      <c r="E98" s="9" t="s">
        <v>78</v>
      </c>
      <c r="F98" s="68">
        <f t="shared" si="9"/>
        <v>40909</v>
      </c>
      <c r="G98" s="3">
        <v>1000000</v>
      </c>
      <c r="H98" s="3">
        <v>2000000</v>
      </c>
      <c r="I98" s="3">
        <v>2000000</v>
      </c>
      <c r="J98" s="3">
        <v>2000000</v>
      </c>
      <c r="K98" s="3">
        <v>2000000</v>
      </c>
      <c r="L98" s="3">
        <v>2000000</v>
      </c>
      <c r="M98" s="3">
        <v>2000000</v>
      </c>
      <c r="N98" s="3">
        <v>2000000</v>
      </c>
      <c r="O98" s="3">
        <v>2000000</v>
      </c>
    </row>
    <row r="99" spans="1:26" x14ac:dyDescent="0.25">
      <c r="A99" s="28" t="s">
        <v>108</v>
      </c>
      <c r="B99" s="8" t="s">
        <v>76</v>
      </c>
      <c r="C99" s="8" t="s">
        <v>77</v>
      </c>
      <c r="D99" s="9" t="s">
        <v>82</v>
      </c>
      <c r="E99" s="9" t="s">
        <v>78</v>
      </c>
      <c r="F99" s="68">
        <f t="shared" si="9"/>
        <v>41275</v>
      </c>
      <c r="G99" s="3">
        <v>1000000</v>
      </c>
      <c r="H99" s="3">
        <v>2000000</v>
      </c>
      <c r="I99" s="3">
        <v>2000000</v>
      </c>
      <c r="J99" s="3">
        <v>2000000</v>
      </c>
      <c r="K99" s="3">
        <v>2000000</v>
      </c>
      <c r="L99" s="3">
        <v>2000000</v>
      </c>
      <c r="M99" s="3">
        <v>2000000</v>
      </c>
      <c r="N99" s="3">
        <v>2000000</v>
      </c>
    </row>
    <row r="100" spans="1:26" x14ac:dyDescent="0.25">
      <c r="A100" s="28" t="s">
        <v>108</v>
      </c>
      <c r="B100" s="8" t="s">
        <v>76</v>
      </c>
      <c r="C100" s="8" t="s">
        <v>77</v>
      </c>
      <c r="D100" s="9" t="s">
        <v>82</v>
      </c>
      <c r="E100" s="9" t="s">
        <v>78</v>
      </c>
      <c r="F100" s="68">
        <f t="shared" si="9"/>
        <v>41640</v>
      </c>
      <c r="G100" s="3">
        <v>1000000</v>
      </c>
      <c r="H100" s="3">
        <v>2000000</v>
      </c>
      <c r="I100" s="3">
        <v>2000000</v>
      </c>
      <c r="J100" s="3">
        <v>2000000</v>
      </c>
      <c r="K100" s="3">
        <v>2000000</v>
      </c>
      <c r="L100" s="3">
        <v>2000000</v>
      </c>
      <c r="M100" s="3">
        <v>2000000</v>
      </c>
    </row>
    <row r="101" spans="1:26" x14ac:dyDescent="0.25">
      <c r="A101" s="28" t="s">
        <v>108</v>
      </c>
      <c r="B101" s="8" t="s">
        <v>76</v>
      </c>
      <c r="C101" s="8" t="s">
        <v>77</v>
      </c>
      <c r="D101" s="9" t="s">
        <v>82</v>
      </c>
      <c r="E101" s="9" t="s">
        <v>78</v>
      </c>
      <c r="F101" s="68">
        <f t="shared" si="9"/>
        <v>42005</v>
      </c>
      <c r="G101" s="3">
        <v>1000000</v>
      </c>
      <c r="H101" s="3">
        <v>2000000</v>
      </c>
      <c r="I101" s="3">
        <v>2000000</v>
      </c>
      <c r="J101" s="3">
        <v>2000000</v>
      </c>
      <c r="K101" s="3">
        <v>2000000</v>
      </c>
      <c r="L101" s="3">
        <v>2000000</v>
      </c>
    </row>
    <row r="102" spans="1:26" x14ac:dyDescent="0.25">
      <c r="A102" s="28" t="s">
        <v>108</v>
      </c>
      <c r="B102" s="8" t="s">
        <v>76</v>
      </c>
      <c r="C102" s="8" t="s">
        <v>77</v>
      </c>
      <c r="D102" s="9" t="s">
        <v>82</v>
      </c>
      <c r="E102" s="9" t="s">
        <v>78</v>
      </c>
      <c r="F102" s="68">
        <f t="shared" si="9"/>
        <v>42370</v>
      </c>
      <c r="G102" s="3">
        <v>1000000</v>
      </c>
      <c r="H102" s="3">
        <v>2000000</v>
      </c>
      <c r="I102" s="3">
        <v>2000000</v>
      </c>
      <c r="J102" s="3">
        <v>2000000</v>
      </c>
      <c r="K102" s="3">
        <v>2000000</v>
      </c>
    </row>
    <row r="103" spans="1:26" x14ac:dyDescent="0.25">
      <c r="A103" s="28" t="s">
        <v>108</v>
      </c>
      <c r="B103" s="8" t="s">
        <v>76</v>
      </c>
      <c r="C103" s="8" t="s">
        <v>77</v>
      </c>
      <c r="D103" s="9" t="s">
        <v>82</v>
      </c>
      <c r="E103" s="9" t="s">
        <v>78</v>
      </c>
      <c r="F103" s="68">
        <f t="shared" si="9"/>
        <v>42736</v>
      </c>
      <c r="G103" s="3">
        <v>1000000</v>
      </c>
      <c r="H103" s="3">
        <v>2000000</v>
      </c>
      <c r="I103" s="3">
        <v>2000000</v>
      </c>
      <c r="J103" s="3">
        <v>2000000</v>
      </c>
    </row>
    <row r="104" spans="1:26" x14ac:dyDescent="0.25">
      <c r="A104" s="28" t="s">
        <v>108</v>
      </c>
      <c r="B104" s="8" t="s">
        <v>76</v>
      </c>
      <c r="C104" s="8" t="s">
        <v>77</v>
      </c>
      <c r="D104" s="9" t="s">
        <v>82</v>
      </c>
      <c r="E104" s="9" t="s">
        <v>78</v>
      </c>
      <c r="F104" s="68">
        <f t="shared" si="9"/>
        <v>43101</v>
      </c>
      <c r="G104" s="3">
        <v>1000000</v>
      </c>
      <c r="H104" s="3">
        <v>2000000</v>
      </c>
      <c r="I104" s="3">
        <v>2000000</v>
      </c>
      <c r="J104" s="3"/>
    </row>
    <row r="105" spans="1:26" x14ac:dyDescent="0.25">
      <c r="A105" s="28" t="s">
        <v>108</v>
      </c>
      <c r="B105" s="8" t="s">
        <v>76</v>
      </c>
      <c r="C105" s="8" t="s">
        <v>77</v>
      </c>
      <c r="D105" s="9" t="s">
        <v>82</v>
      </c>
      <c r="E105" s="9" t="s">
        <v>78</v>
      </c>
      <c r="F105" s="68">
        <f t="shared" si="9"/>
        <v>43466</v>
      </c>
      <c r="G105" s="3">
        <v>1000000</v>
      </c>
      <c r="H105" s="3">
        <v>2000000</v>
      </c>
      <c r="I105" s="3"/>
      <c r="J105" s="3"/>
    </row>
    <row r="106" spans="1:26" x14ac:dyDescent="0.25">
      <c r="A106" s="28" t="s">
        <v>108</v>
      </c>
      <c r="B106" s="8" t="s">
        <v>76</v>
      </c>
      <c r="C106" s="8" t="s">
        <v>77</v>
      </c>
      <c r="D106" s="9" t="s">
        <v>82</v>
      </c>
      <c r="E106" s="9" t="s">
        <v>78</v>
      </c>
      <c r="F106" s="68">
        <f t="shared" si="9"/>
        <v>43831</v>
      </c>
      <c r="G106" s="3">
        <v>1000000</v>
      </c>
      <c r="H106" s="3"/>
      <c r="I106" s="3"/>
      <c r="J106" s="3"/>
    </row>
    <row r="107" spans="1:26" x14ac:dyDescent="0.25">
      <c r="A107" s="28"/>
      <c r="F107" s="42"/>
      <c r="H107" s="3"/>
      <c r="I107" s="3"/>
      <c r="J107" s="3"/>
    </row>
    <row r="108" spans="1:26" x14ac:dyDescent="0.25">
      <c r="A108" s="28" t="s">
        <v>109</v>
      </c>
      <c r="B108" s="8" t="s">
        <v>76</v>
      </c>
      <c r="C108" s="8" t="s">
        <v>77</v>
      </c>
      <c r="D108" s="9" t="s">
        <v>82</v>
      </c>
      <c r="E108" s="9" t="s">
        <v>78</v>
      </c>
      <c r="F108" s="68">
        <f>triangle_start_date</f>
        <v>36892</v>
      </c>
      <c r="G108" s="3">
        <v>1000000</v>
      </c>
      <c r="H108" s="3">
        <v>2000000</v>
      </c>
      <c r="I108" s="3">
        <v>2000000</v>
      </c>
      <c r="J108" s="3">
        <v>2000000</v>
      </c>
      <c r="K108" s="3">
        <v>2000000</v>
      </c>
      <c r="L108" s="3">
        <v>2000000</v>
      </c>
      <c r="M108" s="3">
        <v>2000000</v>
      </c>
      <c r="N108" s="3">
        <v>2000000</v>
      </c>
      <c r="O108" s="3">
        <v>2000000</v>
      </c>
      <c r="P108" s="3">
        <v>2000000</v>
      </c>
      <c r="Q108" s="3">
        <v>2000000</v>
      </c>
      <c r="R108" s="3">
        <v>2000000</v>
      </c>
      <c r="S108" s="3">
        <v>2000000</v>
      </c>
      <c r="T108" s="3">
        <v>2000000</v>
      </c>
      <c r="U108" s="3">
        <v>2000000</v>
      </c>
      <c r="V108" s="3">
        <v>2000000</v>
      </c>
      <c r="W108" s="3">
        <v>2000000</v>
      </c>
      <c r="X108" s="3">
        <v>2000000</v>
      </c>
      <c r="Y108" s="3">
        <v>2000000</v>
      </c>
      <c r="Z108" s="3">
        <v>2000000</v>
      </c>
    </row>
    <row r="109" spans="1:26" x14ac:dyDescent="0.25">
      <c r="A109" s="28" t="s">
        <v>109</v>
      </c>
      <c r="B109" s="8" t="s">
        <v>76</v>
      </c>
      <c r="C109" s="8" t="s">
        <v>77</v>
      </c>
      <c r="D109" s="9" t="s">
        <v>82</v>
      </c>
      <c r="E109" s="9" t="s">
        <v>78</v>
      </c>
      <c r="F109" s="68">
        <f t="shared" ref="F109:F127" si="10">EDATE(F108,12)</f>
        <v>37257</v>
      </c>
      <c r="G109" s="3">
        <v>1000000</v>
      </c>
      <c r="H109" s="3">
        <v>2000000</v>
      </c>
      <c r="I109" s="3">
        <v>2000000</v>
      </c>
      <c r="J109" s="3">
        <v>2000000</v>
      </c>
      <c r="K109" s="3">
        <v>2000000</v>
      </c>
      <c r="L109" s="3">
        <v>2000000</v>
      </c>
      <c r="M109" s="3">
        <v>2000000</v>
      </c>
      <c r="N109" s="3">
        <v>2000000</v>
      </c>
      <c r="O109" s="3">
        <v>2000000</v>
      </c>
      <c r="P109" s="3">
        <v>2000000</v>
      </c>
      <c r="Q109" s="3">
        <v>2000000</v>
      </c>
      <c r="R109" s="3">
        <v>2000000</v>
      </c>
      <c r="S109" s="3">
        <v>2000000</v>
      </c>
      <c r="T109" s="3">
        <v>2000000</v>
      </c>
      <c r="U109" s="3">
        <v>2000000</v>
      </c>
      <c r="V109" s="3">
        <v>2000000</v>
      </c>
      <c r="W109" s="3">
        <v>2000000</v>
      </c>
      <c r="X109" s="3">
        <v>2000000</v>
      </c>
      <c r="Y109" s="3">
        <v>2000000</v>
      </c>
    </row>
    <row r="110" spans="1:26" x14ac:dyDescent="0.25">
      <c r="A110" s="28" t="s">
        <v>109</v>
      </c>
      <c r="B110" s="8" t="s">
        <v>76</v>
      </c>
      <c r="C110" s="8" t="s">
        <v>77</v>
      </c>
      <c r="D110" s="9" t="s">
        <v>82</v>
      </c>
      <c r="E110" s="9" t="s">
        <v>78</v>
      </c>
      <c r="F110" s="68">
        <f t="shared" si="10"/>
        <v>37622</v>
      </c>
      <c r="G110" s="3">
        <v>1000000</v>
      </c>
      <c r="H110" s="3">
        <v>2000000</v>
      </c>
      <c r="I110" s="3">
        <v>2000000</v>
      </c>
      <c r="J110" s="3">
        <v>2000000</v>
      </c>
      <c r="K110" s="3">
        <v>2000000</v>
      </c>
      <c r="L110" s="3">
        <v>2000000</v>
      </c>
      <c r="M110" s="3">
        <v>2000000</v>
      </c>
      <c r="N110" s="3">
        <v>2000000</v>
      </c>
      <c r="O110" s="3">
        <v>2000000</v>
      </c>
      <c r="P110" s="3">
        <v>2000000</v>
      </c>
      <c r="Q110" s="3">
        <v>2000000</v>
      </c>
      <c r="R110" s="3">
        <v>2000000</v>
      </c>
      <c r="S110" s="3">
        <v>2000000</v>
      </c>
      <c r="T110" s="3">
        <v>2000000</v>
      </c>
      <c r="U110" s="3">
        <v>2000000</v>
      </c>
      <c r="V110" s="3">
        <v>2000000</v>
      </c>
      <c r="W110" s="3">
        <v>2000000</v>
      </c>
      <c r="X110" s="3">
        <v>2000000</v>
      </c>
    </row>
    <row r="111" spans="1:26" x14ac:dyDescent="0.25">
      <c r="A111" s="28" t="s">
        <v>109</v>
      </c>
      <c r="B111" s="8" t="s">
        <v>76</v>
      </c>
      <c r="C111" s="8" t="s">
        <v>77</v>
      </c>
      <c r="D111" s="9" t="s">
        <v>82</v>
      </c>
      <c r="E111" s="9" t="s">
        <v>78</v>
      </c>
      <c r="F111" s="68">
        <f t="shared" si="10"/>
        <v>37987</v>
      </c>
      <c r="G111" s="3">
        <v>1000000</v>
      </c>
      <c r="H111" s="3">
        <v>2000000</v>
      </c>
      <c r="I111" s="3">
        <v>2000000</v>
      </c>
      <c r="J111" s="3">
        <v>2000000</v>
      </c>
      <c r="K111" s="3">
        <v>2000000</v>
      </c>
      <c r="L111" s="3">
        <v>2000000</v>
      </c>
      <c r="M111" s="3">
        <v>2000000</v>
      </c>
      <c r="N111" s="3">
        <v>2000000</v>
      </c>
      <c r="O111" s="3">
        <v>2000000</v>
      </c>
      <c r="P111" s="3">
        <v>2000000</v>
      </c>
      <c r="Q111" s="3">
        <v>2000000</v>
      </c>
      <c r="R111" s="3">
        <v>2000000</v>
      </c>
      <c r="S111" s="3">
        <v>2000000</v>
      </c>
      <c r="T111" s="3">
        <v>2000000</v>
      </c>
      <c r="U111" s="3">
        <v>2000000</v>
      </c>
      <c r="V111" s="3">
        <v>2000000</v>
      </c>
      <c r="W111" s="3">
        <v>2000000</v>
      </c>
    </row>
    <row r="112" spans="1:26" x14ac:dyDescent="0.25">
      <c r="A112" s="28" t="s">
        <v>109</v>
      </c>
      <c r="B112" s="8" t="s">
        <v>76</v>
      </c>
      <c r="C112" s="8" t="s">
        <v>77</v>
      </c>
      <c r="D112" s="9" t="s">
        <v>82</v>
      </c>
      <c r="E112" s="9" t="s">
        <v>78</v>
      </c>
      <c r="F112" s="68">
        <f t="shared" si="10"/>
        <v>38353</v>
      </c>
      <c r="G112" s="3">
        <v>1000000</v>
      </c>
      <c r="H112" s="3">
        <v>2000000</v>
      </c>
      <c r="I112" s="3">
        <v>2000000</v>
      </c>
      <c r="J112" s="3">
        <v>2000000</v>
      </c>
      <c r="K112" s="3">
        <v>2000000</v>
      </c>
      <c r="L112" s="3">
        <v>2000000</v>
      </c>
      <c r="M112" s="3">
        <v>2000000</v>
      </c>
      <c r="N112" s="3">
        <v>2000000</v>
      </c>
      <c r="O112" s="3">
        <v>2000000</v>
      </c>
      <c r="P112" s="3">
        <v>2000000</v>
      </c>
      <c r="Q112" s="3">
        <v>2000000</v>
      </c>
      <c r="R112" s="3">
        <v>2000000</v>
      </c>
      <c r="S112" s="3">
        <v>2000000</v>
      </c>
      <c r="T112" s="3">
        <v>2000000</v>
      </c>
      <c r="U112" s="3">
        <v>2000000</v>
      </c>
      <c r="V112" s="3">
        <v>2000000</v>
      </c>
    </row>
    <row r="113" spans="1:21" x14ac:dyDescent="0.25">
      <c r="A113" s="28" t="s">
        <v>109</v>
      </c>
      <c r="B113" s="8" t="s">
        <v>76</v>
      </c>
      <c r="C113" s="8" t="s">
        <v>77</v>
      </c>
      <c r="D113" s="9" t="s">
        <v>82</v>
      </c>
      <c r="E113" s="9" t="s">
        <v>78</v>
      </c>
      <c r="F113" s="68">
        <f t="shared" si="10"/>
        <v>38718</v>
      </c>
      <c r="G113" s="3">
        <v>1000000</v>
      </c>
      <c r="H113" s="3">
        <v>2000000</v>
      </c>
      <c r="I113" s="3">
        <v>2000000</v>
      </c>
      <c r="J113" s="3">
        <v>2000000</v>
      </c>
      <c r="K113" s="3">
        <v>2000000</v>
      </c>
      <c r="L113" s="3">
        <v>2000000</v>
      </c>
      <c r="M113" s="3">
        <v>2000000</v>
      </c>
      <c r="N113" s="3">
        <v>2000000</v>
      </c>
      <c r="O113" s="3">
        <v>2000000</v>
      </c>
      <c r="P113" s="3">
        <v>2000000</v>
      </c>
      <c r="Q113" s="3">
        <v>2000000</v>
      </c>
      <c r="R113" s="3">
        <v>2000000</v>
      </c>
      <c r="S113" s="3">
        <v>2000000</v>
      </c>
      <c r="T113" s="3">
        <v>2000000</v>
      </c>
      <c r="U113" s="3">
        <v>2000000</v>
      </c>
    </row>
    <row r="114" spans="1:21" x14ac:dyDescent="0.25">
      <c r="A114" s="28" t="s">
        <v>109</v>
      </c>
      <c r="B114" s="8" t="s">
        <v>76</v>
      </c>
      <c r="C114" s="8" t="s">
        <v>77</v>
      </c>
      <c r="D114" s="9" t="s">
        <v>82</v>
      </c>
      <c r="E114" s="9" t="s">
        <v>78</v>
      </c>
      <c r="F114" s="68">
        <f t="shared" si="10"/>
        <v>39083</v>
      </c>
      <c r="G114" s="3">
        <v>1000000</v>
      </c>
      <c r="H114" s="3">
        <v>2000000</v>
      </c>
      <c r="I114" s="3">
        <v>2000000</v>
      </c>
      <c r="J114" s="3">
        <v>2000000</v>
      </c>
      <c r="K114" s="3">
        <v>2000000</v>
      </c>
      <c r="L114" s="3">
        <v>2000000</v>
      </c>
      <c r="M114" s="3">
        <v>2000000</v>
      </c>
      <c r="N114" s="3">
        <v>2000000</v>
      </c>
      <c r="O114" s="3">
        <v>2000000</v>
      </c>
      <c r="P114" s="3">
        <v>2000000</v>
      </c>
      <c r="Q114" s="3">
        <v>2000000</v>
      </c>
      <c r="R114" s="3">
        <v>2000000</v>
      </c>
      <c r="S114" s="3">
        <v>2000000</v>
      </c>
      <c r="T114" s="3">
        <v>2000000</v>
      </c>
    </row>
    <row r="115" spans="1:21" x14ac:dyDescent="0.25">
      <c r="A115" s="28" t="s">
        <v>109</v>
      </c>
      <c r="B115" s="8" t="s">
        <v>76</v>
      </c>
      <c r="C115" s="8" t="s">
        <v>77</v>
      </c>
      <c r="D115" s="9" t="s">
        <v>82</v>
      </c>
      <c r="E115" s="9" t="s">
        <v>78</v>
      </c>
      <c r="F115" s="68">
        <f t="shared" si="10"/>
        <v>39448</v>
      </c>
      <c r="G115" s="3">
        <v>1000000</v>
      </c>
      <c r="H115" s="3">
        <v>2000000</v>
      </c>
      <c r="I115" s="3">
        <v>2000000</v>
      </c>
      <c r="J115" s="3">
        <v>2000000</v>
      </c>
      <c r="K115" s="3">
        <v>2000000</v>
      </c>
      <c r="L115" s="3">
        <v>2000000</v>
      </c>
      <c r="M115" s="3">
        <v>2000000</v>
      </c>
      <c r="N115" s="3">
        <v>2000000</v>
      </c>
      <c r="O115" s="3">
        <v>2000000</v>
      </c>
      <c r="P115" s="3">
        <v>2000000</v>
      </c>
      <c r="Q115" s="3">
        <v>2000000</v>
      </c>
      <c r="R115" s="3">
        <v>2000000</v>
      </c>
      <c r="S115" s="3">
        <v>2000000</v>
      </c>
    </row>
    <row r="116" spans="1:21" x14ac:dyDescent="0.25">
      <c r="A116" s="28" t="s">
        <v>109</v>
      </c>
      <c r="B116" s="8" t="s">
        <v>76</v>
      </c>
      <c r="C116" s="8" t="s">
        <v>77</v>
      </c>
      <c r="D116" s="9" t="s">
        <v>82</v>
      </c>
      <c r="E116" s="9" t="s">
        <v>78</v>
      </c>
      <c r="F116" s="68">
        <f t="shared" si="10"/>
        <v>39814</v>
      </c>
      <c r="G116" s="3">
        <v>1000000</v>
      </c>
      <c r="H116" s="3">
        <v>2000000</v>
      </c>
      <c r="I116" s="3">
        <v>2000000</v>
      </c>
      <c r="J116" s="3">
        <v>2000000</v>
      </c>
      <c r="K116" s="3">
        <v>2000000</v>
      </c>
      <c r="L116" s="3">
        <v>2000000</v>
      </c>
      <c r="M116" s="3">
        <v>2000000</v>
      </c>
      <c r="N116" s="3">
        <v>2000000</v>
      </c>
      <c r="O116" s="3">
        <v>2000000</v>
      </c>
      <c r="P116" s="3">
        <v>2000000</v>
      </c>
      <c r="Q116" s="3">
        <v>2000000</v>
      </c>
      <c r="R116" s="3">
        <v>2000000</v>
      </c>
    </row>
    <row r="117" spans="1:21" x14ac:dyDescent="0.25">
      <c r="A117" s="28" t="s">
        <v>109</v>
      </c>
      <c r="B117" s="8" t="s">
        <v>76</v>
      </c>
      <c r="C117" s="8" t="s">
        <v>77</v>
      </c>
      <c r="D117" s="9" t="s">
        <v>82</v>
      </c>
      <c r="E117" s="9" t="s">
        <v>78</v>
      </c>
      <c r="F117" s="68">
        <f t="shared" si="10"/>
        <v>40179</v>
      </c>
      <c r="G117" s="3">
        <v>1000000</v>
      </c>
      <c r="H117" s="3">
        <v>2000000</v>
      </c>
      <c r="I117" s="3">
        <v>2000000</v>
      </c>
      <c r="J117" s="3">
        <v>2000000</v>
      </c>
      <c r="K117" s="3">
        <v>2000000</v>
      </c>
      <c r="L117" s="3">
        <v>2000000</v>
      </c>
      <c r="M117" s="3">
        <v>2000000</v>
      </c>
      <c r="N117" s="3">
        <v>2000000</v>
      </c>
      <c r="O117" s="3">
        <v>2000000</v>
      </c>
      <c r="P117" s="3">
        <v>2000000</v>
      </c>
      <c r="Q117" s="3">
        <v>2000000</v>
      </c>
    </row>
    <row r="118" spans="1:21" x14ac:dyDescent="0.25">
      <c r="A118" s="28" t="s">
        <v>109</v>
      </c>
      <c r="B118" s="8" t="s">
        <v>76</v>
      </c>
      <c r="C118" s="8" t="s">
        <v>77</v>
      </c>
      <c r="D118" s="9" t="s">
        <v>82</v>
      </c>
      <c r="E118" s="9" t="s">
        <v>78</v>
      </c>
      <c r="F118" s="68">
        <f t="shared" si="10"/>
        <v>40544</v>
      </c>
      <c r="G118" s="3">
        <v>1000000</v>
      </c>
      <c r="H118" s="3">
        <v>2000000</v>
      </c>
      <c r="I118" s="3">
        <v>2000000</v>
      </c>
      <c r="J118" s="3">
        <v>2000000</v>
      </c>
      <c r="K118" s="3">
        <v>2000000</v>
      </c>
      <c r="L118" s="3">
        <v>2000000</v>
      </c>
      <c r="M118" s="3">
        <v>2000000</v>
      </c>
      <c r="N118" s="3">
        <v>2000000</v>
      </c>
      <c r="O118" s="3">
        <v>2000000</v>
      </c>
      <c r="P118" s="3">
        <v>2000000</v>
      </c>
    </row>
    <row r="119" spans="1:21" x14ac:dyDescent="0.25">
      <c r="A119" s="28" t="s">
        <v>109</v>
      </c>
      <c r="B119" s="8" t="s">
        <v>76</v>
      </c>
      <c r="C119" s="8" t="s">
        <v>77</v>
      </c>
      <c r="D119" s="9" t="s">
        <v>82</v>
      </c>
      <c r="E119" s="9" t="s">
        <v>78</v>
      </c>
      <c r="F119" s="68">
        <f t="shared" si="10"/>
        <v>40909</v>
      </c>
      <c r="G119" s="3">
        <v>1000000</v>
      </c>
      <c r="H119" s="3">
        <v>2000000</v>
      </c>
      <c r="I119" s="3">
        <v>2000000</v>
      </c>
      <c r="J119" s="3">
        <v>2000000</v>
      </c>
      <c r="K119" s="3">
        <v>2000000</v>
      </c>
      <c r="L119" s="3">
        <v>2000000</v>
      </c>
      <c r="M119" s="3">
        <v>2000000</v>
      </c>
      <c r="N119" s="3">
        <v>2000000</v>
      </c>
      <c r="O119" s="3">
        <v>2000000</v>
      </c>
    </row>
    <row r="120" spans="1:21" x14ac:dyDescent="0.25">
      <c r="A120" s="28" t="s">
        <v>109</v>
      </c>
      <c r="B120" s="8" t="s">
        <v>76</v>
      </c>
      <c r="C120" s="8" t="s">
        <v>77</v>
      </c>
      <c r="D120" s="9" t="s">
        <v>82</v>
      </c>
      <c r="E120" s="9" t="s">
        <v>78</v>
      </c>
      <c r="F120" s="68">
        <f t="shared" si="10"/>
        <v>41275</v>
      </c>
      <c r="G120" s="3">
        <v>1000000</v>
      </c>
      <c r="H120" s="3">
        <v>2000000</v>
      </c>
      <c r="I120" s="3">
        <v>2000000</v>
      </c>
      <c r="J120" s="3">
        <v>2000000</v>
      </c>
      <c r="K120" s="3">
        <v>2000000</v>
      </c>
      <c r="L120" s="3">
        <v>2000000</v>
      </c>
      <c r="M120" s="3">
        <v>2000000</v>
      </c>
      <c r="N120" s="3">
        <v>2000000</v>
      </c>
    </row>
    <row r="121" spans="1:21" x14ac:dyDescent="0.25">
      <c r="A121" s="28" t="s">
        <v>109</v>
      </c>
      <c r="B121" s="8" t="s">
        <v>76</v>
      </c>
      <c r="C121" s="8" t="s">
        <v>77</v>
      </c>
      <c r="D121" s="9" t="s">
        <v>82</v>
      </c>
      <c r="E121" s="9" t="s">
        <v>78</v>
      </c>
      <c r="F121" s="68">
        <f t="shared" si="10"/>
        <v>41640</v>
      </c>
      <c r="G121" s="3">
        <v>1000000</v>
      </c>
      <c r="H121" s="3">
        <v>2000000</v>
      </c>
      <c r="I121" s="3">
        <v>2000000</v>
      </c>
      <c r="J121" s="3">
        <v>2000000</v>
      </c>
      <c r="K121" s="3">
        <v>2000000</v>
      </c>
      <c r="L121" s="3">
        <v>2000000</v>
      </c>
      <c r="M121" s="3">
        <v>2000000</v>
      </c>
    </row>
    <row r="122" spans="1:21" x14ac:dyDescent="0.25">
      <c r="A122" s="28" t="s">
        <v>109</v>
      </c>
      <c r="B122" s="8" t="s">
        <v>76</v>
      </c>
      <c r="C122" s="8" t="s">
        <v>77</v>
      </c>
      <c r="D122" s="9" t="s">
        <v>82</v>
      </c>
      <c r="E122" s="9" t="s">
        <v>78</v>
      </c>
      <c r="F122" s="68">
        <f t="shared" si="10"/>
        <v>42005</v>
      </c>
      <c r="G122" s="3">
        <v>1000000</v>
      </c>
      <c r="H122" s="3">
        <v>2000000</v>
      </c>
      <c r="I122" s="3">
        <v>2000000</v>
      </c>
      <c r="J122" s="3">
        <v>2000000</v>
      </c>
      <c r="K122" s="3">
        <v>2000000</v>
      </c>
      <c r="L122" s="3">
        <v>2000000</v>
      </c>
    </row>
    <row r="123" spans="1:21" x14ac:dyDescent="0.25">
      <c r="A123" s="28" t="s">
        <v>109</v>
      </c>
      <c r="B123" s="8" t="s">
        <v>76</v>
      </c>
      <c r="C123" s="8" t="s">
        <v>77</v>
      </c>
      <c r="D123" s="9" t="s">
        <v>82</v>
      </c>
      <c r="E123" s="9" t="s">
        <v>78</v>
      </c>
      <c r="F123" s="68">
        <f t="shared" si="10"/>
        <v>42370</v>
      </c>
      <c r="G123" s="3">
        <v>1000000</v>
      </c>
      <c r="H123" s="3">
        <v>2000000</v>
      </c>
      <c r="I123" s="3">
        <v>2000000</v>
      </c>
      <c r="J123" s="3">
        <v>2000000</v>
      </c>
      <c r="K123" s="3">
        <v>2000000</v>
      </c>
    </row>
    <row r="124" spans="1:21" x14ac:dyDescent="0.25">
      <c r="A124" s="28" t="s">
        <v>109</v>
      </c>
      <c r="B124" s="8" t="s">
        <v>76</v>
      </c>
      <c r="C124" s="8" t="s">
        <v>77</v>
      </c>
      <c r="D124" s="9" t="s">
        <v>82</v>
      </c>
      <c r="E124" s="9" t="s">
        <v>78</v>
      </c>
      <c r="F124" s="68">
        <f t="shared" si="10"/>
        <v>42736</v>
      </c>
      <c r="G124" s="3">
        <v>1000000</v>
      </c>
      <c r="H124" s="3">
        <v>2000000</v>
      </c>
      <c r="I124" s="3">
        <v>2000000</v>
      </c>
      <c r="J124" s="3">
        <v>2000000</v>
      </c>
    </row>
    <row r="125" spans="1:21" x14ac:dyDescent="0.25">
      <c r="A125" s="28" t="s">
        <v>109</v>
      </c>
      <c r="B125" s="8" t="s">
        <v>76</v>
      </c>
      <c r="C125" s="8" t="s">
        <v>77</v>
      </c>
      <c r="D125" s="9" t="s">
        <v>82</v>
      </c>
      <c r="E125" s="9" t="s">
        <v>78</v>
      </c>
      <c r="F125" s="68">
        <f t="shared" si="10"/>
        <v>43101</v>
      </c>
      <c r="G125" s="3">
        <v>1000000</v>
      </c>
      <c r="H125" s="3">
        <v>2000000</v>
      </c>
      <c r="I125" s="3">
        <v>2000000</v>
      </c>
      <c r="J125" s="3"/>
    </row>
    <row r="126" spans="1:21" x14ac:dyDescent="0.25">
      <c r="A126" s="28" t="s">
        <v>109</v>
      </c>
      <c r="B126" s="8" t="s">
        <v>76</v>
      </c>
      <c r="C126" s="8" t="s">
        <v>77</v>
      </c>
      <c r="D126" s="9" t="s">
        <v>82</v>
      </c>
      <c r="E126" s="9" t="s">
        <v>78</v>
      </c>
      <c r="F126" s="68">
        <f t="shared" si="10"/>
        <v>43466</v>
      </c>
      <c r="G126" s="3">
        <v>1000000</v>
      </c>
      <c r="H126" s="3">
        <v>2000000</v>
      </c>
      <c r="I126" s="3"/>
      <c r="J126" s="3"/>
    </row>
    <row r="127" spans="1:21" x14ac:dyDescent="0.25">
      <c r="A127" s="28" t="s">
        <v>109</v>
      </c>
      <c r="B127" s="8" t="s">
        <v>76</v>
      </c>
      <c r="C127" s="8" t="s">
        <v>77</v>
      </c>
      <c r="D127" s="9" t="s">
        <v>82</v>
      </c>
      <c r="E127" s="9" t="s">
        <v>78</v>
      </c>
      <c r="F127" s="68">
        <f t="shared" si="10"/>
        <v>43831</v>
      </c>
      <c r="G127" s="3">
        <v>1000000</v>
      </c>
      <c r="H127" s="3"/>
      <c r="I127" s="3"/>
      <c r="J127" s="3"/>
    </row>
    <row r="128" spans="1:21" x14ac:dyDescent="0.25">
      <c r="A128" s="28"/>
      <c r="F128" s="42"/>
      <c r="H128" s="3"/>
      <c r="I128" s="3"/>
      <c r="J128" s="3"/>
    </row>
    <row r="129" spans="1:26" x14ac:dyDescent="0.25">
      <c r="A129" s="28" t="s">
        <v>96</v>
      </c>
      <c r="B129" s="8" t="s">
        <v>80</v>
      </c>
      <c r="C129" s="8" t="s">
        <v>77</v>
      </c>
      <c r="D129" s="9" t="s">
        <v>82</v>
      </c>
      <c r="E129" s="9" t="s">
        <v>78</v>
      </c>
      <c r="F129" s="68">
        <f>triangle_start_date</f>
        <v>36892</v>
      </c>
      <c r="G129" s="3">
        <v>1000000</v>
      </c>
      <c r="H129" s="3">
        <v>2000000</v>
      </c>
      <c r="I129" s="3">
        <v>2000000</v>
      </c>
      <c r="J129" s="3">
        <v>2000000</v>
      </c>
      <c r="K129" s="3">
        <v>2000000</v>
      </c>
      <c r="L129" s="3">
        <v>2000000</v>
      </c>
      <c r="M129" s="3">
        <v>2000000</v>
      </c>
      <c r="N129" s="3">
        <v>2000000</v>
      </c>
      <c r="O129" s="3">
        <v>2000000</v>
      </c>
      <c r="P129" s="3">
        <v>2000000</v>
      </c>
      <c r="Q129" s="3">
        <v>2000000</v>
      </c>
      <c r="R129" s="3">
        <v>2000000</v>
      </c>
      <c r="S129" s="3">
        <v>2000000</v>
      </c>
      <c r="T129" s="3">
        <v>2000000</v>
      </c>
      <c r="U129" s="3">
        <v>2000000</v>
      </c>
      <c r="V129" s="3">
        <v>2000000</v>
      </c>
      <c r="W129" s="3">
        <v>2000000</v>
      </c>
      <c r="X129" s="3">
        <v>2000000</v>
      </c>
      <c r="Y129" s="3">
        <v>2000000</v>
      </c>
      <c r="Z129" s="3">
        <v>2000000</v>
      </c>
    </row>
    <row r="130" spans="1:26" x14ac:dyDescent="0.25">
      <c r="A130" s="28" t="s">
        <v>96</v>
      </c>
      <c r="B130" s="8" t="s">
        <v>80</v>
      </c>
      <c r="C130" s="8" t="s">
        <v>77</v>
      </c>
      <c r="D130" s="9" t="s">
        <v>82</v>
      </c>
      <c r="E130" s="9" t="s">
        <v>78</v>
      </c>
      <c r="F130" s="68">
        <f t="shared" ref="F130:F148" si="11">EDATE(F129,12)</f>
        <v>37257</v>
      </c>
      <c r="G130" s="3">
        <v>1000000</v>
      </c>
      <c r="H130" s="3">
        <v>2000000</v>
      </c>
      <c r="I130" s="3">
        <v>2000000</v>
      </c>
      <c r="J130" s="3">
        <v>2000000</v>
      </c>
      <c r="K130" s="3">
        <v>2000000</v>
      </c>
      <c r="L130" s="3">
        <v>2000000</v>
      </c>
      <c r="M130" s="3">
        <v>2000000</v>
      </c>
      <c r="N130" s="3">
        <v>2000000</v>
      </c>
      <c r="O130" s="3">
        <v>2000000</v>
      </c>
      <c r="P130" s="3">
        <v>2000000</v>
      </c>
      <c r="Q130" s="3">
        <v>2000000</v>
      </c>
      <c r="R130" s="3">
        <v>2000000</v>
      </c>
      <c r="S130" s="3">
        <v>2000000</v>
      </c>
      <c r="T130" s="3">
        <v>2000000</v>
      </c>
      <c r="U130" s="3">
        <v>2000000</v>
      </c>
      <c r="V130" s="3">
        <v>2000000</v>
      </c>
      <c r="W130" s="3">
        <v>2000000</v>
      </c>
      <c r="X130" s="3">
        <v>2000000</v>
      </c>
      <c r="Y130" s="3">
        <v>2000000</v>
      </c>
    </row>
    <row r="131" spans="1:26" x14ac:dyDescent="0.25">
      <c r="A131" s="28" t="s">
        <v>96</v>
      </c>
      <c r="B131" s="8" t="s">
        <v>80</v>
      </c>
      <c r="C131" s="8" t="s">
        <v>77</v>
      </c>
      <c r="D131" s="9" t="s">
        <v>82</v>
      </c>
      <c r="E131" s="9" t="s">
        <v>78</v>
      </c>
      <c r="F131" s="68">
        <f t="shared" si="11"/>
        <v>37622</v>
      </c>
      <c r="G131" s="3">
        <v>1000000</v>
      </c>
      <c r="H131" s="3">
        <v>2000000</v>
      </c>
      <c r="I131" s="3">
        <v>2000000</v>
      </c>
      <c r="J131" s="3">
        <v>2000000</v>
      </c>
      <c r="K131" s="3">
        <v>2000000</v>
      </c>
      <c r="L131" s="3">
        <v>2000000</v>
      </c>
      <c r="M131" s="3">
        <v>2000000</v>
      </c>
      <c r="N131" s="3">
        <v>2000000</v>
      </c>
      <c r="O131" s="3">
        <v>2000000</v>
      </c>
      <c r="P131" s="3">
        <v>2000000</v>
      </c>
      <c r="Q131" s="3">
        <v>2000000</v>
      </c>
      <c r="R131" s="3">
        <v>2000000</v>
      </c>
      <c r="S131" s="3">
        <v>2000000</v>
      </c>
      <c r="T131" s="3">
        <v>2000000</v>
      </c>
      <c r="U131" s="3">
        <v>2000000</v>
      </c>
      <c r="V131" s="3">
        <v>2000000</v>
      </c>
      <c r="W131" s="3">
        <v>2000000</v>
      </c>
      <c r="X131" s="3">
        <v>2000000</v>
      </c>
    </row>
    <row r="132" spans="1:26" x14ac:dyDescent="0.25">
      <c r="A132" s="28" t="s">
        <v>96</v>
      </c>
      <c r="B132" s="8" t="s">
        <v>80</v>
      </c>
      <c r="C132" s="8" t="s">
        <v>77</v>
      </c>
      <c r="D132" s="9" t="s">
        <v>82</v>
      </c>
      <c r="E132" s="9" t="s">
        <v>78</v>
      </c>
      <c r="F132" s="68">
        <f t="shared" si="11"/>
        <v>37987</v>
      </c>
      <c r="G132" s="3">
        <v>1000000</v>
      </c>
      <c r="H132" s="3">
        <v>2000000</v>
      </c>
      <c r="I132" s="3">
        <v>2000000</v>
      </c>
      <c r="J132" s="3">
        <v>2000000</v>
      </c>
      <c r="K132" s="3">
        <v>2000000</v>
      </c>
      <c r="L132" s="3">
        <v>2000000</v>
      </c>
      <c r="M132" s="3">
        <v>2000000</v>
      </c>
      <c r="N132" s="3">
        <v>2000000</v>
      </c>
      <c r="O132" s="3">
        <v>2000000</v>
      </c>
      <c r="P132" s="3">
        <v>2000000</v>
      </c>
      <c r="Q132" s="3">
        <v>2000000</v>
      </c>
      <c r="R132" s="3">
        <v>2000000</v>
      </c>
      <c r="S132" s="3">
        <v>2000000</v>
      </c>
      <c r="T132" s="3">
        <v>2000000</v>
      </c>
      <c r="U132" s="3">
        <v>2000000</v>
      </c>
      <c r="V132" s="3">
        <v>2000000</v>
      </c>
      <c r="W132" s="3">
        <v>2000000</v>
      </c>
    </row>
    <row r="133" spans="1:26" x14ac:dyDescent="0.25">
      <c r="A133" s="28" t="s">
        <v>96</v>
      </c>
      <c r="B133" s="8" t="s">
        <v>80</v>
      </c>
      <c r="C133" s="8" t="s">
        <v>77</v>
      </c>
      <c r="D133" s="9" t="s">
        <v>82</v>
      </c>
      <c r="E133" s="9" t="s">
        <v>78</v>
      </c>
      <c r="F133" s="68">
        <f t="shared" si="11"/>
        <v>38353</v>
      </c>
      <c r="G133" s="3">
        <v>1000000</v>
      </c>
      <c r="H133" s="3">
        <v>2000000</v>
      </c>
      <c r="I133" s="3">
        <v>2000000</v>
      </c>
      <c r="J133" s="3">
        <v>2000000</v>
      </c>
      <c r="K133" s="3">
        <v>2000000</v>
      </c>
      <c r="L133" s="3">
        <v>2000000</v>
      </c>
      <c r="M133" s="3">
        <v>2000000</v>
      </c>
      <c r="N133" s="3">
        <v>2000000</v>
      </c>
      <c r="O133" s="3">
        <v>2000000</v>
      </c>
      <c r="P133" s="3">
        <v>2000000</v>
      </c>
      <c r="Q133" s="3">
        <v>2000000</v>
      </c>
      <c r="R133" s="3">
        <v>2000000</v>
      </c>
      <c r="S133" s="3">
        <v>2000000</v>
      </c>
      <c r="T133" s="3">
        <v>2000000</v>
      </c>
      <c r="U133" s="3">
        <v>2000000</v>
      </c>
      <c r="V133" s="3">
        <v>2000000</v>
      </c>
    </row>
    <row r="134" spans="1:26" x14ac:dyDescent="0.25">
      <c r="A134" s="28" t="s">
        <v>96</v>
      </c>
      <c r="B134" s="8" t="s">
        <v>80</v>
      </c>
      <c r="C134" s="8" t="s">
        <v>77</v>
      </c>
      <c r="D134" s="9" t="s">
        <v>82</v>
      </c>
      <c r="E134" s="9" t="s">
        <v>78</v>
      </c>
      <c r="F134" s="68">
        <f t="shared" si="11"/>
        <v>38718</v>
      </c>
      <c r="G134" s="3">
        <v>1000000</v>
      </c>
      <c r="H134" s="3">
        <v>2000000</v>
      </c>
      <c r="I134" s="3">
        <v>2000000</v>
      </c>
      <c r="J134" s="3">
        <v>2000000</v>
      </c>
      <c r="K134" s="3">
        <v>2000000</v>
      </c>
      <c r="L134" s="3">
        <v>2000000</v>
      </c>
      <c r="M134" s="3">
        <v>2000000</v>
      </c>
      <c r="N134" s="3">
        <v>2000000</v>
      </c>
      <c r="O134" s="3">
        <v>2000000</v>
      </c>
      <c r="P134" s="3">
        <v>2000000</v>
      </c>
      <c r="Q134" s="3">
        <v>2000000</v>
      </c>
      <c r="R134" s="3">
        <v>2000000</v>
      </c>
      <c r="S134" s="3">
        <v>2000000</v>
      </c>
      <c r="T134" s="3">
        <v>2000000</v>
      </c>
      <c r="U134" s="3">
        <v>2000000</v>
      </c>
    </row>
    <row r="135" spans="1:26" x14ac:dyDescent="0.25">
      <c r="A135" s="28" t="s">
        <v>96</v>
      </c>
      <c r="B135" s="8" t="s">
        <v>80</v>
      </c>
      <c r="C135" s="8" t="s">
        <v>77</v>
      </c>
      <c r="D135" s="9" t="s">
        <v>82</v>
      </c>
      <c r="E135" s="9" t="s">
        <v>78</v>
      </c>
      <c r="F135" s="68">
        <f t="shared" si="11"/>
        <v>39083</v>
      </c>
      <c r="G135" s="3">
        <v>1000000</v>
      </c>
      <c r="H135" s="3">
        <v>2000000</v>
      </c>
      <c r="I135" s="3">
        <v>2000000</v>
      </c>
      <c r="J135" s="3">
        <v>2000000</v>
      </c>
      <c r="K135" s="3">
        <v>2000000</v>
      </c>
      <c r="L135" s="3">
        <v>2000000</v>
      </c>
      <c r="M135" s="3">
        <v>2000000</v>
      </c>
      <c r="N135" s="3">
        <v>2000000</v>
      </c>
      <c r="O135" s="3">
        <v>2000000</v>
      </c>
      <c r="P135" s="3">
        <v>2000000</v>
      </c>
      <c r="Q135" s="3">
        <v>2000000</v>
      </c>
      <c r="R135" s="3">
        <v>2000000</v>
      </c>
      <c r="S135" s="3">
        <v>2000000</v>
      </c>
      <c r="T135" s="3">
        <v>2000000</v>
      </c>
    </row>
    <row r="136" spans="1:26" x14ac:dyDescent="0.25">
      <c r="A136" s="28" t="s">
        <v>96</v>
      </c>
      <c r="B136" s="8" t="s">
        <v>80</v>
      </c>
      <c r="C136" s="8" t="s">
        <v>77</v>
      </c>
      <c r="D136" s="9" t="s">
        <v>82</v>
      </c>
      <c r="E136" s="9" t="s">
        <v>78</v>
      </c>
      <c r="F136" s="68">
        <f t="shared" si="11"/>
        <v>39448</v>
      </c>
      <c r="G136" s="3">
        <v>1000000</v>
      </c>
      <c r="H136" s="3">
        <v>2000000</v>
      </c>
      <c r="I136" s="3">
        <v>2000000</v>
      </c>
      <c r="J136" s="3">
        <v>2000000</v>
      </c>
      <c r="K136" s="3">
        <v>2000000</v>
      </c>
      <c r="L136" s="3">
        <v>2000000</v>
      </c>
      <c r="M136" s="3">
        <v>2000000</v>
      </c>
      <c r="N136" s="3">
        <v>2000000</v>
      </c>
      <c r="O136" s="3">
        <v>2000000</v>
      </c>
      <c r="P136" s="3">
        <v>2000000</v>
      </c>
      <c r="Q136" s="3">
        <v>2000000</v>
      </c>
      <c r="R136" s="3">
        <v>2000000</v>
      </c>
      <c r="S136" s="3">
        <v>2000000</v>
      </c>
    </row>
    <row r="137" spans="1:26" x14ac:dyDescent="0.25">
      <c r="A137" s="28" t="s">
        <v>96</v>
      </c>
      <c r="B137" s="8" t="s">
        <v>80</v>
      </c>
      <c r="C137" s="8" t="s">
        <v>77</v>
      </c>
      <c r="D137" s="9" t="s">
        <v>82</v>
      </c>
      <c r="E137" s="9" t="s">
        <v>78</v>
      </c>
      <c r="F137" s="68">
        <f t="shared" si="11"/>
        <v>39814</v>
      </c>
      <c r="G137" s="3">
        <v>1000000</v>
      </c>
      <c r="H137" s="3">
        <v>2000000</v>
      </c>
      <c r="I137" s="3">
        <v>2000000</v>
      </c>
      <c r="J137" s="3">
        <v>2000000</v>
      </c>
      <c r="K137" s="3">
        <v>2000000</v>
      </c>
      <c r="L137" s="3">
        <v>2000000</v>
      </c>
      <c r="M137" s="3">
        <v>2000000</v>
      </c>
      <c r="N137" s="3">
        <v>2000000</v>
      </c>
      <c r="O137" s="3">
        <v>2000000</v>
      </c>
      <c r="P137" s="3">
        <v>2000000</v>
      </c>
      <c r="Q137" s="3">
        <v>2000000</v>
      </c>
      <c r="R137" s="3">
        <v>2000000</v>
      </c>
    </row>
    <row r="138" spans="1:26" x14ac:dyDescent="0.25">
      <c r="A138" s="28" t="s">
        <v>96</v>
      </c>
      <c r="B138" s="8" t="s">
        <v>80</v>
      </c>
      <c r="C138" s="8" t="s">
        <v>77</v>
      </c>
      <c r="D138" s="9" t="s">
        <v>82</v>
      </c>
      <c r="E138" s="9" t="s">
        <v>78</v>
      </c>
      <c r="F138" s="68">
        <f t="shared" si="11"/>
        <v>40179</v>
      </c>
      <c r="G138" s="3">
        <v>1000000</v>
      </c>
      <c r="H138" s="3">
        <v>2000000</v>
      </c>
      <c r="I138" s="3">
        <v>2000000</v>
      </c>
      <c r="J138" s="3">
        <v>2000000</v>
      </c>
      <c r="K138" s="3">
        <v>2000000</v>
      </c>
      <c r="L138" s="3">
        <v>2000000</v>
      </c>
      <c r="M138" s="3">
        <v>2000000</v>
      </c>
      <c r="N138" s="3">
        <v>2000000</v>
      </c>
      <c r="O138" s="3">
        <v>2000000</v>
      </c>
      <c r="P138" s="3">
        <v>2000000</v>
      </c>
      <c r="Q138" s="3">
        <v>2000000</v>
      </c>
    </row>
    <row r="139" spans="1:26" x14ac:dyDescent="0.25">
      <c r="A139" s="28" t="s">
        <v>96</v>
      </c>
      <c r="B139" s="8" t="s">
        <v>80</v>
      </c>
      <c r="C139" s="8" t="s">
        <v>77</v>
      </c>
      <c r="D139" s="9" t="s">
        <v>82</v>
      </c>
      <c r="E139" s="9" t="s">
        <v>78</v>
      </c>
      <c r="F139" s="68">
        <f t="shared" si="11"/>
        <v>40544</v>
      </c>
      <c r="G139" s="3">
        <v>1000000</v>
      </c>
      <c r="H139" s="3">
        <v>2000000</v>
      </c>
      <c r="I139" s="3">
        <v>2000000</v>
      </c>
      <c r="J139" s="3">
        <v>2000000</v>
      </c>
      <c r="K139" s="3">
        <v>2000000</v>
      </c>
      <c r="L139" s="3">
        <v>2000000</v>
      </c>
      <c r="M139" s="3">
        <v>2000000</v>
      </c>
      <c r="N139" s="3">
        <v>2000000</v>
      </c>
      <c r="O139" s="3">
        <v>2000000</v>
      </c>
      <c r="P139" s="3">
        <v>2000000</v>
      </c>
    </row>
    <row r="140" spans="1:26" x14ac:dyDescent="0.25">
      <c r="A140" s="28" t="s">
        <v>96</v>
      </c>
      <c r="B140" s="8" t="s">
        <v>80</v>
      </c>
      <c r="C140" s="8" t="s">
        <v>77</v>
      </c>
      <c r="D140" s="9" t="s">
        <v>82</v>
      </c>
      <c r="E140" s="9" t="s">
        <v>78</v>
      </c>
      <c r="F140" s="68">
        <f t="shared" si="11"/>
        <v>40909</v>
      </c>
      <c r="G140" s="3">
        <v>1000000</v>
      </c>
      <c r="H140" s="3">
        <v>2000000</v>
      </c>
      <c r="I140" s="3">
        <v>2000000</v>
      </c>
      <c r="J140" s="3">
        <v>2000000</v>
      </c>
      <c r="K140" s="3">
        <v>2000000</v>
      </c>
      <c r="L140" s="3">
        <v>2000000</v>
      </c>
      <c r="M140" s="3">
        <v>2000000</v>
      </c>
      <c r="N140" s="3">
        <v>2000000</v>
      </c>
      <c r="O140" s="3">
        <v>2000000</v>
      </c>
    </row>
    <row r="141" spans="1:26" x14ac:dyDescent="0.25">
      <c r="A141" s="28" t="s">
        <v>96</v>
      </c>
      <c r="B141" s="8" t="s">
        <v>80</v>
      </c>
      <c r="C141" s="8" t="s">
        <v>77</v>
      </c>
      <c r="D141" s="9" t="s">
        <v>82</v>
      </c>
      <c r="E141" s="9" t="s">
        <v>78</v>
      </c>
      <c r="F141" s="68">
        <f t="shared" si="11"/>
        <v>41275</v>
      </c>
      <c r="G141" s="3">
        <v>1000000</v>
      </c>
      <c r="H141" s="3">
        <v>2000000</v>
      </c>
      <c r="I141" s="3">
        <v>2000000</v>
      </c>
      <c r="J141" s="3">
        <v>2000000</v>
      </c>
      <c r="K141" s="3">
        <v>2000000</v>
      </c>
      <c r="L141" s="3">
        <v>2000000</v>
      </c>
      <c r="M141" s="3">
        <v>2000000</v>
      </c>
      <c r="N141" s="3">
        <v>2000000</v>
      </c>
    </row>
    <row r="142" spans="1:26" x14ac:dyDescent="0.25">
      <c r="A142" s="28" t="s">
        <v>96</v>
      </c>
      <c r="B142" s="8" t="s">
        <v>80</v>
      </c>
      <c r="C142" s="8" t="s">
        <v>77</v>
      </c>
      <c r="D142" s="9" t="s">
        <v>82</v>
      </c>
      <c r="E142" s="9" t="s">
        <v>78</v>
      </c>
      <c r="F142" s="68">
        <f t="shared" si="11"/>
        <v>41640</v>
      </c>
      <c r="G142" s="3">
        <v>1000000</v>
      </c>
      <c r="H142" s="3">
        <v>2000000</v>
      </c>
      <c r="I142" s="3">
        <v>2000000</v>
      </c>
      <c r="J142" s="3">
        <v>2000000</v>
      </c>
      <c r="K142" s="3">
        <v>2000000</v>
      </c>
      <c r="L142" s="3">
        <v>2000000</v>
      </c>
      <c r="M142" s="3">
        <v>2000000</v>
      </c>
    </row>
    <row r="143" spans="1:26" x14ac:dyDescent="0.25">
      <c r="A143" s="28" t="s">
        <v>96</v>
      </c>
      <c r="B143" s="8" t="s">
        <v>80</v>
      </c>
      <c r="C143" s="8" t="s">
        <v>77</v>
      </c>
      <c r="D143" s="9" t="s">
        <v>82</v>
      </c>
      <c r="E143" s="9" t="s">
        <v>78</v>
      </c>
      <c r="F143" s="68">
        <f t="shared" si="11"/>
        <v>42005</v>
      </c>
      <c r="G143" s="3">
        <v>1000000</v>
      </c>
      <c r="H143" s="3">
        <v>2000000</v>
      </c>
      <c r="I143" s="3">
        <v>2000000</v>
      </c>
      <c r="J143" s="3">
        <v>2000000</v>
      </c>
      <c r="K143" s="3">
        <v>2000000</v>
      </c>
      <c r="L143" s="3">
        <v>2000000</v>
      </c>
    </row>
    <row r="144" spans="1:26" x14ac:dyDescent="0.25">
      <c r="A144" s="28" t="s">
        <v>96</v>
      </c>
      <c r="B144" s="8" t="s">
        <v>80</v>
      </c>
      <c r="C144" s="8" t="s">
        <v>77</v>
      </c>
      <c r="D144" s="9" t="s">
        <v>82</v>
      </c>
      <c r="E144" s="9" t="s">
        <v>78</v>
      </c>
      <c r="F144" s="68">
        <f t="shared" si="11"/>
        <v>42370</v>
      </c>
      <c r="G144" s="3">
        <v>1000000</v>
      </c>
      <c r="H144" s="3">
        <v>2000000</v>
      </c>
      <c r="I144" s="3">
        <v>2000000</v>
      </c>
      <c r="J144" s="3">
        <v>2000000</v>
      </c>
      <c r="K144" s="3">
        <v>2000000</v>
      </c>
    </row>
    <row r="145" spans="1:26" x14ac:dyDescent="0.25">
      <c r="A145" s="28" t="s">
        <v>96</v>
      </c>
      <c r="B145" s="8" t="s">
        <v>80</v>
      </c>
      <c r="C145" s="8" t="s">
        <v>77</v>
      </c>
      <c r="D145" s="9" t="s">
        <v>82</v>
      </c>
      <c r="E145" s="9" t="s">
        <v>78</v>
      </c>
      <c r="F145" s="68">
        <f t="shared" si="11"/>
        <v>42736</v>
      </c>
      <c r="G145" s="3">
        <v>1000000</v>
      </c>
      <c r="H145" s="3">
        <v>2000000</v>
      </c>
      <c r="I145" s="3">
        <v>2000000</v>
      </c>
      <c r="J145" s="3">
        <v>2000000</v>
      </c>
    </row>
    <row r="146" spans="1:26" x14ac:dyDescent="0.25">
      <c r="A146" s="28" t="s">
        <v>96</v>
      </c>
      <c r="B146" s="8" t="s">
        <v>80</v>
      </c>
      <c r="C146" s="8" t="s">
        <v>77</v>
      </c>
      <c r="D146" s="9" t="s">
        <v>82</v>
      </c>
      <c r="E146" s="9" t="s">
        <v>78</v>
      </c>
      <c r="F146" s="68">
        <f t="shared" si="11"/>
        <v>43101</v>
      </c>
      <c r="G146" s="3">
        <v>1000000</v>
      </c>
      <c r="H146" s="3">
        <v>2000000</v>
      </c>
      <c r="I146" s="3">
        <v>2000000</v>
      </c>
      <c r="J146" s="3"/>
    </row>
    <row r="147" spans="1:26" x14ac:dyDescent="0.25">
      <c r="A147" s="28" t="s">
        <v>96</v>
      </c>
      <c r="B147" s="8" t="s">
        <v>80</v>
      </c>
      <c r="C147" s="8" t="s">
        <v>77</v>
      </c>
      <c r="D147" s="9" t="s">
        <v>82</v>
      </c>
      <c r="E147" s="9" t="s">
        <v>78</v>
      </c>
      <c r="F147" s="68">
        <f t="shared" si="11"/>
        <v>43466</v>
      </c>
      <c r="G147" s="3">
        <v>1000000</v>
      </c>
      <c r="H147" s="3">
        <v>2000000</v>
      </c>
      <c r="I147" s="3"/>
      <c r="J147" s="3"/>
    </row>
    <row r="148" spans="1:26" x14ac:dyDescent="0.25">
      <c r="A148" s="28" t="s">
        <v>96</v>
      </c>
      <c r="B148" s="8" t="s">
        <v>80</v>
      </c>
      <c r="C148" s="8" t="s">
        <v>77</v>
      </c>
      <c r="D148" s="9" t="s">
        <v>82</v>
      </c>
      <c r="E148" s="9" t="s">
        <v>78</v>
      </c>
      <c r="F148" s="68">
        <f t="shared" si="11"/>
        <v>43831</v>
      </c>
      <c r="G148" s="3">
        <v>1000000</v>
      </c>
      <c r="H148" s="3"/>
      <c r="I148" s="3"/>
      <c r="J148" s="3"/>
    </row>
    <row r="149" spans="1:26" x14ac:dyDescent="0.25">
      <c r="A149" s="28"/>
      <c r="F149" s="68"/>
      <c r="H149" s="3"/>
      <c r="I149" s="3"/>
      <c r="J149" s="3"/>
    </row>
    <row r="150" spans="1:26" x14ac:dyDescent="0.25">
      <c r="A150" s="28" t="s">
        <v>102</v>
      </c>
      <c r="B150" s="8" t="s">
        <v>80</v>
      </c>
      <c r="C150" s="8" t="s">
        <v>77</v>
      </c>
      <c r="D150" s="9" t="s">
        <v>82</v>
      </c>
      <c r="E150" s="9" t="s">
        <v>78</v>
      </c>
      <c r="F150" s="68">
        <f>triangle_start_date</f>
        <v>36892</v>
      </c>
      <c r="G150" s="3">
        <v>1000000</v>
      </c>
      <c r="H150" s="3">
        <v>2000000</v>
      </c>
      <c r="I150" s="3">
        <v>2000000</v>
      </c>
      <c r="J150" s="3">
        <v>2000000</v>
      </c>
      <c r="K150" s="3">
        <v>2000000</v>
      </c>
      <c r="L150" s="3">
        <v>2000000</v>
      </c>
      <c r="M150" s="3">
        <v>2000000</v>
      </c>
      <c r="N150" s="3">
        <v>2000000</v>
      </c>
      <c r="O150" s="3">
        <v>2000000</v>
      </c>
      <c r="P150" s="3">
        <v>2000000</v>
      </c>
      <c r="Q150" s="3">
        <v>2000000</v>
      </c>
      <c r="R150" s="3">
        <v>2000000</v>
      </c>
      <c r="S150" s="3">
        <v>2000000</v>
      </c>
      <c r="T150" s="3">
        <v>2000000</v>
      </c>
      <c r="U150" s="3">
        <v>2000000</v>
      </c>
      <c r="V150" s="3">
        <v>2000000</v>
      </c>
      <c r="W150" s="3">
        <v>2000000</v>
      </c>
      <c r="X150" s="3">
        <v>2000000</v>
      </c>
      <c r="Y150" s="3">
        <v>2000000</v>
      </c>
      <c r="Z150" s="3">
        <v>2000000</v>
      </c>
    </row>
    <row r="151" spans="1:26" x14ac:dyDescent="0.25">
      <c r="A151" s="28" t="s">
        <v>102</v>
      </c>
      <c r="B151" s="8" t="s">
        <v>80</v>
      </c>
      <c r="C151" s="8" t="s">
        <v>77</v>
      </c>
      <c r="D151" s="9" t="s">
        <v>82</v>
      </c>
      <c r="E151" s="9" t="s">
        <v>78</v>
      </c>
      <c r="F151" s="68">
        <f t="shared" ref="F151:F169" si="12">EDATE(F150,12)</f>
        <v>37257</v>
      </c>
      <c r="G151" s="3">
        <v>1000000</v>
      </c>
      <c r="H151" s="3">
        <v>2000000</v>
      </c>
      <c r="I151" s="3">
        <v>2000000</v>
      </c>
      <c r="J151" s="3">
        <v>2000000</v>
      </c>
      <c r="K151" s="3">
        <v>2000000</v>
      </c>
      <c r="L151" s="3">
        <v>2000000</v>
      </c>
      <c r="M151" s="3">
        <v>2000000</v>
      </c>
      <c r="N151" s="3">
        <v>2000000</v>
      </c>
      <c r="O151" s="3">
        <v>2000000</v>
      </c>
      <c r="P151" s="3">
        <v>2000000</v>
      </c>
      <c r="Q151" s="3">
        <v>2000000</v>
      </c>
      <c r="R151" s="3">
        <v>2000000</v>
      </c>
      <c r="S151" s="3">
        <v>2000000</v>
      </c>
      <c r="T151" s="3">
        <v>2000000</v>
      </c>
      <c r="U151" s="3">
        <v>2000000</v>
      </c>
      <c r="V151" s="3">
        <v>2000000</v>
      </c>
      <c r="W151" s="3">
        <v>2000000</v>
      </c>
      <c r="X151" s="3">
        <v>2000000</v>
      </c>
      <c r="Y151" s="3">
        <v>2000000</v>
      </c>
    </row>
    <row r="152" spans="1:26" x14ac:dyDescent="0.25">
      <c r="A152" s="28" t="s">
        <v>102</v>
      </c>
      <c r="B152" s="8" t="s">
        <v>80</v>
      </c>
      <c r="C152" s="8" t="s">
        <v>77</v>
      </c>
      <c r="D152" s="9" t="s">
        <v>82</v>
      </c>
      <c r="E152" s="9" t="s">
        <v>78</v>
      </c>
      <c r="F152" s="68">
        <f t="shared" si="12"/>
        <v>37622</v>
      </c>
      <c r="G152" s="3">
        <v>1000000</v>
      </c>
      <c r="H152" s="3">
        <v>2000000</v>
      </c>
      <c r="I152" s="3">
        <v>2000000</v>
      </c>
      <c r="J152" s="3">
        <v>2000000</v>
      </c>
      <c r="K152" s="3">
        <v>2000000</v>
      </c>
      <c r="L152" s="3">
        <v>2000000</v>
      </c>
      <c r="M152" s="3">
        <v>2000000</v>
      </c>
      <c r="N152" s="3">
        <v>2000000</v>
      </c>
      <c r="O152" s="3">
        <v>2000000</v>
      </c>
      <c r="P152" s="3">
        <v>2000000</v>
      </c>
      <c r="Q152" s="3">
        <v>2000000</v>
      </c>
      <c r="R152" s="3">
        <v>2000000</v>
      </c>
      <c r="S152" s="3">
        <v>2000000</v>
      </c>
      <c r="T152" s="3">
        <v>2000000</v>
      </c>
      <c r="U152" s="3">
        <v>2000000</v>
      </c>
      <c r="V152" s="3">
        <v>2000000</v>
      </c>
      <c r="W152" s="3">
        <v>2000000</v>
      </c>
      <c r="X152" s="3">
        <v>2000000</v>
      </c>
    </row>
    <row r="153" spans="1:26" x14ac:dyDescent="0.25">
      <c r="A153" s="28" t="s">
        <v>102</v>
      </c>
      <c r="B153" s="8" t="s">
        <v>80</v>
      </c>
      <c r="C153" s="8" t="s">
        <v>77</v>
      </c>
      <c r="D153" s="9" t="s">
        <v>82</v>
      </c>
      <c r="E153" s="9" t="s">
        <v>78</v>
      </c>
      <c r="F153" s="68">
        <f t="shared" si="12"/>
        <v>37987</v>
      </c>
      <c r="G153" s="3">
        <v>1000000</v>
      </c>
      <c r="H153" s="3">
        <v>2000000</v>
      </c>
      <c r="I153" s="3">
        <v>2000000</v>
      </c>
      <c r="J153" s="3">
        <v>2000000</v>
      </c>
      <c r="K153" s="3">
        <v>2000000</v>
      </c>
      <c r="L153" s="3">
        <v>2000000</v>
      </c>
      <c r="M153" s="3">
        <v>2000000</v>
      </c>
      <c r="N153" s="3">
        <v>2000000</v>
      </c>
      <c r="O153" s="3">
        <v>2000000</v>
      </c>
      <c r="P153" s="3">
        <v>2000000</v>
      </c>
      <c r="Q153" s="3">
        <v>2000000</v>
      </c>
      <c r="R153" s="3">
        <v>2000000</v>
      </c>
      <c r="S153" s="3">
        <v>2000000</v>
      </c>
      <c r="T153" s="3">
        <v>2000000</v>
      </c>
      <c r="U153" s="3">
        <v>2000000</v>
      </c>
      <c r="V153" s="3">
        <v>2000000</v>
      </c>
      <c r="W153" s="3">
        <v>2000000</v>
      </c>
    </row>
    <row r="154" spans="1:26" x14ac:dyDescent="0.25">
      <c r="A154" s="28" t="s">
        <v>102</v>
      </c>
      <c r="B154" s="8" t="s">
        <v>80</v>
      </c>
      <c r="C154" s="8" t="s">
        <v>77</v>
      </c>
      <c r="D154" s="9" t="s">
        <v>82</v>
      </c>
      <c r="E154" s="9" t="s">
        <v>78</v>
      </c>
      <c r="F154" s="68">
        <f t="shared" si="12"/>
        <v>38353</v>
      </c>
      <c r="G154" s="3">
        <v>1000000</v>
      </c>
      <c r="H154" s="3">
        <v>2000000</v>
      </c>
      <c r="I154" s="3">
        <v>2000000</v>
      </c>
      <c r="J154" s="3">
        <v>2000000</v>
      </c>
      <c r="K154" s="3">
        <v>2000000</v>
      </c>
      <c r="L154" s="3">
        <v>2000000</v>
      </c>
      <c r="M154" s="3">
        <v>2000000</v>
      </c>
      <c r="N154" s="3">
        <v>2000000</v>
      </c>
      <c r="O154" s="3">
        <v>2000000</v>
      </c>
      <c r="P154" s="3">
        <v>2000000</v>
      </c>
      <c r="Q154" s="3">
        <v>2000000</v>
      </c>
      <c r="R154" s="3">
        <v>2000000</v>
      </c>
      <c r="S154" s="3">
        <v>2000000</v>
      </c>
      <c r="T154" s="3">
        <v>2000000</v>
      </c>
      <c r="U154" s="3">
        <v>2000000</v>
      </c>
      <c r="V154" s="3">
        <v>2000000</v>
      </c>
    </row>
    <row r="155" spans="1:26" x14ac:dyDescent="0.25">
      <c r="A155" s="28" t="s">
        <v>102</v>
      </c>
      <c r="B155" s="8" t="s">
        <v>80</v>
      </c>
      <c r="C155" s="8" t="s">
        <v>77</v>
      </c>
      <c r="D155" s="9" t="s">
        <v>82</v>
      </c>
      <c r="E155" s="9" t="s">
        <v>78</v>
      </c>
      <c r="F155" s="68">
        <f t="shared" si="12"/>
        <v>38718</v>
      </c>
      <c r="G155" s="3">
        <v>1000000</v>
      </c>
      <c r="H155" s="3">
        <v>2000000</v>
      </c>
      <c r="I155" s="3">
        <v>2000000</v>
      </c>
      <c r="J155" s="3">
        <v>2000000</v>
      </c>
      <c r="K155" s="3">
        <v>2000000</v>
      </c>
      <c r="L155" s="3">
        <v>2000000</v>
      </c>
      <c r="M155" s="3">
        <v>2000000</v>
      </c>
      <c r="N155" s="3">
        <v>2000000</v>
      </c>
      <c r="O155" s="3">
        <v>2000000</v>
      </c>
      <c r="P155" s="3">
        <v>2000000</v>
      </c>
      <c r="Q155" s="3">
        <v>2000000</v>
      </c>
      <c r="R155" s="3">
        <v>2000000</v>
      </c>
      <c r="S155" s="3">
        <v>2000000</v>
      </c>
      <c r="T155" s="3">
        <v>2000000</v>
      </c>
      <c r="U155" s="3">
        <v>2000000</v>
      </c>
    </row>
    <row r="156" spans="1:26" x14ac:dyDescent="0.25">
      <c r="A156" s="28" t="s">
        <v>102</v>
      </c>
      <c r="B156" s="8" t="s">
        <v>80</v>
      </c>
      <c r="C156" s="8" t="s">
        <v>77</v>
      </c>
      <c r="D156" s="9" t="s">
        <v>82</v>
      </c>
      <c r="E156" s="9" t="s">
        <v>78</v>
      </c>
      <c r="F156" s="68">
        <f t="shared" si="12"/>
        <v>39083</v>
      </c>
      <c r="G156" s="3">
        <v>1000000</v>
      </c>
      <c r="H156" s="3">
        <v>2000000</v>
      </c>
      <c r="I156" s="3">
        <v>2000000</v>
      </c>
      <c r="J156" s="3">
        <v>2000000</v>
      </c>
      <c r="K156" s="3">
        <v>2000000</v>
      </c>
      <c r="L156" s="3">
        <v>2000000</v>
      </c>
      <c r="M156" s="3">
        <v>2000000</v>
      </c>
      <c r="N156" s="3">
        <v>2000000</v>
      </c>
      <c r="O156" s="3">
        <v>2000000</v>
      </c>
      <c r="P156" s="3">
        <v>2000000</v>
      </c>
      <c r="Q156" s="3">
        <v>2000000</v>
      </c>
      <c r="R156" s="3">
        <v>2000000</v>
      </c>
      <c r="S156" s="3">
        <v>2000000</v>
      </c>
      <c r="T156" s="3">
        <v>2000000</v>
      </c>
    </row>
    <row r="157" spans="1:26" x14ac:dyDescent="0.25">
      <c r="A157" s="28" t="s">
        <v>102</v>
      </c>
      <c r="B157" s="8" t="s">
        <v>80</v>
      </c>
      <c r="C157" s="8" t="s">
        <v>77</v>
      </c>
      <c r="D157" s="9" t="s">
        <v>82</v>
      </c>
      <c r="E157" s="9" t="s">
        <v>78</v>
      </c>
      <c r="F157" s="68">
        <f t="shared" si="12"/>
        <v>39448</v>
      </c>
      <c r="G157" s="3">
        <v>1000000</v>
      </c>
      <c r="H157" s="3">
        <v>2000000</v>
      </c>
      <c r="I157" s="3">
        <v>2000000</v>
      </c>
      <c r="J157" s="3">
        <v>2000000</v>
      </c>
      <c r="K157" s="3">
        <v>2000000</v>
      </c>
      <c r="L157" s="3">
        <v>2000000</v>
      </c>
      <c r="M157" s="3">
        <v>2000000</v>
      </c>
      <c r="N157" s="3">
        <v>2000000</v>
      </c>
      <c r="O157" s="3">
        <v>2000000</v>
      </c>
      <c r="P157" s="3">
        <v>2000000</v>
      </c>
      <c r="Q157" s="3">
        <v>2000000</v>
      </c>
      <c r="R157" s="3">
        <v>2000000</v>
      </c>
      <c r="S157" s="3">
        <v>2000000</v>
      </c>
    </row>
    <row r="158" spans="1:26" x14ac:dyDescent="0.25">
      <c r="A158" s="28" t="s">
        <v>102</v>
      </c>
      <c r="B158" s="8" t="s">
        <v>80</v>
      </c>
      <c r="C158" s="8" t="s">
        <v>77</v>
      </c>
      <c r="D158" s="9" t="s">
        <v>82</v>
      </c>
      <c r="E158" s="9" t="s">
        <v>78</v>
      </c>
      <c r="F158" s="68">
        <f t="shared" si="12"/>
        <v>39814</v>
      </c>
      <c r="G158" s="3">
        <v>1000000</v>
      </c>
      <c r="H158" s="3">
        <v>2000000</v>
      </c>
      <c r="I158" s="3">
        <v>2000000</v>
      </c>
      <c r="J158" s="3">
        <v>2000000</v>
      </c>
      <c r="K158" s="3">
        <v>2000000</v>
      </c>
      <c r="L158" s="3">
        <v>2000000</v>
      </c>
      <c r="M158" s="3">
        <v>2000000</v>
      </c>
      <c r="N158" s="3">
        <v>2000000</v>
      </c>
      <c r="O158" s="3">
        <v>2000000</v>
      </c>
      <c r="P158" s="3">
        <v>2000000</v>
      </c>
      <c r="Q158" s="3">
        <v>2000000</v>
      </c>
      <c r="R158" s="3">
        <v>2000000</v>
      </c>
    </row>
    <row r="159" spans="1:26" x14ac:dyDescent="0.25">
      <c r="A159" s="28" t="s">
        <v>102</v>
      </c>
      <c r="B159" s="8" t="s">
        <v>80</v>
      </c>
      <c r="C159" s="8" t="s">
        <v>77</v>
      </c>
      <c r="D159" s="9" t="s">
        <v>82</v>
      </c>
      <c r="E159" s="9" t="s">
        <v>78</v>
      </c>
      <c r="F159" s="68">
        <f t="shared" si="12"/>
        <v>40179</v>
      </c>
      <c r="G159" s="3">
        <v>1000000</v>
      </c>
      <c r="H159" s="3">
        <v>2000000</v>
      </c>
      <c r="I159" s="3">
        <v>2000000</v>
      </c>
      <c r="J159" s="3">
        <v>2000000</v>
      </c>
      <c r="K159" s="3">
        <v>2000000</v>
      </c>
      <c r="L159" s="3">
        <v>2000000</v>
      </c>
      <c r="M159" s="3">
        <v>2000000</v>
      </c>
      <c r="N159" s="3">
        <v>2000000</v>
      </c>
      <c r="O159" s="3">
        <v>2000000</v>
      </c>
      <c r="P159" s="3">
        <v>2000000</v>
      </c>
      <c r="Q159" s="3">
        <v>2000000</v>
      </c>
    </row>
    <row r="160" spans="1:26" x14ac:dyDescent="0.25">
      <c r="A160" s="28" t="s">
        <v>102</v>
      </c>
      <c r="B160" s="8" t="s">
        <v>80</v>
      </c>
      <c r="C160" s="8" t="s">
        <v>77</v>
      </c>
      <c r="D160" s="9" t="s">
        <v>82</v>
      </c>
      <c r="E160" s="9" t="s">
        <v>78</v>
      </c>
      <c r="F160" s="68">
        <f t="shared" si="12"/>
        <v>40544</v>
      </c>
      <c r="G160" s="3">
        <v>1000000</v>
      </c>
      <c r="H160" s="3">
        <v>2000000</v>
      </c>
      <c r="I160" s="3">
        <v>2000000</v>
      </c>
      <c r="J160" s="3">
        <v>2000000</v>
      </c>
      <c r="K160" s="3">
        <v>2000000</v>
      </c>
      <c r="L160" s="3">
        <v>2000000</v>
      </c>
      <c r="M160" s="3">
        <v>2000000</v>
      </c>
      <c r="N160" s="3">
        <v>2000000</v>
      </c>
      <c r="O160" s="3">
        <v>2000000</v>
      </c>
      <c r="P160" s="3">
        <v>2000000</v>
      </c>
    </row>
    <row r="161" spans="1:26" x14ac:dyDescent="0.25">
      <c r="A161" s="28" t="s">
        <v>102</v>
      </c>
      <c r="B161" s="8" t="s">
        <v>80</v>
      </c>
      <c r="C161" s="8" t="s">
        <v>77</v>
      </c>
      <c r="D161" s="9" t="s">
        <v>82</v>
      </c>
      <c r="E161" s="9" t="s">
        <v>78</v>
      </c>
      <c r="F161" s="68">
        <f t="shared" si="12"/>
        <v>40909</v>
      </c>
      <c r="G161" s="3">
        <v>1000000</v>
      </c>
      <c r="H161" s="3">
        <v>2000000</v>
      </c>
      <c r="I161" s="3">
        <v>2000000</v>
      </c>
      <c r="J161" s="3">
        <v>2000000</v>
      </c>
      <c r="K161" s="3">
        <v>2000000</v>
      </c>
      <c r="L161" s="3">
        <v>2000000</v>
      </c>
      <c r="M161" s="3">
        <v>2000000</v>
      </c>
      <c r="N161" s="3">
        <v>2000000</v>
      </c>
      <c r="O161" s="3">
        <v>2000000</v>
      </c>
    </row>
    <row r="162" spans="1:26" x14ac:dyDescent="0.25">
      <c r="A162" s="28" t="s">
        <v>102</v>
      </c>
      <c r="B162" s="8" t="s">
        <v>80</v>
      </c>
      <c r="C162" s="8" t="s">
        <v>77</v>
      </c>
      <c r="D162" s="9" t="s">
        <v>82</v>
      </c>
      <c r="E162" s="9" t="s">
        <v>78</v>
      </c>
      <c r="F162" s="68">
        <f t="shared" si="12"/>
        <v>41275</v>
      </c>
      <c r="G162" s="3">
        <v>1000000</v>
      </c>
      <c r="H162" s="3">
        <v>2000000</v>
      </c>
      <c r="I162" s="3">
        <v>2000000</v>
      </c>
      <c r="J162" s="3">
        <v>2000000</v>
      </c>
      <c r="K162" s="3">
        <v>2000000</v>
      </c>
      <c r="L162" s="3">
        <v>2000000</v>
      </c>
      <c r="M162" s="3">
        <v>2000000</v>
      </c>
      <c r="N162" s="3">
        <v>2000000</v>
      </c>
    </row>
    <row r="163" spans="1:26" x14ac:dyDescent="0.25">
      <c r="A163" s="28" t="s">
        <v>102</v>
      </c>
      <c r="B163" s="8" t="s">
        <v>80</v>
      </c>
      <c r="C163" s="8" t="s">
        <v>77</v>
      </c>
      <c r="D163" s="9" t="s">
        <v>82</v>
      </c>
      <c r="E163" s="9" t="s">
        <v>78</v>
      </c>
      <c r="F163" s="68">
        <f t="shared" si="12"/>
        <v>41640</v>
      </c>
      <c r="G163" s="3">
        <v>1000000</v>
      </c>
      <c r="H163" s="3">
        <v>2000000</v>
      </c>
      <c r="I163" s="3">
        <v>2000000</v>
      </c>
      <c r="J163" s="3">
        <v>2000000</v>
      </c>
      <c r="K163" s="3">
        <v>2000000</v>
      </c>
      <c r="L163" s="3">
        <v>2000000</v>
      </c>
      <c r="M163" s="3">
        <v>2000000</v>
      </c>
    </row>
    <row r="164" spans="1:26" x14ac:dyDescent="0.25">
      <c r="A164" s="28" t="s">
        <v>102</v>
      </c>
      <c r="B164" s="8" t="s">
        <v>80</v>
      </c>
      <c r="C164" s="8" t="s">
        <v>77</v>
      </c>
      <c r="D164" s="9" t="s">
        <v>82</v>
      </c>
      <c r="E164" s="9" t="s">
        <v>78</v>
      </c>
      <c r="F164" s="68">
        <f t="shared" si="12"/>
        <v>42005</v>
      </c>
      <c r="G164" s="3">
        <v>1000000</v>
      </c>
      <c r="H164" s="3">
        <v>2000000</v>
      </c>
      <c r="I164" s="3">
        <v>2000000</v>
      </c>
      <c r="J164" s="3">
        <v>2000000</v>
      </c>
      <c r="K164" s="3">
        <v>2000000</v>
      </c>
      <c r="L164" s="3">
        <v>2000000</v>
      </c>
    </row>
    <row r="165" spans="1:26" x14ac:dyDescent="0.25">
      <c r="A165" s="28" t="s">
        <v>102</v>
      </c>
      <c r="B165" s="8" t="s">
        <v>80</v>
      </c>
      <c r="C165" s="8" t="s">
        <v>77</v>
      </c>
      <c r="D165" s="9" t="s">
        <v>82</v>
      </c>
      <c r="E165" s="9" t="s">
        <v>78</v>
      </c>
      <c r="F165" s="68">
        <f t="shared" si="12"/>
        <v>42370</v>
      </c>
      <c r="G165" s="3">
        <v>1000000</v>
      </c>
      <c r="H165" s="3">
        <v>2000000</v>
      </c>
      <c r="I165" s="3">
        <v>2000000</v>
      </c>
      <c r="J165" s="3">
        <v>2000000</v>
      </c>
      <c r="K165" s="3">
        <v>2000000</v>
      </c>
    </row>
    <row r="166" spans="1:26" x14ac:dyDescent="0.25">
      <c r="A166" s="28" t="s">
        <v>102</v>
      </c>
      <c r="B166" s="8" t="s">
        <v>80</v>
      </c>
      <c r="C166" s="8" t="s">
        <v>77</v>
      </c>
      <c r="D166" s="9" t="s">
        <v>82</v>
      </c>
      <c r="E166" s="9" t="s">
        <v>78</v>
      </c>
      <c r="F166" s="68">
        <f t="shared" si="12"/>
        <v>42736</v>
      </c>
      <c r="G166" s="3">
        <v>1000000</v>
      </c>
      <c r="H166" s="3">
        <v>2000000</v>
      </c>
      <c r="I166" s="3">
        <v>2000000</v>
      </c>
      <c r="J166" s="3">
        <v>2000000</v>
      </c>
    </row>
    <row r="167" spans="1:26" x14ac:dyDescent="0.25">
      <c r="A167" s="28" t="s">
        <v>102</v>
      </c>
      <c r="B167" s="8" t="s">
        <v>80</v>
      </c>
      <c r="C167" s="8" t="s">
        <v>77</v>
      </c>
      <c r="D167" s="9" t="s">
        <v>82</v>
      </c>
      <c r="E167" s="9" t="s">
        <v>78</v>
      </c>
      <c r="F167" s="68">
        <f t="shared" si="12"/>
        <v>43101</v>
      </c>
      <c r="G167" s="3">
        <v>1000000</v>
      </c>
      <c r="H167" s="3">
        <v>2000000</v>
      </c>
      <c r="I167" s="3">
        <v>2000000</v>
      </c>
      <c r="J167" s="3"/>
    </row>
    <row r="168" spans="1:26" x14ac:dyDescent="0.25">
      <c r="A168" s="28" t="s">
        <v>102</v>
      </c>
      <c r="B168" s="8" t="s">
        <v>80</v>
      </c>
      <c r="C168" s="8" t="s">
        <v>77</v>
      </c>
      <c r="D168" s="9" t="s">
        <v>82</v>
      </c>
      <c r="E168" s="9" t="s">
        <v>78</v>
      </c>
      <c r="F168" s="68">
        <f t="shared" si="12"/>
        <v>43466</v>
      </c>
      <c r="G168" s="3">
        <v>1000000</v>
      </c>
      <c r="H168" s="3">
        <v>2000000</v>
      </c>
      <c r="I168" s="3"/>
      <c r="J168" s="3"/>
    </row>
    <row r="169" spans="1:26" x14ac:dyDescent="0.25">
      <c r="A169" s="28" t="s">
        <v>102</v>
      </c>
      <c r="B169" s="8" t="s">
        <v>80</v>
      </c>
      <c r="C169" s="8" t="s">
        <v>77</v>
      </c>
      <c r="D169" s="9" t="s">
        <v>82</v>
      </c>
      <c r="E169" s="9" t="s">
        <v>78</v>
      </c>
      <c r="F169" s="68">
        <f t="shared" si="12"/>
        <v>43831</v>
      </c>
      <c r="G169" s="3">
        <v>1000000</v>
      </c>
      <c r="H169" s="3"/>
      <c r="I169" s="3"/>
      <c r="J169" s="3"/>
    </row>
    <row r="170" spans="1:26" x14ac:dyDescent="0.25">
      <c r="A170" s="28"/>
      <c r="F170" s="42"/>
      <c r="H170" s="3"/>
      <c r="I170" s="3"/>
      <c r="J170" s="3"/>
    </row>
    <row r="171" spans="1:26" x14ac:dyDescent="0.25">
      <c r="A171" s="28" t="s">
        <v>103</v>
      </c>
      <c r="B171" s="8" t="s">
        <v>80</v>
      </c>
      <c r="C171" s="8" t="s">
        <v>77</v>
      </c>
      <c r="D171" s="9" t="s">
        <v>82</v>
      </c>
      <c r="E171" s="9" t="s">
        <v>78</v>
      </c>
      <c r="F171" s="68">
        <f>triangle_start_date</f>
        <v>36892</v>
      </c>
      <c r="G171" s="3">
        <v>1000000</v>
      </c>
      <c r="H171" s="3">
        <v>2000000</v>
      </c>
      <c r="I171" s="3">
        <v>2000000</v>
      </c>
      <c r="J171" s="3">
        <v>2000000</v>
      </c>
      <c r="K171" s="3">
        <v>2000000</v>
      </c>
      <c r="L171" s="3">
        <v>2000000</v>
      </c>
      <c r="M171" s="3">
        <v>2000000</v>
      </c>
      <c r="N171" s="3">
        <v>2000000</v>
      </c>
      <c r="O171" s="3">
        <v>2000000</v>
      </c>
      <c r="P171" s="3">
        <v>2000000</v>
      </c>
      <c r="Q171" s="3">
        <v>2000000</v>
      </c>
      <c r="R171" s="3">
        <v>2000000</v>
      </c>
      <c r="S171" s="3">
        <v>2000000</v>
      </c>
      <c r="T171" s="3">
        <v>2000000</v>
      </c>
      <c r="U171" s="3">
        <v>2000000</v>
      </c>
      <c r="V171" s="3">
        <v>2000000</v>
      </c>
      <c r="W171" s="3">
        <v>2000000</v>
      </c>
      <c r="X171" s="3">
        <v>2000000</v>
      </c>
      <c r="Y171" s="3">
        <v>2000000</v>
      </c>
      <c r="Z171" s="3">
        <v>2000000</v>
      </c>
    </row>
    <row r="172" spans="1:26" x14ac:dyDescent="0.25">
      <c r="A172" s="28" t="s">
        <v>103</v>
      </c>
      <c r="B172" s="8" t="s">
        <v>80</v>
      </c>
      <c r="C172" s="8" t="s">
        <v>77</v>
      </c>
      <c r="D172" s="9" t="s">
        <v>82</v>
      </c>
      <c r="E172" s="9" t="s">
        <v>78</v>
      </c>
      <c r="F172" s="68">
        <f t="shared" ref="F172:F190" si="13">EDATE(F171,12)</f>
        <v>37257</v>
      </c>
      <c r="G172" s="3">
        <v>1000000</v>
      </c>
      <c r="H172" s="3">
        <v>2000000</v>
      </c>
      <c r="I172" s="3">
        <v>2000000</v>
      </c>
      <c r="J172" s="3">
        <v>2000000</v>
      </c>
      <c r="K172" s="3">
        <v>2000000</v>
      </c>
      <c r="L172" s="3">
        <v>2000000</v>
      </c>
      <c r="M172" s="3">
        <v>2000000</v>
      </c>
      <c r="N172" s="3">
        <v>2000000</v>
      </c>
      <c r="O172" s="3">
        <v>2000000</v>
      </c>
      <c r="P172" s="3">
        <v>2000000</v>
      </c>
      <c r="Q172" s="3">
        <v>2000000</v>
      </c>
      <c r="R172" s="3">
        <v>2000000</v>
      </c>
      <c r="S172" s="3">
        <v>2000000</v>
      </c>
      <c r="T172" s="3">
        <v>2000000</v>
      </c>
      <c r="U172" s="3">
        <v>2000000</v>
      </c>
      <c r="V172" s="3">
        <v>2000000</v>
      </c>
      <c r="W172" s="3">
        <v>2000000</v>
      </c>
      <c r="X172" s="3">
        <v>2000000</v>
      </c>
      <c r="Y172" s="3">
        <v>2000000</v>
      </c>
    </row>
    <row r="173" spans="1:26" x14ac:dyDescent="0.25">
      <c r="A173" s="28" t="s">
        <v>103</v>
      </c>
      <c r="B173" s="8" t="s">
        <v>80</v>
      </c>
      <c r="C173" s="8" t="s">
        <v>77</v>
      </c>
      <c r="D173" s="9" t="s">
        <v>82</v>
      </c>
      <c r="E173" s="9" t="s">
        <v>78</v>
      </c>
      <c r="F173" s="68">
        <f t="shared" si="13"/>
        <v>37622</v>
      </c>
      <c r="G173" s="3">
        <v>1000000</v>
      </c>
      <c r="H173" s="3">
        <v>2000000</v>
      </c>
      <c r="I173" s="3">
        <v>2000000</v>
      </c>
      <c r="J173" s="3">
        <v>2000000</v>
      </c>
      <c r="K173" s="3">
        <v>2000000</v>
      </c>
      <c r="L173" s="3">
        <v>2000000</v>
      </c>
      <c r="M173" s="3">
        <v>2000000</v>
      </c>
      <c r="N173" s="3">
        <v>2000000</v>
      </c>
      <c r="O173" s="3">
        <v>2000000</v>
      </c>
      <c r="P173" s="3">
        <v>2000000</v>
      </c>
      <c r="Q173" s="3">
        <v>2000000</v>
      </c>
      <c r="R173" s="3">
        <v>2000000</v>
      </c>
      <c r="S173" s="3">
        <v>2000000</v>
      </c>
      <c r="T173" s="3">
        <v>2000000</v>
      </c>
      <c r="U173" s="3">
        <v>2000000</v>
      </c>
      <c r="V173" s="3">
        <v>2000000</v>
      </c>
      <c r="W173" s="3">
        <v>2000000</v>
      </c>
      <c r="X173" s="3">
        <v>2000000</v>
      </c>
    </row>
    <row r="174" spans="1:26" x14ac:dyDescent="0.25">
      <c r="A174" s="28" t="s">
        <v>103</v>
      </c>
      <c r="B174" s="8" t="s">
        <v>80</v>
      </c>
      <c r="C174" s="8" t="s">
        <v>77</v>
      </c>
      <c r="D174" s="9" t="s">
        <v>82</v>
      </c>
      <c r="E174" s="9" t="s">
        <v>78</v>
      </c>
      <c r="F174" s="68">
        <f t="shared" si="13"/>
        <v>37987</v>
      </c>
      <c r="G174" s="3">
        <v>1000000</v>
      </c>
      <c r="H174" s="3">
        <v>2000000</v>
      </c>
      <c r="I174" s="3">
        <v>2000000</v>
      </c>
      <c r="J174" s="3">
        <v>2000000</v>
      </c>
      <c r="K174" s="3">
        <v>2000000</v>
      </c>
      <c r="L174" s="3">
        <v>2000000</v>
      </c>
      <c r="M174" s="3">
        <v>2000000</v>
      </c>
      <c r="N174" s="3">
        <v>2000000</v>
      </c>
      <c r="O174" s="3">
        <v>2000000</v>
      </c>
      <c r="P174" s="3">
        <v>2000000</v>
      </c>
      <c r="Q174" s="3">
        <v>2000000</v>
      </c>
      <c r="R174" s="3">
        <v>2000000</v>
      </c>
      <c r="S174" s="3">
        <v>2000000</v>
      </c>
      <c r="T174" s="3">
        <v>2000000</v>
      </c>
      <c r="U174" s="3">
        <v>2000000</v>
      </c>
      <c r="V174" s="3">
        <v>2000000</v>
      </c>
      <c r="W174" s="3">
        <v>2000000</v>
      </c>
    </row>
    <row r="175" spans="1:26" x14ac:dyDescent="0.25">
      <c r="A175" s="28" t="s">
        <v>103</v>
      </c>
      <c r="B175" s="8" t="s">
        <v>80</v>
      </c>
      <c r="C175" s="8" t="s">
        <v>77</v>
      </c>
      <c r="D175" s="9" t="s">
        <v>82</v>
      </c>
      <c r="E175" s="9" t="s">
        <v>78</v>
      </c>
      <c r="F175" s="68">
        <f t="shared" si="13"/>
        <v>38353</v>
      </c>
      <c r="G175" s="3">
        <v>1000000</v>
      </c>
      <c r="H175" s="3">
        <v>2000000</v>
      </c>
      <c r="I175" s="3">
        <v>2000000</v>
      </c>
      <c r="J175" s="3">
        <v>2000000</v>
      </c>
      <c r="K175" s="3">
        <v>2000000</v>
      </c>
      <c r="L175" s="3">
        <v>2000000</v>
      </c>
      <c r="M175" s="3">
        <v>2000000</v>
      </c>
      <c r="N175" s="3">
        <v>2000000</v>
      </c>
      <c r="O175" s="3">
        <v>2000000</v>
      </c>
      <c r="P175" s="3">
        <v>2000000</v>
      </c>
      <c r="Q175" s="3">
        <v>2000000</v>
      </c>
      <c r="R175" s="3">
        <v>2000000</v>
      </c>
      <c r="S175" s="3">
        <v>2000000</v>
      </c>
      <c r="T175" s="3">
        <v>2000000</v>
      </c>
      <c r="U175" s="3">
        <v>2000000</v>
      </c>
      <c r="V175" s="3">
        <v>2000000</v>
      </c>
    </row>
    <row r="176" spans="1:26" x14ac:dyDescent="0.25">
      <c r="A176" s="28" t="s">
        <v>103</v>
      </c>
      <c r="B176" s="8" t="s">
        <v>80</v>
      </c>
      <c r="C176" s="8" t="s">
        <v>77</v>
      </c>
      <c r="D176" s="9" t="s">
        <v>82</v>
      </c>
      <c r="E176" s="9" t="s">
        <v>78</v>
      </c>
      <c r="F176" s="68">
        <f t="shared" si="13"/>
        <v>38718</v>
      </c>
      <c r="G176" s="3">
        <v>1000000</v>
      </c>
      <c r="H176" s="3">
        <v>2000000</v>
      </c>
      <c r="I176" s="3">
        <v>2000000</v>
      </c>
      <c r="J176" s="3">
        <v>2000000</v>
      </c>
      <c r="K176" s="3">
        <v>2000000</v>
      </c>
      <c r="L176" s="3">
        <v>2000000</v>
      </c>
      <c r="M176" s="3">
        <v>2000000</v>
      </c>
      <c r="N176" s="3">
        <v>2000000</v>
      </c>
      <c r="O176" s="3">
        <v>2000000</v>
      </c>
      <c r="P176" s="3">
        <v>2000000</v>
      </c>
      <c r="Q176" s="3">
        <v>2000000</v>
      </c>
      <c r="R176" s="3">
        <v>2000000</v>
      </c>
      <c r="S176" s="3">
        <v>2000000</v>
      </c>
      <c r="T176" s="3">
        <v>2000000</v>
      </c>
      <c r="U176" s="3">
        <v>2000000</v>
      </c>
    </row>
    <row r="177" spans="1:26" x14ac:dyDescent="0.25">
      <c r="A177" s="28" t="s">
        <v>103</v>
      </c>
      <c r="B177" s="8" t="s">
        <v>80</v>
      </c>
      <c r="C177" s="8" t="s">
        <v>77</v>
      </c>
      <c r="D177" s="9" t="s">
        <v>82</v>
      </c>
      <c r="E177" s="9" t="s">
        <v>78</v>
      </c>
      <c r="F177" s="68">
        <f t="shared" si="13"/>
        <v>39083</v>
      </c>
      <c r="G177" s="3">
        <v>1000000</v>
      </c>
      <c r="H177" s="3">
        <v>2000000</v>
      </c>
      <c r="I177" s="3">
        <v>2000000</v>
      </c>
      <c r="J177" s="3">
        <v>2000000</v>
      </c>
      <c r="K177" s="3">
        <v>2000000</v>
      </c>
      <c r="L177" s="3">
        <v>2000000</v>
      </c>
      <c r="M177" s="3">
        <v>2000000</v>
      </c>
      <c r="N177" s="3">
        <v>2000000</v>
      </c>
      <c r="O177" s="3">
        <v>2000000</v>
      </c>
      <c r="P177" s="3">
        <v>2000000</v>
      </c>
      <c r="Q177" s="3">
        <v>2000000</v>
      </c>
      <c r="R177" s="3">
        <v>2000000</v>
      </c>
      <c r="S177" s="3">
        <v>2000000</v>
      </c>
      <c r="T177" s="3">
        <v>2000000</v>
      </c>
    </row>
    <row r="178" spans="1:26" x14ac:dyDescent="0.25">
      <c r="A178" s="28" t="s">
        <v>103</v>
      </c>
      <c r="B178" s="8" t="s">
        <v>80</v>
      </c>
      <c r="C178" s="8" t="s">
        <v>77</v>
      </c>
      <c r="D178" s="9" t="s">
        <v>82</v>
      </c>
      <c r="E178" s="9" t="s">
        <v>78</v>
      </c>
      <c r="F178" s="68">
        <f t="shared" si="13"/>
        <v>39448</v>
      </c>
      <c r="G178" s="3">
        <v>1000000</v>
      </c>
      <c r="H178" s="3">
        <v>2000000</v>
      </c>
      <c r="I178" s="3">
        <v>2000000</v>
      </c>
      <c r="J178" s="3">
        <v>2000000</v>
      </c>
      <c r="K178" s="3">
        <v>2000000</v>
      </c>
      <c r="L178" s="3">
        <v>2000000</v>
      </c>
      <c r="M178" s="3">
        <v>2000000</v>
      </c>
      <c r="N178" s="3">
        <v>2000000</v>
      </c>
      <c r="O178" s="3">
        <v>2000000</v>
      </c>
      <c r="P178" s="3">
        <v>2000000</v>
      </c>
      <c r="Q178" s="3">
        <v>2000000</v>
      </c>
      <c r="R178" s="3">
        <v>2000000</v>
      </c>
      <c r="S178" s="3">
        <v>2000000</v>
      </c>
    </row>
    <row r="179" spans="1:26" x14ac:dyDescent="0.25">
      <c r="A179" s="28" t="s">
        <v>103</v>
      </c>
      <c r="B179" s="8" t="s">
        <v>80</v>
      </c>
      <c r="C179" s="8" t="s">
        <v>77</v>
      </c>
      <c r="D179" s="9" t="s">
        <v>82</v>
      </c>
      <c r="E179" s="9" t="s">
        <v>78</v>
      </c>
      <c r="F179" s="68">
        <f t="shared" si="13"/>
        <v>39814</v>
      </c>
      <c r="G179" s="3">
        <v>1000000</v>
      </c>
      <c r="H179" s="3">
        <v>2000000</v>
      </c>
      <c r="I179" s="3">
        <v>2000000</v>
      </c>
      <c r="J179" s="3">
        <v>2000000</v>
      </c>
      <c r="K179" s="3">
        <v>2000000</v>
      </c>
      <c r="L179" s="3">
        <v>2000000</v>
      </c>
      <c r="M179" s="3">
        <v>2000000</v>
      </c>
      <c r="N179" s="3">
        <v>2000000</v>
      </c>
      <c r="O179" s="3">
        <v>2000000</v>
      </c>
      <c r="P179" s="3">
        <v>2000000</v>
      </c>
      <c r="Q179" s="3">
        <v>2000000</v>
      </c>
      <c r="R179" s="3">
        <v>2000000</v>
      </c>
    </row>
    <row r="180" spans="1:26" x14ac:dyDescent="0.25">
      <c r="A180" s="28" t="s">
        <v>103</v>
      </c>
      <c r="B180" s="8" t="s">
        <v>80</v>
      </c>
      <c r="C180" s="8" t="s">
        <v>77</v>
      </c>
      <c r="D180" s="9" t="s">
        <v>82</v>
      </c>
      <c r="E180" s="9" t="s">
        <v>78</v>
      </c>
      <c r="F180" s="68">
        <f t="shared" si="13"/>
        <v>40179</v>
      </c>
      <c r="G180" s="3">
        <v>1000000</v>
      </c>
      <c r="H180" s="3">
        <v>2000000</v>
      </c>
      <c r="I180" s="3">
        <v>2000000</v>
      </c>
      <c r="J180" s="3">
        <v>2000000</v>
      </c>
      <c r="K180" s="3">
        <v>2000000</v>
      </c>
      <c r="L180" s="3">
        <v>2000000</v>
      </c>
      <c r="M180" s="3">
        <v>2000000</v>
      </c>
      <c r="N180" s="3">
        <v>2000000</v>
      </c>
      <c r="O180" s="3">
        <v>2000000</v>
      </c>
      <c r="P180" s="3">
        <v>2000000</v>
      </c>
      <c r="Q180" s="3">
        <v>2000000</v>
      </c>
    </row>
    <row r="181" spans="1:26" x14ac:dyDescent="0.25">
      <c r="A181" s="28" t="s">
        <v>103</v>
      </c>
      <c r="B181" s="8" t="s">
        <v>80</v>
      </c>
      <c r="C181" s="8" t="s">
        <v>77</v>
      </c>
      <c r="D181" s="9" t="s">
        <v>82</v>
      </c>
      <c r="E181" s="9" t="s">
        <v>78</v>
      </c>
      <c r="F181" s="68">
        <f t="shared" si="13"/>
        <v>40544</v>
      </c>
      <c r="G181" s="3">
        <v>1000000</v>
      </c>
      <c r="H181" s="3">
        <v>2000000</v>
      </c>
      <c r="I181" s="3">
        <v>2000000</v>
      </c>
      <c r="J181" s="3">
        <v>2000000</v>
      </c>
      <c r="K181" s="3">
        <v>2000000</v>
      </c>
      <c r="L181" s="3">
        <v>2000000</v>
      </c>
      <c r="M181" s="3">
        <v>2000000</v>
      </c>
      <c r="N181" s="3">
        <v>2000000</v>
      </c>
      <c r="O181" s="3">
        <v>2000000</v>
      </c>
      <c r="P181" s="3">
        <v>2000000</v>
      </c>
    </row>
    <row r="182" spans="1:26" x14ac:dyDescent="0.25">
      <c r="A182" s="28" t="s">
        <v>103</v>
      </c>
      <c r="B182" s="8" t="s">
        <v>80</v>
      </c>
      <c r="C182" s="8" t="s">
        <v>77</v>
      </c>
      <c r="D182" s="9" t="s">
        <v>82</v>
      </c>
      <c r="E182" s="9" t="s">
        <v>78</v>
      </c>
      <c r="F182" s="68">
        <f t="shared" si="13"/>
        <v>40909</v>
      </c>
      <c r="G182" s="3">
        <v>1000000</v>
      </c>
      <c r="H182" s="3">
        <v>2000000</v>
      </c>
      <c r="I182" s="3">
        <v>2000000</v>
      </c>
      <c r="J182" s="3">
        <v>2000000</v>
      </c>
      <c r="K182" s="3">
        <v>2000000</v>
      </c>
      <c r="L182" s="3">
        <v>2000000</v>
      </c>
      <c r="M182" s="3">
        <v>2000000</v>
      </c>
      <c r="N182" s="3">
        <v>2000000</v>
      </c>
      <c r="O182" s="3">
        <v>2000000</v>
      </c>
    </row>
    <row r="183" spans="1:26" x14ac:dyDescent="0.25">
      <c r="A183" s="28" t="s">
        <v>103</v>
      </c>
      <c r="B183" s="8" t="s">
        <v>80</v>
      </c>
      <c r="C183" s="8" t="s">
        <v>77</v>
      </c>
      <c r="D183" s="9" t="s">
        <v>82</v>
      </c>
      <c r="E183" s="9" t="s">
        <v>78</v>
      </c>
      <c r="F183" s="68">
        <f t="shared" si="13"/>
        <v>41275</v>
      </c>
      <c r="G183" s="3">
        <v>1000000</v>
      </c>
      <c r="H183" s="3">
        <v>2000000</v>
      </c>
      <c r="I183" s="3">
        <v>2000000</v>
      </c>
      <c r="J183" s="3">
        <v>2000000</v>
      </c>
      <c r="K183" s="3">
        <v>2000000</v>
      </c>
      <c r="L183" s="3">
        <v>2000000</v>
      </c>
      <c r="M183" s="3">
        <v>2000000</v>
      </c>
      <c r="N183" s="3">
        <v>2000000</v>
      </c>
    </row>
    <row r="184" spans="1:26" x14ac:dyDescent="0.25">
      <c r="A184" s="28" t="s">
        <v>103</v>
      </c>
      <c r="B184" s="8" t="s">
        <v>80</v>
      </c>
      <c r="C184" s="8" t="s">
        <v>77</v>
      </c>
      <c r="D184" s="9" t="s">
        <v>82</v>
      </c>
      <c r="E184" s="9" t="s">
        <v>78</v>
      </c>
      <c r="F184" s="68">
        <f t="shared" si="13"/>
        <v>41640</v>
      </c>
      <c r="G184" s="3">
        <v>1000000</v>
      </c>
      <c r="H184" s="3">
        <v>2000000</v>
      </c>
      <c r="I184" s="3">
        <v>2000000</v>
      </c>
      <c r="J184" s="3">
        <v>2000000</v>
      </c>
      <c r="K184" s="3">
        <v>2000000</v>
      </c>
      <c r="L184" s="3">
        <v>2000000</v>
      </c>
      <c r="M184" s="3">
        <v>2000000</v>
      </c>
    </row>
    <row r="185" spans="1:26" x14ac:dyDescent="0.25">
      <c r="A185" s="28" t="s">
        <v>103</v>
      </c>
      <c r="B185" s="8" t="s">
        <v>80</v>
      </c>
      <c r="C185" s="8" t="s">
        <v>77</v>
      </c>
      <c r="D185" s="9" t="s">
        <v>82</v>
      </c>
      <c r="E185" s="9" t="s">
        <v>78</v>
      </c>
      <c r="F185" s="68">
        <f t="shared" si="13"/>
        <v>42005</v>
      </c>
      <c r="G185" s="3">
        <v>1000000</v>
      </c>
      <c r="H185" s="3">
        <v>2000000</v>
      </c>
      <c r="I185" s="3">
        <v>2000000</v>
      </c>
      <c r="J185" s="3">
        <v>2000000</v>
      </c>
      <c r="K185" s="3">
        <v>2000000</v>
      </c>
      <c r="L185" s="3">
        <v>2000000</v>
      </c>
    </row>
    <row r="186" spans="1:26" x14ac:dyDescent="0.25">
      <c r="A186" s="28" t="s">
        <v>103</v>
      </c>
      <c r="B186" s="8" t="s">
        <v>80</v>
      </c>
      <c r="C186" s="8" t="s">
        <v>77</v>
      </c>
      <c r="D186" s="9" t="s">
        <v>82</v>
      </c>
      <c r="E186" s="9" t="s">
        <v>78</v>
      </c>
      <c r="F186" s="68">
        <f t="shared" si="13"/>
        <v>42370</v>
      </c>
      <c r="G186" s="3">
        <v>1000000</v>
      </c>
      <c r="H186" s="3">
        <v>2000000</v>
      </c>
      <c r="I186" s="3">
        <v>2000000</v>
      </c>
      <c r="J186" s="3">
        <v>2000000</v>
      </c>
      <c r="K186" s="3">
        <v>2000000</v>
      </c>
    </row>
    <row r="187" spans="1:26" x14ac:dyDescent="0.25">
      <c r="A187" s="28" t="s">
        <v>103</v>
      </c>
      <c r="B187" s="8" t="s">
        <v>80</v>
      </c>
      <c r="C187" s="8" t="s">
        <v>77</v>
      </c>
      <c r="D187" s="9" t="s">
        <v>82</v>
      </c>
      <c r="E187" s="9" t="s">
        <v>78</v>
      </c>
      <c r="F187" s="68">
        <f t="shared" si="13"/>
        <v>42736</v>
      </c>
      <c r="G187" s="3">
        <v>1000000</v>
      </c>
      <c r="H187" s="3">
        <v>2000000</v>
      </c>
      <c r="I187" s="3">
        <v>2000000</v>
      </c>
      <c r="J187" s="3">
        <v>2000000</v>
      </c>
    </row>
    <row r="188" spans="1:26" x14ac:dyDescent="0.25">
      <c r="A188" s="28" t="s">
        <v>103</v>
      </c>
      <c r="B188" s="8" t="s">
        <v>80</v>
      </c>
      <c r="C188" s="8" t="s">
        <v>77</v>
      </c>
      <c r="D188" s="9" t="s">
        <v>82</v>
      </c>
      <c r="E188" s="9" t="s">
        <v>78</v>
      </c>
      <c r="F188" s="68">
        <f t="shared" si="13"/>
        <v>43101</v>
      </c>
      <c r="G188" s="3">
        <v>1000000</v>
      </c>
      <c r="H188" s="3">
        <v>2000000</v>
      </c>
      <c r="I188" s="3">
        <v>2000000</v>
      </c>
      <c r="J188" s="3"/>
    </row>
    <row r="189" spans="1:26" x14ac:dyDescent="0.25">
      <c r="A189" s="28" t="s">
        <v>103</v>
      </c>
      <c r="B189" s="8" t="s">
        <v>80</v>
      </c>
      <c r="C189" s="8" t="s">
        <v>77</v>
      </c>
      <c r="D189" s="9" t="s">
        <v>82</v>
      </c>
      <c r="E189" s="9" t="s">
        <v>78</v>
      </c>
      <c r="F189" s="68">
        <f t="shared" si="13"/>
        <v>43466</v>
      </c>
      <c r="G189" s="3">
        <v>1000000</v>
      </c>
      <c r="H189" s="3">
        <v>2000000</v>
      </c>
      <c r="I189" s="3"/>
      <c r="J189" s="3"/>
    </row>
    <row r="190" spans="1:26" x14ac:dyDescent="0.25">
      <c r="A190" s="28" t="s">
        <v>103</v>
      </c>
      <c r="B190" s="8" t="s">
        <v>80</v>
      </c>
      <c r="C190" s="8" t="s">
        <v>77</v>
      </c>
      <c r="D190" s="9" t="s">
        <v>82</v>
      </c>
      <c r="E190" s="9" t="s">
        <v>78</v>
      </c>
      <c r="F190" s="68">
        <f t="shared" si="13"/>
        <v>43831</v>
      </c>
      <c r="G190" s="3">
        <v>1000000</v>
      </c>
      <c r="H190" s="3"/>
      <c r="I190" s="3"/>
      <c r="J190" s="3"/>
    </row>
    <row r="191" spans="1:26" x14ac:dyDescent="0.25">
      <c r="A191" s="28"/>
      <c r="F191" s="42"/>
      <c r="H191" s="3"/>
      <c r="I191" s="3"/>
      <c r="J191" s="3"/>
    </row>
    <row r="192" spans="1:26" x14ac:dyDescent="0.25">
      <c r="A192" s="28" t="s">
        <v>105</v>
      </c>
      <c r="B192" s="8" t="s">
        <v>80</v>
      </c>
      <c r="C192" s="8" t="s">
        <v>77</v>
      </c>
      <c r="D192" s="9" t="s">
        <v>82</v>
      </c>
      <c r="E192" s="9" t="s">
        <v>78</v>
      </c>
      <c r="F192" s="68">
        <f>triangle_start_date</f>
        <v>36892</v>
      </c>
      <c r="G192" s="3">
        <v>1000000</v>
      </c>
      <c r="H192" s="3">
        <v>2000000</v>
      </c>
      <c r="I192" s="3">
        <v>2000000</v>
      </c>
      <c r="J192" s="3">
        <v>2000000</v>
      </c>
      <c r="K192" s="3">
        <v>2000000</v>
      </c>
      <c r="L192" s="3">
        <v>2000000</v>
      </c>
      <c r="M192" s="3">
        <v>2000000</v>
      </c>
      <c r="N192" s="3">
        <v>2000000</v>
      </c>
      <c r="O192" s="3">
        <v>2000000</v>
      </c>
      <c r="P192" s="3">
        <v>2000000</v>
      </c>
      <c r="Q192" s="3">
        <v>2000000</v>
      </c>
      <c r="R192" s="3">
        <v>2000000</v>
      </c>
      <c r="S192" s="3">
        <v>2000000</v>
      </c>
      <c r="T192" s="3">
        <v>2000000</v>
      </c>
      <c r="U192" s="3">
        <v>2000000</v>
      </c>
      <c r="V192" s="3">
        <v>2000000</v>
      </c>
      <c r="W192" s="3">
        <v>2000000</v>
      </c>
      <c r="X192" s="3">
        <v>2000000</v>
      </c>
      <c r="Y192" s="3">
        <v>2000000</v>
      </c>
      <c r="Z192" s="3">
        <v>2000000</v>
      </c>
    </row>
    <row r="193" spans="1:25" x14ac:dyDescent="0.25">
      <c r="A193" s="28" t="s">
        <v>105</v>
      </c>
      <c r="B193" s="8" t="s">
        <v>80</v>
      </c>
      <c r="C193" s="8" t="s">
        <v>77</v>
      </c>
      <c r="D193" s="9" t="s">
        <v>82</v>
      </c>
      <c r="E193" s="9" t="s">
        <v>78</v>
      </c>
      <c r="F193" s="68">
        <f t="shared" ref="F193:F211" si="14">EDATE(F192,12)</f>
        <v>37257</v>
      </c>
      <c r="G193" s="3">
        <v>1000000</v>
      </c>
      <c r="H193" s="3">
        <v>2000000</v>
      </c>
      <c r="I193" s="3">
        <v>2000000</v>
      </c>
      <c r="J193" s="3">
        <v>2000000</v>
      </c>
      <c r="K193" s="3">
        <v>2000000</v>
      </c>
      <c r="L193" s="3">
        <v>2000000</v>
      </c>
      <c r="M193" s="3">
        <v>2000000</v>
      </c>
      <c r="N193" s="3">
        <v>2000000</v>
      </c>
      <c r="O193" s="3">
        <v>2000000</v>
      </c>
      <c r="P193" s="3">
        <v>2000000</v>
      </c>
      <c r="Q193" s="3">
        <v>2000000</v>
      </c>
      <c r="R193" s="3">
        <v>2000000</v>
      </c>
      <c r="S193" s="3">
        <v>2000000</v>
      </c>
      <c r="T193" s="3">
        <v>2000000</v>
      </c>
      <c r="U193" s="3">
        <v>2000000</v>
      </c>
      <c r="V193" s="3">
        <v>2000000</v>
      </c>
      <c r="W193" s="3">
        <v>2000000</v>
      </c>
      <c r="X193" s="3">
        <v>2000000</v>
      </c>
      <c r="Y193" s="3">
        <v>2000000</v>
      </c>
    </row>
    <row r="194" spans="1:25" x14ac:dyDescent="0.25">
      <c r="A194" s="28" t="s">
        <v>105</v>
      </c>
      <c r="B194" s="8" t="s">
        <v>80</v>
      </c>
      <c r="C194" s="8" t="s">
        <v>77</v>
      </c>
      <c r="D194" s="9" t="s">
        <v>82</v>
      </c>
      <c r="E194" s="9" t="s">
        <v>78</v>
      </c>
      <c r="F194" s="68">
        <f t="shared" si="14"/>
        <v>37622</v>
      </c>
      <c r="G194" s="3">
        <v>1000000</v>
      </c>
      <c r="H194" s="3">
        <v>2000000</v>
      </c>
      <c r="I194" s="3">
        <v>2000000</v>
      </c>
      <c r="J194" s="3">
        <v>2000000</v>
      </c>
      <c r="K194" s="3">
        <v>2000000</v>
      </c>
      <c r="L194" s="3">
        <v>2000000</v>
      </c>
      <c r="M194" s="3">
        <v>2000000</v>
      </c>
      <c r="N194" s="3">
        <v>2000000</v>
      </c>
      <c r="O194" s="3">
        <v>2000000</v>
      </c>
      <c r="P194" s="3">
        <v>2000000</v>
      </c>
      <c r="Q194" s="3">
        <v>2000000</v>
      </c>
      <c r="R194" s="3">
        <v>2000000</v>
      </c>
      <c r="S194" s="3">
        <v>2000000</v>
      </c>
      <c r="T194" s="3">
        <v>2000000</v>
      </c>
      <c r="U194" s="3">
        <v>2000000</v>
      </c>
      <c r="V194" s="3">
        <v>2000000</v>
      </c>
      <c r="W194" s="3">
        <v>2000000</v>
      </c>
      <c r="X194" s="3">
        <v>2000000</v>
      </c>
    </row>
    <row r="195" spans="1:25" x14ac:dyDescent="0.25">
      <c r="A195" s="28" t="s">
        <v>105</v>
      </c>
      <c r="B195" s="8" t="s">
        <v>80</v>
      </c>
      <c r="C195" s="8" t="s">
        <v>77</v>
      </c>
      <c r="D195" s="9" t="s">
        <v>82</v>
      </c>
      <c r="E195" s="9" t="s">
        <v>78</v>
      </c>
      <c r="F195" s="68">
        <f t="shared" si="14"/>
        <v>37987</v>
      </c>
      <c r="G195" s="3">
        <v>1000000</v>
      </c>
      <c r="H195" s="3">
        <v>2000000</v>
      </c>
      <c r="I195" s="3">
        <v>2000000</v>
      </c>
      <c r="J195" s="3">
        <v>2000000</v>
      </c>
      <c r="K195" s="3">
        <v>2000000</v>
      </c>
      <c r="L195" s="3">
        <v>2000000</v>
      </c>
      <c r="M195" s="3">
        <v>2000000</v>
      </c>
      <c r="N195" s="3">
        <v>2000000</v>
      </c>
      <c r="O195" s="3">
        <v>2000000</v>
      </c>
      <c r="P195" s="3">
        <v>2000000</v>
      </c>
      <c r="Q195" s="3">
        <v>2000000</v>
      </c>
      <c r="R195" s="3">
        <v>2000000</v>
      </c>
      <c r="S195" s="3">
        <v>2000000</v>
      </c>
      <c r="T195" s="3">
        <v>2000000</v>
      </c>
      <c r="U195" s="3">
        <v>2000000</v>
      </c>
      <c r="V195" s="3">
        <v>2000000</v>
      </c>
      <c r="W195" s="3">
        <v>2000000</v>
      </c>
    </row>
    <row r="196" spans="1:25" x14ac:dyDescent="0.25">
      <c r="A196" s="28" t="s">
        <v>105</v>
      </c>
      <c r="B196" s="8" t="s">
        <v>80</v>
      </c>
      <c r="C196" s="8" t="s">
        <v>77</v>
      </c>
      <c r="D196" s="9" t="s">
        <v>82</v>
      </c>
      <c r="E196" s="9" t="s">
        <v>78</v>
      </c>
      <c r="F196" s="68">
        <f t="shared" si="14"/>
        <v>38353</v>
      </c>
      <c r="G196" s="3">
        <v>1000000</v>
      </c>
      <c r="H196" s="3">
        <v>2000000</v>
      </c>
      <c r="I196" s="3">
        <v>2000000</v>
      </c>
      <c r="J196" s="3">
        <v>2000000</v>
      </c>
      <c r="K196" s="3">
        <v>2000000</v>
      </c>
      <c r="L196" s="3">
        <v>2000000</v>
      </c>
      <c r="M196" s="3">
        <v>2000000</v>
      </c>
      <c r="N196" s="3">
        <v>2000000</v>
      </c>
      <c r="O196" s="3">
        <v>2000000</v>
      </c>
      <c r="P196" s="3">
        <v>2000000</v>
      </c>
      <c r="Q196" s="3">
        <v>2000000</v>
      </c>
      <c r="R196" s="3">
        <v>2000000</v>
      </c>
      <c r="S196" s="3">
        <v>2000000</v>
      </c>
      <c r="T196" s="3">
        <v>2000000</v>
      </c>
      <c r="U196" s="3">
        <v>2000000</v>
      </c>
      <c r="V196" s="3">
        <v>2000000</v>
      </c>
    </row>
    <row r="197" spans="1:25" x14ac:dyDescent="0.25">
      <c r="A197" s="28" t="s">
        <v>105</v>
      </c>
      <c r="B197" s="8" t="s">
        <v>80</v>
      </c>
      <c r="C197" s="8" t="s">
        <v>77</v>
      </c>
      <c r="D197" s="9" t="s">
        <v>82</v>
      </c>
      <c r="E197" s="9" t="s">
        <v>78</v>
      </c>
      <c r="F197" s="68">
        <f t="shared" si="14"/>
        <v>38718</v>
      </c>
      <c r="G197" s="3">
        <v>1000000</v>
      </c>
      <c r="H197" s="3">
        <v>2000000</v>
      </c>
      <c r="I197" s="3">
        <v>2000000</v>
      </c>
      <c r="J197" s="3">
        <v>2000000</v>
      </c>
      <c r="K197" s="3">
        <v>2000000</v>
      </c>
      <c r="L197" s="3">
        <v>2000000</v>
      </c>
      <c r="M197" s="3">
        <v>2000000</v>
      </c>
      <c r="N197" s="3">
        <v>2000000</v>
      </c>
      <c r="O197" s="3">
        <v>2000000</v>
      </c>
      <c r="P197" s="3">
        <v>2000000</v>
      </c>
      <c r="Q197" s="3">
        <v>2000000</v>
      </c>
      <c r="R197" s="3">
        <v>2000000</v>
      </c>
      <c r="S197" s="3">
        <v>2000000</v>
      </c>
      <c r="T197" s="3">
        <v>2000000</v>
      </c>
      <c r="U197" s="3">
        <v>2000000</v>
      </c>
    </row>
    <row r="198" spans="1:25" x14ac:dyDescent="0.25">
      <c r="A198" s="28" t="s">
        <v>105</v>
      </c>
      <c r="B198" s="8" t="s">
        <v>80</v>
      </c>
      <c r="C198" s="8" t="s">
        <v>77</v>
      </c>
      <c r="D198" s="9" t="s">
        <v>82</v>
      </c>
      <c r="E198" s="9" t="s">
        <v>78</v>
      </c>
      <c r="F198" s="68">
        <f t="shared" si="14"/>
        <v>39083</v>
      </c>
      <c r="G198" s="3">
        <v>1000000</v>
      </c>
      <c r="H198" s="3">
        <v>2000000</v>
      </c>
      <c r="I198" s="3">
        <v>2000000</v>
      </c>
      <c r="J198" s="3">
        <v>2000000</v>
      </c>
      <c r="K198" s="3">
        <v>2000000</v>
      </c>
      <c r="L198" s="3">
        <v>2000000</v>
      </c>
      <c r="M198" s="3">
        <v>2000000</v>
      </c>
      <c r="N198" s="3">
        <v>2000000</v>
      </c>
      <c r="O198" s="3">
        <v>2000000</v>
      </c>
      <c r="P198" s="3">
        <v>2000000</v>
      </c>
      <c r="Q198" s="3">
        <v>2000000</v>
      </c>
      <c r="R198" s="3">
        <v>2000000</v>
      </c>
      <c r="S198" s="3">
        <v>2000000</v>
      </c>
      <c r="T198" s="3">
        <v>2000000</v>
      </c>
    </row>
    <row r="199" spans="1:25" x14ac:dyDescent="0.25">
      <c r="A199" s="28" t="s">
        <v>105</v>
      </c>
      <c r="B199" s="8" t="s">
        <v>80</v>
      </c>
      <c r="C199" s="8" t="s">
        <v>77</v>
      </c>
      <c r="D199" s="9" t="s">
        <v>82</v>
      </c>
      <c r="E199" s="9" t="s">
        <v>78</v>
      </c>
      <c r="F199" s="68">
        <f t="shared" si="14"/>
        <v>39448</v>
      </c>
      <c r="G199" s="3">
        <v>1000000</v>
      </c>
      <c r="H199" s="3">
        <v>2000000</v>
      </c>
      <c r="I199" s="3">
        <v>2000000</v>
      </c>
      <c r="J199" s="3">
        <v>2000000</v>
      </c>
      <c r="K199" s="3">
        <v>2000000</v>
      </c>
      <c r="L199" s="3">
        <v>2000000</v>
      </c>
      <c r="M199" s="3">
        <v>2000000</v>
      </c>
      <c r="N199" s="3">
        <v>2000000</v>
      </c>
      <c r="O199" s="3">
        <v>2000000</v>
      </c>
      <c r="P199" s="3">
        <v>2000000</v>
      </c>
      <c r="Q199" s="3">
        <v>2000000</v>
      </c>
      <c r="R199" s="3">
        <v>2000000</v>
      </c>
      <c r="S199" s="3">
        <v>2000000</v>
      </c>
    </row>
    <row r="200" spans="1:25" x14ac:dyDescent="0.25">
      <c r="A200" s="28" t="s">
        <v>105</v>
      </c>
      <c r="B200" s="8" t="s">
        <v>80</v>
      </c>
      <c r="C200" s="8" t="s">
        <v>77</v>
      </c>
      <c r="D200" s="9" t="s">
        <v>82</v>
      </c>
      <c r="E200" s="9" t="s">
        <v>78</v>
      </c>
      <c r="F200" s="68">
        <f t="shared" si="14"/>
        <v>39814</v>
      </c>
      <c r="G200" s="3">
        <v>1000000</v>
      </c>
      <c r="H200" s="3">
        <v>2000000</v>
      </c>
      <c r="I200" s="3">
        <v>2000000</v>
      </c>
      <c r="J200" s="3">
        <v>2000000</v>
      </c>
      <c r="K200" s="3">
        <v>2000000</v>
      </c>
      <c r="L200" s="3">
        <v>2000000</v>
      </c>
      <c r="M200" s="3">
        <v>2000000</v>
      </c>
      <c r="N200" s="3">
        <v>2000000</v>
      </c>
      <c r="O200" s="3">
        <v>2000000</v>
      </c>
      <c r="P200" s="3">
        <v>2000000</v>
      </c>
      <c r="Q200" s="3">
        <v>2000000</v>
      </c>
      <c r="R200" s="3">
        <v>2000000</v>
      </c>
    </row>
    <row r="201" spans="1:25" x14ac:dyDescent="0.25">
      <c r="A201" s="28" t="s">
        <v>105</v>
      </c>
      <c r="B201" s="8" t="s">
        <v>80</v>
      </c>
      <c r="C201" s="8" t="s">
        <v>77</v>
      </c>
      <c r="D201" s="9" t="s">
        <v>82</v>
      </c>
      <c r="E201" s="9" t="s">
        <v>78</v>
      </c>
      <c r="F201" s="68">
        <f t="shared" si="14"/>
        <v>40179</v>
      </c>
      <c r="G201" s="3">
        <v>1000000</v>
      </c>
      <c r="H201" s="3">
        <v>2000000</v>
      </c>
      <c r="I201" s="3">
        <v>2000000</v>
      </c>
      <c r="J201" s="3">
        <v>2000000</v>
      </c>
      <c r="K201" s="3">
        <v>2000000</v>
      </c>
      <c r="L201" s="3">
        <v>2000000</v>
      </c>
      <c r="M201" s="3">
        <v>2000000</v>
      </c>
      <c r="N201" s="3">
        <v>2000000</v>
      </c>
      <c r="O201" s="3">
        <v>2000000</v>
      </c>
      <c r="P201" s="3">
        <v>2000000</v>
      </c>
      <c r="Q201" s="3">
        <v>2000000</v>
      </c>
    </row>
    <row r="202" spans="1:25" x14ac:dyDescent="0.25">
      <c r="A202" s="28" t="s">
        <v>105</v>
      </c>
      <c r="B202" s="8" t="s">
        <v>80</v>
      </c>
      <c r="C202" s="8" t="s">
        <v>77</v>
      </c>
      <c r="D202" s="9" t="s">
        <v>82</v>
      </c>
      <c r="E202" s="9" t="s">
        <v>78</v>
      </c>
      <c r="F202" s="68">
        <f t="shared" si="14"/>
        <v>40544</v>
      </c>
      <c r="G202" s="3">
        <v>1000000</v>
      </c>
      <c r="H202" s="3">
        <v>2000000</v>
      </c>
      <c r="I202" s="3">
        <v>2000000</v>
      </c>
      <c r="J202" s="3">
        <v>2000000</v>
      </c>
      <c r="K202" s="3">
        <v>2000000</v>
      </c>
      <c r="L202" s="3">
        <v>2000000</v>
      </c>
      <c r="M202" s="3">
        <v>2000000</v>
      </c>
      <c r="N202" s="3">
        <v>2000000</v>
      </c>
      <c r="O202" s="3">
        <v>2000000</v>
      </c>
      <c r="P202" s="3">
        <v>2000000</v>
      </c>
    </row>
    <row r="203" spans="1:25" x14ac:dyDescent="0.25">
      <c r="A203" s="28" t="s">
        <v>105</v>
      </c>
      <c r="B203" s="8" t="s">
        <v>80</v>
      </c>
      <c r="C203" s="8" t="s">
        <v>77</v>
      </c>
      <c r="D203" s="9" t="s">
        <v>82</v>
      </c>
      <c r="E203" s="9" t="s">
        <v>78</v>
      </c>
      <c r="F203" s="68">
        <f t="shared" si="14"/>
        <v>40909</v>
      </c>
      <c r="G203" s="3">
        <v>1000000</v>
      </c>
      <c r="H203" s="3">
        <v>2000000</v>
      </c>
      <c r="I203" s="3">
        <v>2000000</v>
      </c>
      <c r="J203" s="3">
        <v>2000000</v>
      </c>
      <c r="K203" s="3">
        <v>2000000</v>
      </c>
      <c r="L203" s="3">
        <v>2000000</v>
      </c>
      <c r="M203" s="3">
        <v>2000000</v>
      </c>
      <c r="N203" s="3">
        <v>2000000</v>
      </c>
      <c r="O203" s="3">
        <v>2000000</v>
      </c>
    </row>
    <row r="204" spans="1:25" x14ac:dyDescent="0.25">
      <c r="A204" s="28" t="s">
        <v>105</v>
      </c>
      <c r="B204" s="8" t="s">
        <v>80</v>
      </c>
      <c r="C204" s="8" t="s">
        <v>77</v>
      </c>
      <c r="D204" s="9" t="s">
        <v>82</v>
      </c>
      <c r="E204" s="9" t="s">
        <v>78</v>
      </c>
      <c r="F204" s="68">
        <f t="shared" si="14"/>
        <v>41275</v>
      </c>
      <c r="G204" s="3">
        <v>1000000</v>
      </c>
      <c r="H204" s="3">
        <v>2000000</v>
      </c>
      <c r="I204" s="3">
        <v>2000000</v>
      </c>
      <c r="J204" s="3">
        <v>2000000</v>
      </c>
      <c r="K204" s="3">
        <v>2000000</v>
      </c>
      <c r="L204" s="3">
        <v>2000000</v>
      </c>
      <c r="M204" s="3">
        <v>2000000</v>
      </c>
      <c r="N204" s="3">
        <v>2000000</v>
      </c>
    </row>
    <row r="205" spans="1:25" x14ac:dyDescent="0.25">
      <c r="A205" s="28" t="s">
        <v>105</v>
      </c>
      <c r="B205" s="8" t="s">
        <v>80</v>
      </c>
      <c r="C205" s="8" t="s">
        <v>77</v>
      </c>
      <c r="D205" s="9" t="s">
        <v>82</v>
      </c>
      <c r="E205" s="9" t="s">
        <v>78</v>
      </c>
      <c r="F205" s="68">
        <f t="shared" si="14"/>
        <v>41640</v>
      </c>
      <c r="G205" s="3">
        <v>1000000</v>
      </c>
      <c r="H205" s="3">
        <v>2000000</v>
      </c>
      <c r="I205" s="3">
        <v>2000000</v>
      </c>
      <c r="J205" s="3">
        <v>2000000</v>
      </c>
      <c r="K205" s="3">
        <v>2000000</v>
      </c>
      <c r="L205" s="3">
        <v>2000000</v>
      </c>
      <c r="M205" s="3">
        <v>2000000</v>
      </c>
    </row>
    <row r="206" spans="1:25" x14ac:dyDescent="0.25">
      <c r="A206" s="28" t="s">
        <v>105</v>
      </c>
      <c r="B206" s="8" t="s">
        <v>80</v>
      </c>
      <c r="C206" s="8" t="s">
        <v>77</v>
      </c>
      <c r="D206" s="9" t="s">
        <v>82</v>
      </c>
      <c r="E206" s="9" t="s">
        <v>78</v>
      </c>
      <c r="F206" s="68">
        <f t="shared" si="14"/>
        <v>42005</v>
      </c>
      <c r="G206" s="3">
        <v>1000000</v>
      </c>
      <c r="H206" s="3">
        <v>2000000</v>
      </c>
      <c r="I206" s="3">
        <v>2000000</v>
      </c>
      <c r="J206" s="3">
        <v>2000000</v>
      </c>
      <c r="K206" s="3">
        <v>2000000</v>
      </c>
      <c r="L206" s="3">
        <v>2000000</v>
      </c>
    </row>
    <row r="207" spans="1:25" x14ac:dyDescent="0.25">
      <c r="A207" s="28" t="s">
        <v>105</v>
      </c>
      <c r="B207" s="8" t="s">
        <v>80</v>
      </c>
      <c r="C207" s="8" t="s">
        <v>77</v>
      </c>
      <c r="D207" s="9" t="s">
        <v>82</v>
      </c>
      <c r="E207" s="9" t="s">
        <v>78</v>
      </c>
      <c r="F207" s="68">
        <f t="shared" si="14"/>
        <v>42370</v>
      </c>
      <c r="G207" s="3">
        <v>1000000</v>
      </c>
      <c r="H207" s="3">
        <v>2000000</v>
      </c>
      <c r="I207" s="3">
        <v>2000000</v>
      </c>
      <c r="J207" s="3">
        <v>2000000</v>
      </c>
      <c r="K207" s="3">
        <v>2000000</v>
      </c>
    </row>
    <row r="208" spans="1:25" x14ac:dyDescent="0.25">
      <c r="A208" s="28" t="s">
        <v>105</v>
      </c>
      <c r="B208" s="8" t="s">
        <v>80</v>
      </c>
      <c r="C208" s="8" t="s">
        <v>77</v>
      </c>
      <c r="D208" s="9" t="s">
        <v>82</v>
      </c>
      <c r="E208" s="9" t="s">
        <v>78</v>
      </c>
      <c r="F208" s="68">
        <f t="shared" si="14"/>
        <v>42736</v>
      </c>
      <c r="G208" s="3">
        <v>1000000</v>
      </c>
      <c r="H208" s="3">
        <v>2000000</v>
      </c>
      <c r="I208" s="3">
        <v>2000000</v>
      </c>
      <c r="J208" s="3">
        <v>2000000</v>
      </c>
    </row>
    <row r="209" spans="1:26" x14ac:dyDescent="0.25">
      <c r="A209" s="28" t="s">
        <v>105</v>
      </c>
      <c r="B209" s="8" t="s">
        <v>80</v>
      </c>
      <c r="C209" s="8" t="s">
        <v>77</v>
      </c>
      <c r="D209" s="9" t="s">
        <v>82</v>
      </c>
      <c r="E209" s="9" t="s">
        <v>78</v>
      </c>
      <c r="F209" s="68">
        <f t="shared" si="14"/>
        <v>43101</v>
      </c>
      <c r="G209" s="3">
        <v>1000000</v>
      </c>
      <c r="H209" s="3">
        <v>2000000</v>
      </c>
      <c r="I209" s="3">
        <v>2000000</v>
      </c>
      <c r="J209" s="3"/>
    </row>
    <row r="210" spans="1:26" x14ac:dyDescent="0.25">
      <c r="A210" s="28" t="s">
        <v>105</v>
      </c>
      <c r="B210" s="8" t="s">
        <v>80</v>
      </c>
      <c r="C210" s="8" t="s">
        <v>77</v>
      </c>
      <c r="D210" s="9" t="s">
        <v>82</v>
      </c>
      <c r="E210" s="9" t="s">
        <v>78</v>
      </c>
      <c r="F210" s="68">
        <f t="shared" si="14"/>
        <v>43466</v>
      </c>
      <c r="G210" s="3">
        <v>1000000</v>
      </c>
      <c r="H210" s="3">
        <v>2000000</v>
      </c>
      <c r="I210" s="3"/>
      <c r="J210" s="3"/>
    </row>
    <row r="211" spans="1:26" x14ac:dyDescent="0.25">
      <c r="A211" s="28" t="s">
        <v>105</v>
      </c>
      <c r="B211" s="8" t="s">
        <v>80</v>
      </c>
      <c r="C211" s="8" t="s">
        <v>77</v>
      </c>
      <c r="D211" s="9" t="s">
        <v>82</v>
      </c>
      <c r="E211" s="9" t="s">
        <v>78</v>
      </c>
      <c r="F211" s="68">
        <f t="shared" si="14"/>
        <v>43831</v>
      </c>
      <c r="G211" s="3">
        <v>1000000</v>
      </c>
      <c r="H211" s="3"/>
      <c r="I211" s="3"/>
      <c r="J211" s="3"/>
    </row>
    <row r="212" spans="1:26" x14ac:dyDescent="0.25">
      <c r="A212" s="28"/>
      <c r="F212" s="4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x14ac:dyDescent="0.25">
      <c r="A213" s="28" t="s">
        <v>108</v>
      </c>
      <c r="B213" s="8" t="s">
        <v>80</v>
      </c>
      <c r="C213" s="8" t="s">
        <v>77</v>
      </c>
      <c r="D213" s="9" t="s">
        <v>82</v>
      </c>
      <c r="E213" s="9" t="s">
        <v>78</v>
      </c>
      <c r="F213" s="68">
        <f>triangle_start_date</f>
        <v>36892</v>
      </c>
      <c r="G213" s="3">
        <v>1000000</v>
      </c>
      <c r="H213" s="3">
        <v>2000000</v>
      </c>
      <c r="I213" s="3">
        <v>2000000</v>
      </c>
      <c r="J213" s="3">
        <v>2000000</v>
      </c>
      <c r="K213" s="3">
        <v>2000000</v>
      </c>
      <c r="L213" s="3">
        <v>2000000</v>
      </c>
      <c r="M213" s="3">
        <v>2000000</v>
      </c>
      <c r="N213" s="3">
        <v>2000000</v>
      </c>
      <c r="O213" s="3">
        <v>2000000</v>
      </c>
      <c r="P213" s="3">
        <v>2000000</v>
      </c>
      <c r="Q213" s="3">
        <v>2000000</v>
      </c>
      <c r="R213" s="3">
        <v>2000000</v>
      </c>
      <c r="S213" s="3">
        <v>2000000</v>
      </c>
      <c r="T213" s="3">
        <v>2000000</v>
      </c>
      <c r="U213" s="3">
        <v>2000000</v>
      </c>
      <c r="V213" s="3">
        <v>2000000</v>
      </c>
      <c r="W213" s="3">
        <v>2000000</v>
      </c>
      <c r="X213" s="3">
        <v>2000000</v>
      </c>
      <c r="Y213" s="3">
        <v>2000000</v>
      </c>
      <c r="Z213" s="3">
        <v>2000000</v>
      </c>
    </row>
    <row r="214" spans="1:26" x14ac:dyDescent="0.25">
      <c r="A214" s="28" t="s">
        <v>108</v>
      </c>
      <c r="B214" s="8" t="s">
        <v>80</v>
      </c>
      <c r="C214" s="8" t="s">
        <v>77</v>
      </c>
      <c r="D214" s="9" t="s">
        <v>82</v>
      </c>
      <c r="E214" s="9" t="s">
        <v>78</v>
      </c>
      <c r="F214" s="68">
        <f t="shared" ref="F214:F232" si="15">EDATE(F213,12)</f>
        <v>37257</v>
      </c>
      <c r="G214" s="3">
        <v>1000000</v>
      </c>
      <c r="H214" s="3">
        <v>2000000</v>
      </c>
      <c r="I214" s="3">
        <v>2000000</v>
      </c>
      <c r="J214" s="3">
        <v>2000000</v>
      </c>
      <c r="K214" s="3">
        <v>2000000</v>
      </c>
      <c r="L214" s="3">
        <v>2000000</v>
      </c>
      <c r="M214" s="3">
        <v>2000000</v>
      </c>
      <c r="N214" s="3">
        <v>2000000</v>
      </c>
      <c r="O214" s="3">
        <v>2000000</v>
      </c>
      <c r="P214" s="3">
        <v>2000000</v>
      </c>
      <c r="Q214" s="3">
        <v>2000000</v>
      </c>
      <c r="R214" s="3">
        <v>2000000</v>
      </c>
      <c r="S214" s="3">
        <v>2000000</v>
      </c>
      <c r="T214" s="3">
        <v>2000000</v>
      </c>
      <c r="U214" s="3">
        <v>2000000</v>
      </c>
      <c r="V214" s="3">
        <v>2000000</v>
      </c>
      <c r="W214" s="3">
        <v>2000000</v>
      </c>
      <c r="X214" s="3">
        <v>2000000</v>
      </c>
      <c r="Y214" s="3">
        <v>2000000</v>
      </c>
    </row>
    <row r="215" spans="1:26" x14ac:dyDescent="0.25">
      <c r="A215" s="28" t="s">
        <v>108</v>
      </c>
      <c r="B215" s="8" t="s">
        <v>80</v>
      </c>
      <c r="C215" s="8" t="s">
        <v>77</v>
      </c>
      <c r="D215" s="9" t="s">
        <v>82</v>
      </c>
      <c r="E215" s="9" t="s">
        <v>78</v>
      </c>
      <c r="F215" s="68">
        <f t="shared" si="15"/>
        <v>37622</v>
      </c>
      <c r="G215" s="3">
        <v>1000000</v>
      </c>
      <c r="H215" s="3">
        <v>2000000</v>
      </c>
      <c r="I215" s="3">
        <v>2000000</v>
      </c>
      <c r="J215" s="3">
        <v>2000000</v>
      </c>
      <c r="K215" s="3">
        <v>2000000</v>
      </c>
      <c r="L215" s="3">
        <v>2000000</v>
      </c>
      <c r="M215" s="3">
        <v>2000000</v>
      </c>
      <c r="N215" s="3">
        <v>2000000</v>
      </c>
      <c r="O215" s="3">
        <v>2000000</v>
      </c>
      <c r="P215" s="3">
        <v>2000000</v>
      </c>
      <c r="Q215" s="3">
        <v>2000000</v>
      </c>
      <c r="R215" s="3">
        <v>2000000</v>
      </c>
      <c r="S215" s="3">
        <v>2000000</v>
      </c>
      <c r="T215" s="3">
        <v>2000000</v>
      </c>
      <c r="U215" s="3">
        <v>2000000</v>
      </c>
      <c r="V215" s="3">
        <v>2000000</v>
      </c>
      <c r="W215" s="3">
        <v>2000000</v>
      </c>
      <c r="X215" s="3">
        <v>2000000</v>
      </c>
    </row>
    <row r="216" spans="1:26" x14ac:dyDescent="0.25">
      <c r="A216" s="28" t="s">
        <v>108</v>
      </c>
      <c r="B216" s="8" t="s">
        <v>80</v>
      </c>
      <c r="C216" s="8" t="s">
        <v>77</v>
      </c>
      <c r="D216" s="9" t="s">
        <v>82</v>
      </c>
      <c r="E216" s="9" t="s">
        <v>78</v>
      </c>
      <c r="F216" s="68">
        <f t="shared" si="15"/>
        <v>37987</v>
      </c>
      <c r="G216" s="3">
        <v>1000000</v>
      </c>
      <c r="H216" s="3">
        <v>2000000</v>
      </c>
      <c r="I216" s="3">
        <v>2000000</v>
      </c>
      <c r="J216" s="3">
        <v>2000000</v>
      </c>
      <c r="K216" s="3">
        <v>2000000</v>
      </c>
      <c r="L216" s="3">
        <v>2000000</v>
      </c>
      <c r="M216" s="3">
        <v>2000000</v>
      </c>
      <c r="N216" s="3">
        <v>2000000</v>
      </c>
      <c r="O216" s="3">
        <v>2000000</v>
      </c>
      <c r="P216" s="3">
        <v>2000000</v>
      </c>
      <c r="Q216" s="3">
        <v>2000000</v>
      </c>
      <c r="R216" s="3">
        <v>2000000</v>
      </c>
      <c r="S216" s="3">
        <v>2000000</v>
      </c>
      <c r="T216" s="3">
        <v>2000000</v>
      </c>
      <c r="U216" s="3">
        <v>2000000</v>
      </c>
      <c r="V216" s="3">
        <v>2000000</v>
      </c>
      <c r="W216" s="3">
        <v>2000000</v>
      </c>
    </row>
    <row r="217" spans="1:26" x14ac:dyDescent="0.25">
      <c r="A217" s="28" t="s">
        <v>108</v>
      </c>
      <c r="B217" s="8" t="s">
        <v>80</v>
      </c>
      <c r="C217" s="8" t="s">
        <v>77</v>
      </c>
      <c r="D217" s="9" t="s">
        <v>82</v>
      </c>
      <c r="E217" s="9" t="s">
        <v>78</v>
      </c>
      <c r="F217" s="68">
        <f t="shared" si="15"/>
        <v>38353</v>
      </c>
      <c r="G217" s="3">
        <v>1000000</v>
      </c>
      <c r="H217" s="3">
        <v>2000000</v>
      </c>
      <c r="I217" s="3">
        <v>2000000</v>
      </c>
      <c r="J217" s="3">
        <v>2000000</v>
      </c>
      <c r="K217" s="3">
        <v>2000000</v>
      </c>
      <c r="L217" s="3">
        <v>2000000</v>
      </c>
      <c r="M217" s="3">
        <v>2000000</v>
      </c>
      <c r="N217" s="3">
        <v>2000000</v>
      </c>
      <c r="O217" s="3">
        <v>2000000</v>
      </c>
      <c r="P217" s="3">
        <v>2000000</v>
      </c>
      <c r="Q217" s="3">
        <v>2000000</v>
      </c>
      <c r="R217" s="3">
        <v>2000000</v>
      </c>
      <c r="S217" s="3">
        <v>2000000</v>
      </c>
      <c r="T217" s="3">
        <v>2000000</v>
      </c>
      <c r="U217" s="3">
        <v>2000000</v>
      </c>
      <c r="V217" s="3">
        <v>2000000</v>
      </c>
    </row>
    <row r="218" spans="1:26" x14ac:dyDescent="0.25">
      <c r="A218" s="28" t="s">
        <v>108</v>
      </c>
      <c r="B218" s="8" t="s">
        <v>80</v>
      </c>
      <c r="C218" s="8" t="s">
        <v>77</v>
      </c>
      <c r="D218" s="9" t="s">
        <v>82</v>
      </c>
      <c r="E218" s="9" t="s">
        <v>78</v>
      </c>
      <c r="F218" s="68">
        <f t="shared" si="15"/>
        <v>38718</v>
      </c>
      <c r="G218" s="3">
        <v>1000000</v>
      </c>
      <c r="H218" s="3">
        <v>2000000</v>
      </c>
      <c r="I218" s="3">
        <v>2000000</v>
      </c>
      <c r="J218" s="3">
        <v>2000000</v>
      </c>
      <c r="K218" s="3">
        <v>2000000</v>
      </c>
      <c r="L218" s="3">
        <v>2000000</v>
      </c>
      <c r="M218" s="3">
        <v>2000000</v>
      </c>
      <c r="N218" s="3">
        <v>2000000</v>
      </c>
      <c r="O218" s="3">
        <v>2000000</v>
      </c>
      <c r="P218" s="3">
        <v>2000000</v>
      </c>
      <c r="Q218" s="3">
        <v>2000000</v>
      </c>
      <c r="R218" s="3">
        <v>2000000</v>
      </c>
      <c r="S218" s="3">
        <v>2000000</v>
      </c>
      <c r="T218" s="3">
        <v>2000000</v>
      </c>
      <c r="U218" s="3">
        <v>2000000</v>
      </c>
    </row>
    <row r="219" spans="1:26" x14ac:dyDescent="0.25">
      <c r="A219" s="28" t="s">
        <v>108</v>
      </c>
      <c r="B219" s="8" t="s">
        <v>80</v>
      </c>
      <c r="C219" s="8" t="s">
        <v>77</v>
      </c>
      <c r="D219" s="9" t="s">
        <v>82</v>
      </c>
      <c r="E219" s="9" t="s">
        <v>78</v>
      </c>
      <c r="F219" s="68">
        <f t="shared" si="15"/>
        <v>39083</v>
      </c>
      <c r="G219" s="3">
        <v>1000000</v>
      </c>
      <c r="H219" s="3">
        <v>2000000</v>
      </c>
      <c r="I219" s="3">
        <v>2000000</v>
      </c>
      <c r="J219" s="3">
        <v>2000000</v>
      </c>
      <c r="K219" s="3">
        <v>2000000</v>
      </c>
      <c r="L219" s="3">
        <v>2000000</v>
      </c>
      <c r="M219" s="3">
        <v>2000000</v>
      </c>
      <c r="N219" s="3">
        <v>2000000</v>
      </c>
      <c r="O219" s="3">
        <v>2000000</v>
      </c>
      <c r="P219" s="3">
        <v>2000000</v>
      </c>
      <c r="Q219" s="3">
        <v>2000000</v>
      </c>
      <c r="R219" s="3">
        <v>2000000</v>
      </c>
      <c r="S219" s="3">
        <v>2000000</v>
      </c>
      <c r="T219" s="3">
        <v>2000000</v>
      </c>
    </row>
    <row r="220" spans="1:26" x14ac:dyDescent="0.25">
      <c r="A220" s="28" t="s">
        <v>108</v>
      </c>
      <c r="B220" s="8" t="s">
        <v>80</v>
      </c>
      <c r="C220" s="8" t="s">
        <v>77</v>
      </c>
      <c r="D220" s="9" t="s">
        <v>82</v>
      </c>
      <c r="E220" s="9" t="s">
        <v>78</v>
      </c>
      <c r="F220" s="68">
        <f t="shared" si="15"/>
        <v>39448</v>
      </c>
      <c r="G220" s="3">
        <v>1000000</v>
      </c>
      <c r="H220" s="3">
        <v>2000000</v>
      </c>
      <c r="I220" s="3">
        <v>2000000</v>
      </c>
      <c r="J220" s="3">
        <v>2000000</v>
      </c>
      <c r="K220" s="3">
        <v>2000000</v>
      </c>
      <c r="L220" s="3">
        <v>2000000</v>
      </c>
      <c r="M220" s="3">
        <v>2000000</v>
      </c>
      <c r="N220" s="3">
        <v>2000000</v>
      </c>
      <c r="O220" s="3">
        <v>2000000</v>
      </c>
      <c r="P220" s="3">
        <v>2000000</v>
      </c>
      <c r="Q220" s="3">
        <v>2000000</v>
      </c>
      <c r="R220" s="3">
        <v>2000000</v>
      </c>
      <c r="S220" s="3">
        <v>2000000</v>
      </c>
    </row>
    <row r="221" spans="1:26" x14ac:dyDescent="0.25">
      <c r="A221" s="28" t="s">
        <v>108</v>
      </c>
      <c r="B221" s="8" t="s">
        <v>80</v>
      </c>
      <c r="C221" s="8" t="s">
        <v>77</v>
      </c>
      <c r="D221" s="9" t="s">
        <v>82</v>
      </c>
      <c r="E221" s="9" t="s">
        <v>78</v>
      </c>
      <c r="F221" s="68">
        <f t="shared" si="15"/>
        <v>39814</v>
      </c>
      <c r="G221" s="3">
        <v>1000000</v>
      </c>
      <c r="H221" s="3">
        <v>2000000</v>
      </c>
      <c r="I221" s="3">
        <v>2000000</v>
      </c>
      <c r="J221" s="3">
        <v>2000000</v>
      </c>
      <c r="K221" s="3">
        <v>2000000</v>
      </c>
      <c r="L221" s="3">
        <v>2000000</v>
      </c>
      <c r="M221" s="3">
        <v>2000000</v>
      </c>
      <c r="N221" s="3">
        <v>2000000</v>
      </c>
      <c r="O221" s="3">
        <v>2000000</v>
      </c>
      <c r="P221" s="3">
        <v>2000000</v>
      </c>
      <c r="Q221" s="3">
        <v>2000000</v>
      </c>
      <c r="R221" s="3">
        <v>2000000</v>
      </c>
    </row>
    <row r="222" spans="1:26" x14ac:dyDescent="0.25">
      <c r="A222" s="28" t="s">
        <v>108</v>
      </c>
      <c r="B222" s="8" t="s">
        <v>80</v>
      </c>
      <c r="C222" s="8" t="s">
        <v>77</v>
      </c>
      <c r="D222" s="9" t="s">
        <v>82</v>
      </c>
      <c r="E222" s="9" t="s">
        <v>78</v>
      </c>
      <c r="F222" s="68">
        <f t="shared" si="15"/>
        <v>40179</v>
      </c>
      <c r="G222" s="3">
        <v>1000000</v>
      </c>
      <c r="H222" s="3">
        <v>2000000</v>
      </c>
      <c r="I222" s="3">
        <v>2000000</v>
      </c>
      <c r="J222" s="3">
        <v>2000000</v>
      </c>
      <c r="K222" s="3">
        <v>2000000</v>
      </c>
      <c r="L222" s="3">
        <v>2000000</v>
      </c>
      <c r="M222" s="3">
        <v>2000000</v>
      </c>
      <c r="N222" s="3">
        <v>2000000</v>
      </c>
      <c r="O222" s="3">
        <v>2000000</v>
      </c>
      <c r="P222" s="3">
        <v>2000000</v>
      </c>
      <c r="Q222" s="3">
        <v>2000000</v>
      </c>
    </row>
    <row r="223" spans="1:26" x14ac:dyDescent="0.25">
      <c r="A223" s="28" t="s">
        <v>108</v>
      </c>
      <c r="B223" s="8" t="s">
        <v>80</v>
      </c>
      <c r="C223" s="8" t="s">
        <v>77</v>
      </c>
      <c r="D223" s="9" t="s">
        <v>82</v>
      </c>
      <c r="E223" s="9" t="s">
        <v>78</v>
      </c>
      <c r="F223" s="68">
        <f t="shared" si="15"/>
        <v>40544</v>
      </c>
      <c r="G223" s="3">
        <v>1000000</v>
      </c>
      <c r="H223" s="3">
        <v>2000000</v>
      </c>
      <c r="I223" s="3">
        <v>2000000</v>
      </c>
      <c r="J223" s="3">
        <v>2000000</v>
      </c>
      <c r="K223" s="3">
        <v>2000000</v>
      </c>
      <c r="L223" s="3">
        <v>2000000</v>
      </c>
      <c r="M223" s="3">
        <v>2000000</v>
      </c>
      <c r="N223" s="3">
        <v>2000000</v>
      </c>
      <c r="O223" s="3">
        <v>2000000</v>
      </c>
      <c r="P223" s="3">
        <v>2000000</v>
      </c>
    </row>
    <row r="224" spans="1:26" x14ac:dyDescent="0.25">
      <c r="A224" s="28" t="s">
        <v>108</v>
      </c>
      <c r="B224" s="8" t="s">
        <v>80</v>
      </c>
      <c r="C224" s="8" t="s">
        <v>77</v>
      </c>
      <c r="D224" s="9" t="s">
        <v>82</v>
      </c>
      <c r="E224" s="9" t="s">
        <v>78</v>
      </c>
      <c r="F224" s="68">
        <f t="shared" si="15"/>
        <v>40909</v>
      </c>
      <c r="G224" s="3">
        <v>1000000</v>
      </c>
      <c r="H224" s="3">
        <v>2000000</v>
      </c>
      <c r="I224" s="3">
        <v>2000000</v>
      </c>
      <c r="J224" s="3">
        <v>2000000</v>
      </c>
      <c r="K224" s="3">
        <v>2000000</v>
      </c>
      <c r="L224" s="3">
        <v>2000000</v>
      </c>
      <c r="M224" s="3">
        <v>2000000</v>
      </c>
      <c r="N224" s="3">
        <v>2000000</v>
      </c>
      <c r="O224" s="3">
        <v>2000000</v>
      </c>
    </row>
    <row r="225" spans="1:26" x14ac:dyDescent="0.25">
      <c r="A225" s="28" t="s">
        <v>108</v>
      </c>
      <c r="B225" s="8" t="s">
        <v>80</v>
      </c>
      <c r="C225" s="8" t="s">
        <v>77</v>
      </c>
      <c r="D225" s="9" t="s">
        <v>82</v>
      </c>
      <c r="E225" s="9" t="s">
        <v>78</v>
      </c>
      <c r="F225" s="68">
        <f t="shared" si="15"/>
        <v>41275</v>
      </c>
      <c r="G225" s="3">
        <v>1000000</v>
      </c>
      <c r="H225" s="3">
        <v>2000000</v>
      </c>
      <c r="I225" s="3">
        <v>2000000</v>
      </c>
      <c r="J225" s="3">
        <v>2000000</v>
      </c>
      <c r="K225" s="3">
        <v>2000000</v>
      </c>
      <c r="L225" s="3">
        <v>2000000</v>
      </c>
      <c r="M225" s="3">
        <v>2000000</v>
      </c>
      <c r="N225" s="3">
        <v>2000000</v>
      </c>
    </row>
    <row r="226" spans="1:26" x14ac:dyDescent="0.25">
      <c r="A226" s="28" t="s">
        <v>108</v>
      </c>
      <c r="B226" s="8" t="s">
        <v>80</v>
      </c>
      <c r="C226" s="8" t="s">
        <v>77</v>
      </c>
      <c r="D226" s="9" t="s">
        <v>82</v>
      </c>
      <c r="E226" s="9" t="s">
        <v>78</v>
      </c>
      <c r="F226" s="68">
        <f t="shared" si="15"/>
        <v>41640</v>
      </c>
      <c r="G226" s="3">
        <v>1000000</v>
      </c>
      <c r="H226" s="3">
        <v>2000000</v>
      </c>
      <c r="I226" s="3">
        <v>2000000</v>
      </c>
      <c r="J226" s="3">
        <v>2000000</v>
      </c>
      <c r="K226" s="3">
        <v>2000000</v>
      </c>
      <c r="L226" s="3">
        <v>2000000</v>
      </c>
      <c r="M226" s="3">
        <v>2000000</v>
      </c>
    </row>
    <row r="227" spans="1:26" x14ac:dyDescent="0.25">
      <c r="A227" s="28" t="s">
        <v>108</v>
      </c>
      <c r="B227" s="8" t="s">
        <v>80</v>
      </c>
      <c r="C227" s="8" t="s">
        <v>77</v>
      </c>
      <c r="D227" s="9" t="s">
        <v>82</v>
      </c>
      <c r="E227" s="9" t="s">
        <v>78</v>
      </c>
      <c r="F227" s="68">
        <f t="shared" si="15"/>
        <v>42005</v>
      </c>
      <c r="G227" s="3">
        <v>1000000</v>
      </c>
      <c r="H227" s="3">
        <v>2000000</v>
      </c>
      <c r="I227" s="3">
        <v>2000000</v>
      </c>
      <c r="J227" s="3">
        <v>2000000</v>
      </c>
      <c r="K227" s="3">
        <v>2000000</v>
      </c>
      <c r="L227" s="3">
        <v>2000000</v>
      </c>
    </row>
    <row r="228" spans="1:26" x14ac:dyDescent="0.25">
      <c r="A228" s="28" t="s">
        <v>108</v>
      </c>
      <c r="B228" s="8" t="s">
        <v>80</v>
      </c>
      <c r="C228" s="8" t="s">
        <v>77</v>
      </c>
      <c r="D228" s="9" t="s">
        <v>82</v>
      </c>
      <c r="E228" s="9" t="s">
        <v>78</v>
      </c>
      <c r="F228" s="68">
        <f t="shared" si="15"/>
        <v>42370</v>
      </c>
      <c r="G228" s="3">
        <v>1000000</v>
      </c>
      <c r="H228" s="3">
        <v>2000000</v>
      </c>
      <c r="I228" s="3">
        <v>2000000</v>
      </c>
      <c r="J228" s="3">
        <v>2000000</v>
      </c>
      <c r="K228" s="3">
        <v>2000000</v>
      </c>
    </row>
    <row r="229" spans="1:26" x14ac:dyDescent="0.25">
      <c r="A229" s="28" t="s">
        <v>108</v>
      </c>
      <c r="B229" s="8" t="s">
        <v>80</v>
      </c>
      <c r="C229" s="8" t="s">
        <v>77</v>
      </c>
      <c r="D229" s="9" t="s">
        <v>82</v>
      </c>
      <c r="E229" s="9" t="s">
        <v>78</v>
      </c>
      <c r="F229" s="68">
        <f t="shared" si="15"/>
        <v>42736</v>
      </c>
      <c r="G229" s="3">
        <v>1000000</v>
      </c>
      <c r="H229" s="3">
        <v>2000000</v>
      </c>
      <c r="I229" s="3">
        <v>2000000</v>
      </c>
      <c r="J229" s="3">
        <v>2000000</v>
      </c>
    </row>
    <row r="230" spans="1:26" x14ac:dyDescent="0.25">
      <c r="A230" s="28" t="s">
        <v>108</v>
      </c>
      <c r="B230" s="8" t="s">
        <v>80</v>
      </c>
      <c r="C230" s="8" t="s">
        <v>77</v>
      </c>
      <c r="D230" s="9" t="s">
        <v>82</v>
      </c>
      <c r="E230" s="9" t="s">
        <v>78</v>
      </c>
      <c r="F230" s="68">
        <f t="shared" si="15"/>
        <v>43101</v>
      </c>
      <c r="G230" s="3">
        <v>1000000</v>
      </c>
      <c r="H230" s="3">
        <v>2000000</v>
      </c>
      <c r="I230" s="3">
        <v>2000000</v>
      </c>
      <c r="J230" s="3"/>
    </row>
    <row r="231" spans="1:26" x14ac:dyDescent="0.25">
      <c r="A231" s="28" t="s">
        <v>108</v>
      </c>
      <c r="B231" s="8" t="s">
        <v>80</v>
      </c>
      <c r="C231" s="8" t="s">
        <v>77</v>
      </c>
      <c r="D231" s="9" t="s">
        <v>82</v>
      </c>
      <c r="E231" s="9" t="s">
        <v>78</v>
      </c>
      <c r="F231" s="68">
        <f t="shared" si="15"/>
        <v>43466</v>
      </c>
      <c r="G231" s="3">
        <v>1000000</v>
      </c>
      <c r="H231" s="3">
        <v>2000000</v>
      </c>
      <c r="I231" s="3"/>
      <c r="J231" s="3"/>
    </row>
    <row r="232" spans="1:26" x14ac:dyDescent="0.25">
      <c r="A232" s="28" t="s">
        <v>108</v>
      </c>
      <c r="B232" s="8" t="s">
        <v>80</v>
      </c>
      <c r="C232" s="8" t="s">
        <v>77</v>
      </c>
      <c r="D232" s="9" t="s">
        <v>82</v>
      </c>
      <c r="E232" s="9" t="s">
        <v>78</v>
      </c>
      <c r="F232" s="68">
        <f t="shared" si="15"/>
        <v>43831</v>
      </c>
      <c r="G232" s="3">
        <v>1000000</v>
      </c>
      <c r="H232" s="3"/>
      <c r="I232" s="3"/>
      <c r="J232" s="3"/>
    </row>
    <row r="233" spans="1:26" x14ac:dyDescent="0.25">
      <c r="A233" s="28"/>
      <c r="F233" s="42"/>
      <c r="H233" s="3"/>
      <c r="I233" s="3"/>
      <c r="J233" s="3"/>
    </row>
    <row r="234" spans="1:26" x14ac:dyDescent="0.25">
      <c r="A234" s="28" t="s">
        <v>109</v>
      </c>
      <c r="B234" s="8" t="s">
        <v>80</v>
      </c>
      <c r="C234" s="8" t="s">
        <v>77</v>
      </c>
      <c r="D234" s="9" t="s">
        <v>82</v>
      </c>
      <c r="E234" s="9" t="s">
        <v>78</v>
      </c>
      <c r="F234" s="68">
        <f>triangle_start_date</f>
        <v>36892</v>
      </c>
      <c r="G234" s="3">
        <v>1000000</v>
      </c>
      <c r="H234" s="3">
        <v>2000000</v>
      </c>
      <c r="I234" s="3">
        <v>2000000</v>
      </c>
      <c r="J234" s="3">
        <v>2000000</v>
      </c>
      <c r="K234" s="3">
        <v>2000000</v>
      </c>
      <c r="L234" s="3">
        <v>2000000</v>
      </c>
      <c r="M234" s="3">
        <v>2000000</v>
      </c>
      <c r="N234" s="3">
        <v>2000000</v>
      </c>
      <c r="O234" s="3">
        <v>2000000</v>
      </c>
      <c r="P234" s="3">
        <v>2000000</v>
      </c>
      <c r="Q234" s="3">
        <v>2000000</v>
      </c>
      <c r="R234" s="3">
        <v>2000000</v>
      </c>
      <c r="S234" s="3">
        <v>2000000</v>
      </c>
      <c r="T234" s="3">
        <v>2000000</v>
      </c>
      <c r="U234" s="3">
        <v>2000000</v>
      </c>
      <c r="V234" s="3">
        <v>2000000</v>
      </c>
      <c r="W234" s="3">
        <v>2000000</v>
      </c>
      <c r="X234" s="3">
        <v>2000000</v>
      </c>
      <c r="Y234" s="3">
        <v>2000000</v>
      </c>
      <c r="Z234" s="3">
        <v>2000000</v>
      </c>
    </row>
    <row r="235" spans="1:26" x14ac:dyDescent="0.25">
      <c r="A235" s="28" t="s">
        <v>109</v>
      </c>
      <c r="B235" s="8" t="s">
        <v>80</v>
      </c>
      <c r="C235" s="8" t="s">
        <v>77</v>
      </c>
      <c r="D235" s="9" t="s">
        <v>82</v>
      </c>
      <c r="E235" s="9" t="s">
        <v>78</v>
      </c>
      <c r="F235" s="68">
        <f t="shared" ref="F235:F253" si="16">EDATE(F234,12)</f>
        <v>37257</v>
      </c>
      <c r="G235" s="3">
        <v>1000000</v>
      </c>
      <c r="H235" s="3">
        <v>2000000</v>
      </c>
      <c r="I235" s="3">
        <v>2000000</v>
      </c>
      <c r="J235" s="3">
        <v>2000000</v>
      </c>
      <c r="K235" s="3">
        <v>2000000</v>
      </c>
      <c r="L235" s="3">
        <v>2000000</v>
      </c>
      <c r="M235" s="3">
        <v>2000000</v>
      </c>
      <c r="N235" s="3">
        <v>2000000</v>
      </c>
      <c r="O235" s="3">
        <v>2000000</v>
      </c>
      <c r="P235" s="3">
        <v>2000000</v>
      </c>
      <c r="Q235" s="3">
        <v>2000000</v>
      </c>
      <c r="R235" s="3">
        <v>2000000</v>
      </c>
      <c r="S235" s="3">
        <v>2000000</v>
      </c>
      <c r="T235" s="3">
        <v>2000000</v>
      </c>
      <c r="U235" s="3">
        <v>2000000</v>
      </c>
      <c r="V235" s="3">
        <v>2000000</v>
      </c>
      <c r="W235" s="3">
        <v>2000000</v>
      </c>
      <c r="X235" s="3">
        <v>2000000</v>
      </c>
      <c r="Y235" s="3">
        <v>2000000</v>
      </c>
    </row>
    <row r="236" spans="1:26" x14ac:dyDescent="0.25">
      <c r="A236" s="28" t="s">
        <v>109</v>
      </c>
      <c r="B236" s="8" t="s">
        <v>80</v>
      </c>
      <c r="C236" s="8" t="s">
        <v>77</v>
      </c>
      <c r="D236" s="9" t="s">
        <v>82</v>
      </c>
      <c r="E236" s="9" t="s">
        <v>78</v>
      </c>
      <c r="F236" s="68">
        <f t="shared" si="16"/>
        <v>37622</v>
      </c>
      <c r="G236" s="3">
        <v>1000000</v>
      </c>
      <c r="H236" s="3">
        <v>2000000</v>
      </c>
      <c r="I236" s="3">
        <v>2000000</v>
      </c>
      <c r="J236" s="3">
        <v>2000000</v>
      </c>
      <c r="K236" s="3">
        <v>2000000</v>
      </c>
      <c r="L236" s="3">
        <v>2000000</v>
      </c>
      <c r="M236" s="3">
        <v>2000000</v>
      </c>
      <c r="N236" s="3">
        <v>2000000</v>
      </c>
      <c r="O236" s="3">
        <v>2000000</v>
      </c>
      <c r="P236" s="3">
        <v>2000000</v>
      </c>
      <c r="Q236" s="3">
        <v>2000000</v>
      </c>
      <c r="R236" s="3">
        <v>2000000</v>
      </c>
      <c r="S236" s="3">
        <v>2000000</v>
      </c>
      <c r="T236" s="3">
        <v>2000000</v>
      </c>
      <c r="U236" s="3">
        <v>2000000</v>
      </c>
      <c r="V236" s="3">
        <v>2000000</v>
      </c>
      <c r="W236" s="3">
        <v>2000000</v>
      </c>
      <c r="X236" s="3">
        <v>2000000</v>
      </c>
    </row>
    <row r="237" spans="1:26" x14ac:dyDescent="0.25">
      <c r="A237" s="28" t="s">
        <v>109</v>
      </c>
      <c r="B237" s="8" t="s">
        <v>80</v>
      </c>
      <c r="C237" s="8" t="s">
        <v>77</v>
      </c>
      <c r="D237" s="9" t="s">
        <v>82</v>
      </c>
      <c r="E237" s="9" t="s">
        <v>78</v>
      </c>
      <c r="F237" s="68">
        <f t="shared" si="16"/>
        <v>37987</v>
      </c>
      <c r="G237" s="3">
        <v>1000000</v>
      </c>
      <c r="H237" s="3">
        <v>2000000</v>
      </c>
      <c r="I237" s="3">
        <v>2000000</v>
      </c>
      <c r="J237" s="3">
        <v>2000000</v>
      </c>
      <c r="K237" s="3">
        <v>2000000</v>
      </c>
      <c r="L237" s="3">
        <v>2000000</v>
      </c>
      <c r="M237" s="3">
        <v>2000000</v>
      </c>
      <c r="N237" s="3">
        <v>2000000</v>
      </c>
      <c r="O237" s="3">
        <v>2000000</v>
      </c>
      <c r="P237" s="3">
        <v>2000000</v>
      </c>
      <c r="Q237" s="3">
        <v>2000000</v>
      </c>
      <c r="R237" s="3">
        <v>2000000</v>
      </c>
      <c r="S237" s="3">
        <v>2000000</v>
      </c>
      <c r="T237" s="3">
        <v>2000000</v>
      </c>
      <c r="U237" s="3">
        <v>2000000</v>
      </c>
      <c r="V237" s="3">
        <v>2000000</v>
      </c>
      <c r="W237" s="3">
        <v>2000000</v>
      </c>
    </row>
    <row r="238" spans="1:26" x14ac:dyDescent="0.25">
      <c r="A238" s="28" t="s">
        <v>109</v>
      </c>
      <c r="B238" s="8" t="s">
        <v>80</v>
      </c>
      <c r="C238" s="8" t="s">
        <v>77</v>
      </c>
      <c r="D238" s="9" t="s">
        <v>82</v>
      </c>
      <c r="E238" s="9" t="s">
        <v>78</v>
      </c>
      <c r="F238" s="68">
        <f t="shared" si="16"/>
        <v>38353</v>
      </c>
      <c r="G238" s="3">
        <v>1000000</v>
      </c>
      <c r="H238" s="3">
        <v>2000000</v>
      </c>
      <c r="I238" s="3">
        <v>2000000</v>
      </c>
      <c r="J238" s="3">
        <v>2000000</v>
      </c>
      <c r="K238" s="3">
        <v>2000000</v>
      </c>
      <c r="L238" s="3">
        <v>2000000</v>
      </c>
      <c r="M238" s="3">
        <v>2000000</v>
      </c>
      <c r="N238" s="3">
        <v>2000000</v>
      </c>
      <c r="O238" s="3">
        <v>2000000</v>
      </c>
      <c r="P238" s="3">
        <v>2000000</v>
      </c>
      <c r="Q238" s="3">
        <v>2000000</v>
      </c>
      <c r="R238" s="3">
        <v>2000000</v>
      </c>
      <c r="S238" s="3">
        <v>2000000</v>
      </c>
      <c r="T238" s="3">
        <v>2000000</v>
      </c>
      <c r="U238" s="3">
        <v>2000000</v>
      </c>
      <c r="V238" s="3">
        <v>2000000</v>
      </c>
    </row>
    <row r="239" spans="1:26" x14ac:dyDescent="0.25">
      <c r="A239" s="28" t="s">
        <v>109</v>
      </c>
      <c r="B239" s="8" t="s">
        <v>80</v>
      </c>
      <c r="C239" s="8" t="s">
        <v>77</v>
      </c>
      <c r="D239" s="9" t="s">
        <v>82</v>
      </c>
      <c r="E239" s="9" t="s">
        <v>78</v>
      </c>
      <c r="F239" s="68">
        <f t="shared" si="16"/>
        <v>38718</v>
      </c>
      <c r="G239" s="3">
        <v>1000000</v>
      </c>
      <c r="H239" s="3">
        <v>2000000</v>
      </c>
      <c r="I239" s="3">
        <v>2000000</v>
      </c>
      <c r="J239" s="3">
        <v>2000000</v>
      </c>
      <c r="K239" s="3">
        <v>2000000</v>
      </c>
      <c r="L239" s="3">
        <v>2000000</v>
      </c>
      <c r="M239" s="3">
        <v>2000000</v>
      </c>
      <c r="N239" s="3">
        <v>2000000</v>
      </c>
      <c r="O239" s="3">
        <v>2000000</v>
      </c>
      <c r="P239" s="3">
        <v>2000000</v>
      </c>
      <c r="Q239" s="3">
        <v>2000000</v>
      </c>
      <c r="R239" s="3">
        <v>2000000</v>
      </c>
      <c r="S239" s="3">
        <v>2000000</v>
      </c>
      <c r="T239" s="3">
        <v>2000000</v>
      </c>
      <c r="U239" s="3">
        <v>2000000</v>
      </c>
    </row>
    <row r="240" spans="1:26" x14ac:dyDescent="0.25">
      <c r="A240" s="28" t="s">
        <v>109</v>
      </c>
      <c r="B240" s="8" t="s">
        <v>80</v>
      </c>
      <c r="C240" s="8" t="s">
        <v>77</v>
      </c>
      <c r="D240" s="9" t="s">
        <v>82</v>
      </c>
      <c r="E240" s="9" t="s">
        <v>78</v>
      </c>
      <c r="F240" s="68">
        <f t="shared" si="16"/>
        <v>39083</v>
      </c>
      <c r="G240" s="3">
        <v>1000000</v>
      </c>
      <c r="H240" s="3">
        <v>2000000</v>
      </c>
      <c r="I240" s="3">
        <v>2000000</v>
      </c>
      <c r="J240" s="3">
        <v>2000000</v>
      </c>
      <c r="K240" s="3">
        <v>2000000</v>
      </c>
      <c r="L240" s="3">
        <v>2000000</v>
      </c>
      <c r="M240" s="3">
        <v>2000000</v>
      </c>
      <c r="N240" s="3">
        <v>2000000</v>
      </c>
      <c r="O240" s="3">
        <v>2000000</v>
      </c>
      <c r="P240" s="3">
        <v>2000000</v>
      </c>
      <c r="Q240" s="3">
        <v>2000000</v>
      </c>
      <c r="R240" s="3">
        <v>2000000</v>
      </c>
      <c r="S240" s="3">
        <v>2000000</v>
      </c>
      <c r="T240" s="3">
        <v>2000000</v>
      </c>
    </row>
    <row r="241" spans="1:26" x14ac:dyDescent="0.25">
      <c r="A241" s="28" t="s">
        <v>109</v>
      </c>
      <c r="B241" s="8" t="s">
        <v>80</v>
      </c>
      <c r="C241" s="8" t="s">
        <v>77</v>
      </c>
      <c r="D241" s="9" t="s">
        <v>82</v>
      </c>
      <c r="E241" s="9" t="s">
        <v>78</v>
      </c>
      <c r="F241" s="68">
        <f t="shared" si="16"/>
        <v>39448</v>
      </c>
      <c r="G241" s="3">
        <v>1000000</v>
      </c>
      <c r="H241" s="3">
        <v>2000000</v>
      </c>
      <c r="I241" s="3">
        <v>2000000</v>
      </c>
      <c r="J241" s="3">
        <v>2000000</v>
      </c>
      <c r="K241" s="3">
        <v>2000000</v>
      </c>
      <c r="L241" s="3">
        <v>2000000</v>
      </c>
      <c r="M241" s="3">
        <v>2000000</v>
      </c>
      <c r="N241" s="3">
        <v>2000000</v>
      </c>
      <c r="O241" s="3">
        <v>2000000</v>
      </c>
      <c r="P241" s="3">
        <v>2000000</v>
      </c>
      <c r="Q241" s="3">
        <v>2000000</v>
      </c>
      <c r="R241" s="3">
        <v>2000000</v>
      </c>
      <c r="S241" s="3">
        <v>2000000</v>
      </c>
    </row>
    <row r="242" spans="1:26" x14ac:dyDescent="0.25">
      <c r="A242" s="28" t="s">
        <v>109</v>
      </c>
      <c r="B242" s="8" t="s">
        <v>80</v>
      </c>
      <c r="C242" s="8" t="s">
        <v>77</v>
      </c>
      <c r="D242" s="9" t="s">
        <v>82</v>
      </c>
      <c r="E242" s="9" t="s">
        <v>78</v>
      </c>
      <c r="F242" s="68">
        <f t="shared" si="16"/>
        <v>39814</v>
      </c>
      <c r="G242" s="3">
        <v>1000000</v>
      </c>
      <c r="H242" s="3">
        <v>2000000</v>
      </c>
      <c r="I242" s="3">
        <v>2000000</v>
      </c>
      <c r="J242" s="3">
        <v>2000000</v>
      </c>
      <c r="K242" s="3">
        <v>2000000</v>
      </c>
      <c r="L242" s="3">
        <v>2000000</v>
      </c>
      <c r="M242" s="3">
        <v>2000000</v>
      </c>
      <c r="N242" s="3">
        <v>2000000</v>
      </c>
      <c r="O242" s="3">
        <v>2000000</v>
      </c>
      <c r="P242" s="3">
        <v>2000000</v>
      </c>
      <c r="Q242" s="3">
        <v>2000000</v>
      </c>
      <c r="R242" s="3">
        <v>2000000</v>
      </c>
    </row>
    <row r="243" spans="1:26" x14ac:dyDescent="0.25">
      <c r="A243" s="28" t="s">
        <v>109</v>
      </c>
      <c r="B243" s="8" t="s">
        <v>80</v>
      </c>
      <c r="C243" s="8" t="s">
        <v>77</v>
      </c>
      <c r="D243" s="9" t="s">
        <v>82</v>
      </c>
      <c r="E243" s="9" t="s">
        <v>78</v>
      </c>
      <c r="F243" s="68">
        <f t="shared" si="16"/>
        <v>40179</v>
      </c>
      <c r="G243" s="3">
        <v>1000000</v>
      </c>
      <c r="H243" s="3">
        <v>2000000</v>
      </c>
      <c r="I243" s="3">
        <v>2000000</v>
      </c>
      <c r="J243" s="3">
        <v>2000000</v>
      </c>
      <c r="K243" s="3">
        <v>2000000</v>
      </c>
      <c r="L243" s="3">
        <v>2000000</v>
      </c>
      <c r="M243" s="3">
        <v>2000000</v>
      </c>
      <c r="N243" s="3">
        <v>2000000</v>
      </c>
      <c r="O243" s="3">
        <v>2000000</v>
      </c>
      <c r="P243" s="3">
        <v>2000000</v>
      </c>
      <c r="Q243" s="3">
        <v>2000000</v>
      </c>
    </row>
    <row r="244" spans="1:26" x14ac:dyDescent="0.25">
      <c r="A244" s="28" t="s">
        <v>109</v>
      </c>
      <c r="B244" s="8" t="s">
        <v>80</v>
      </c>
      <c r="C244" s="8" t="s">
        <v>77</v>
      </c>
      <c r="D244" s="9" t="s">
        <v>82</v>
      </c>
      <c r="E244" s="9" t="s">
        <v>78</v>
      </c>
      <c r="F244" s="68">
        <f t="shared" si="16"/>
        <v>40544</v>
      </c>
      <c r="G244" s="3">
        <v>1000000</v>
      </c>
      <c r="H244" s="3">
        <v>2000000</v>
      </c>
      <c r="I244" s="3">
        <v>2000000</v>
      </c>
      <c r="J244" s="3">
        <v>2000000</v>
      </c>
      <c r="K244" s="3">
        <v>2000000</v>
      </c>
      <c r="L244" s="3">
        <v>2000000</v>
      </c>
      <c r="M244" s="3">
        <v>2000000</v>
      </c>
      <c r="N244" s="3">
        <v>2000000</v>
      </c>
      <c r="O244" s="3">
        <v>2000000</v>
      </c>
      <c r="P244" s="3">
        <v>2000000</v>
      </c>
    </row>
    <row r="245" spans="1:26" x14ac:dyDescent="0.25">
      <c r="A245" s="28" t="s">
        <v>109</v>
      </c>
      <c r="B245" s="8" t="s">
        <v>80</v>
      </c>
      <c r="C245" s="8" t="s">
        <v>77</v>
      </c>
      <c r="D245" s="9" t="s">
        <v>82</v>
      </c>
      <c r="E245" s="9" t="s">
        <v>78</v>
      </c>
      <c r="F245" s="68">
        <f t="shared" si="16"/>
        <v>40909</v>
      </c>
      <c r="G245" s="3">
        <v>1000000</v>
      </c>
      <c r="H245" s="3">
        <v>2000000</v>
      </c>
      <c r="I245" s="3">
        <v>2000000</v>
      </c>
      <c r="J245" s="3">
        <v>2000000</v>
      </c>
      <c r="K245" s="3">
        <v>2000000</v>
      </c>
      <c r="L245" s="3">
        <v>2000000</v>
      </c>
      <c r="M245" s="3">
        <v>2000000</v>
      </c>
      <c r="N245" s="3">
        <v>2000000</v>
      </c>
      <c r="O245" s="3">
        <v>2000000</v>
      </c>
    </row>
    <row r="246" spans="1:26" x14ac:dyDescent="0.25">
      <c r="A246" s="28" t="s">
        <v>109</v>
      </c>
      <c r="B246" s="8" t="s">
        <v>80</v>
      </c>
      <c r="C246" s="8" t="s">
        <v>77</v>
      </c>
      <c r="D246" s="9" t="s">
        <v>82</v>
      </c>
      <c r="E246" s="9" t="s">
        <v>78</v>
      </c>
      <c r="F246" s="68">
        <f t="shared" si="16"/>
        <v>41275</v>
      </c>
      <c r="G246" s="3">
        <v>1000000</v>
      </c>
      <c r="H246" s="3">
        <v>2000000</v>
      </c>
      <c r="I246" s="3">
        <v>2000000</v>
      </c>
      <c r="J246" s="3">
        <v>2000000</v>
      </c>
      <c r="K246" s="3">
        <v>2000000</v>
      </c>
      <c r="L246" s="3">
        <v>2000000</v>
      </c>
      <c r="M246" s="3">
        <v>2000000</v>
      </c>
      <c r="N246" s="3">
        <v>2000000</v>
      </c>
    </row>
    <row r="247" spans="1:26" x14ac:dyDescent="0.25">
      <c r="A247" s="28" t="s">
        <v>109</v>
      </c>
      <c r="B247" s="8" t="s">
        <v>80</v>
      </c>
      <c r="C247" s="8" t="s">
        <v>77</v>
      </c>
      <c r="D247" s="9" t="s">
        <v>82</v>
      </c>
      <c r="E247" s="9" t="s">
        <v>78</v>
      </c>
      <c r="F247" s="68">
        <f t="shared" si="16"/>
        <v>41640</v>
      </c>
      <c r="G247" s="3">
        <v>1000000</v>
      </c>
      <c r="H247" s="3">
        <v>2000000</v>
      </c>
      <c r="I247" s="3">
        <v>2000000</v>
      </c>
      <c r="J247" s="3">
        <v>2000000</v>
      </c>
      <c r="K247" s="3">
        <v>2000000</v>
      </c>
      <c r="L247" s="3">
        <v>2000000</v>
      </c>
      <c r="M247" s="3">
        <v>2000000</v>
      </c>
    </row>
    <row r="248" spans="1:26" x14ac:dyDescent="0.25">
      <c r="A248" s="28" t="s">
        <v>109</v>
      </c>
      <c r="B248" s="8" t="s">
        <v>80</v>
      </c>
      <c r="C248" s="8" t="s">
        <v>77</v>
      </c>
      <c r="D248" s="9" t="s">
        <v>82</v>
      </c>
      <c r="E248" s="9" t="s">
        <v>78</v>
      </c>
      <c r="F248" s="68">
        <f t="shared" si="16"/>
        <v>42005</v>
      </c>
      <c r="G248" s="3">
        <v>1000000</v>
      </c>
      <c r="H248" s="3">
        <v>2000000</v>
      </c>
      <c r="I248" s="3">
        <v>2000000</v>
      </c>
      <c r="J248" s="3">
        <v>2000000</v>
      </c>
      <c r="K248" s="3">
        <v>2000000</v>
      </c>
      <c r="L248" s="3">
        <v>2000000</v>
      </c>
    </row>
    <row r="249" spans="1:26" x14ac:dyDescent="0.25">
      <c r="A249" s="28" t="s">
        <v>109</v>
      </c>
      <c r="B249" s="8" t="s">
        <v>80</v>
      </c>
      <c r="C249" s="8" t="s">
        <v>77</v>
      </c>
      <c r="D249" s="9" t="s">
        <v>82</v>
      </c>
      <c r="E249" s="9" t="s">
        <v>78</v>
      </c>
      <c r="F249" s="68">
        <f t="shared" si="16"/>
        <v>42370</v>
      </c>
      <c r="G249" s="3">
        <v>1000000</v>
      </c>
      <c r="H249" s="3">
        <v>2000000</v>
      </c>
      <c r="I249" s="3">
        <v>2000000</v>
      </c>
      <c r="J249" s="3">
        <v>2000000</v>
      </c>
      <c r="K249" s="3">
        <v>2000000</v>
      </c>
    </row>
    <row r="250" spans="1:26" x14ac:dyDescent="0.25">
      <c r="A250" s="28" t="s">
        <v>109</v>
      </c>
      <c r="B250" s="8" t="s">
        <v>80</v>
      </c>
      <c r="C250" s="8" t="s">
        <v>77</v>
      </c>
      <c r="D250" s="9" t="s">
        <v>82</v>
      </c>
      <c r="E250" s="9" t="s">
        <v>78</v>
      </c>
      <c r="F250" s="68">
        <f t="shared" si="16"/>
        <v>42736</v>
      </c>
      <c r="G250" s="3">
        <v>1000000</v>
      </c>
      <c r="H250" s="3">
        <v>2000000</v>
      </c>
      <c r="I250" s="3">
        <v>2000000</v>
      </c>
      <c r="J250" s="3">
        <v>2000000</v>
      </c>
    </row>
    <row r="251" spans="1:26" x14ac:dyDescent="0.25">
      <c r="A251" s="28" t="s">
        <v>109</v>
      </c>
      <c r="B251" s="8" t="s">
        <v>80</v>
      </c>
      <c r="C251" s="8" t="s">
        <v>77</v>
      </c>
      <c r="D251" s="9" t="s">
        <v>82</v>
      </c>
      <c r="E251" s="9" t="s">
        <v>78</v>
      </c>
      <c r="F251" s="68">
        <f t="shared" si="16"/>
        <v>43101</v>
      </c>
      <c r="G251" s="3">
        <v>1000000</v>
      </c>
      <c r="H251" s="3">
        <v>2000000</v>
      </c>
      <c r="I251" s="3">
        <v>2000000</v>
      </c>
      <c r="J251" s="3"/>
    </row>
    <row r="252" spans="1:26" x14ac:dyDescent="0.25">
      <c r="A252" s="28" t="s">
        <v>109</v>
      </c>
      <c r="B252" s="8" t="s">
        <v>80</v>
      </c>
      <c r="C252" s="8" t="s">
        <v>77</v>
      </c>
      <c r="D252" s="9" t="s">
        <v>82</v>
      </c>
      <c r="E252" s="9" t="s">
        <v>78</v>
      </c>
      <c r="F252" s="68">
        <f t="shared" si="16"/>
        <v>43466</v>
      </c>
      <c r="G252" s="3">
        <v>1000000</v>
      </c>
      <c r="H252" s="3">
        <v>2000000</v>
      </c>
      <c r="I252" s="3"/>
      <c r="J252" s="3"/>
    </row>
    <row r="253" spans="1:26" x14ac:dyDescent="0.25">
      <c r="A253" s="28" t="s">
        <v>109</v>
      </c>
      <c r="B253" s="8" t="s">
        <v>80</v>
      </c>
      <c r="C253" s="8" t="s">
        <v>77</v>
      </c>
      <c r="D253" s="9" t="s">
        <v>82</v>
      </c>
      <c r="E253" s="9" t="s">
        <v>78</v>
      </c>
      <c r="F253" s="68">
        <f t="shared" si="16"/>
        <v>43831</v>
      </c>
      <c r="G253" s="3">
        <v>1000000</v>
      </c>
      <c r="H253" s="3"/>
      <c r="I253" s="3"/>
      <c r="J253" s="3"/>
    </row>
    <row r="254" spans="1:26" x14ac:dyDescent="0.25">
      <c r="A254" s="28"/>
      <c r="F254" s="42"/>
    </row>
    <row r="255" spans="1:26" x14ac:dyDescent="0.25">
      <c r="A255" s="28" t="s">
        <v>96</v>
      </c>
      <c r="B255" s="8" t="s">
        <v>79</v>
      </c>
      <c r="C255" s="8" t="s">
        <v>77</v>
      </c>
      <c r="D255" s="9" t="s">
        <v>82</v>
      </c>
      <c r="E255" s="9" t="s">
        <v>78</v>
      </c>
      <c r="F255" s="68">
        <f>triangle_start_date</f>
        <v>36892</v>
      </c>
      <c r="G255" s="3">
        <v>1000000</v>
      </c>
      <c r="H255" s="3">
        <v>2000000</v>
      </c>
      <c r="I255" s="3">
        <v>2000000</v>
      </c>
      <c r="J255" s="3">
        <v>2000000</v>
      </c>
      <c r="K255" s="3">
        <v>2000000</v>
      </c>
      <c r="L255" s="3">
        <v>2000000</v>
      </c>
      <c r="M255" s="3">
        <v>2000000</v>
      </c>
      <c r="N255" s="3">
        <v>2000000</v>
      </c>
      <c r="O255" s="3">
        <v>2000000</v>
      </c>
      <c r="P255" s="3">
        <v>2000000</v>
      </c>
      <c r="Q255" s="3">
        <v>2000000</v>
      </c>
      <c r="R255" s="3">
        <v>2000000</v>
      </c>
      <c r="S255" s="3">
        <v>2000000</v>
      </c>
      <c r="T255" s="3">
        <v>2000000</v>
      </c>
      <c r="U255" s="3">
        <v>2000000</v>
      </c>
      <c r="V255" s="3">
        <v>2000000</v>
      </c>
      <c r="W255" s="3">
        <v>2000000</v>
      </c>
      <c r="X255" s="3">
        <v>2000000</v>
      </c>
      <c r="Y255" s="3">
        <v>2000000</v>
      </c>
      <c r="Z255" s="3">
        <v>2000000</v>
      </c>
    </row>
    <row r="256" spans="1:26" x14ac:dyDescent="0.25">
      <c r="A256" s="28" t="s">
        <v>96</v>
      </c>
      <c r="B256" s="8" t="s">
        <v>79</v>
      </c>
      <c r="C256" s="8" t="s">
        <v>77</v>
      </c>
      <c r="D256" s="9" t="s">
        <v>82</v>
      </c>
      <c r="E256" s="9" t="s">
        <v>78</v>
      </c>
      <c r="F256" s="68">
        <f t="shared" ref="F256:F274" si="17">EDATE(F255,12)</f>
        <v>37257</v>
      </c>
      <c r="G256" s="3">
        <v>1000000</v>
      </c>
      <c r="H256" s="3">
        <v>2000000</v>
      </c>
      <c r="I256" s="3">
        <v>2000000</v>
      </c>
      <c r="J256" s="3">
        <v>2000000</v>
      </c>
      <c r="K256" s="3">
        <v>2000000</v>
      </c>
      <c r="L256" s="3">
        <v>2000000</v>
      </c>
      <c r="M256" s="3">
        <v>2000000</v>
      </c>
      <c r="N256" s="3">
        <v>2000000</v>
      </c>
      <c r="O256" s="3">
        <v>2000000</v>
      </c>
      <c r="P256" s="3">
        <v>2000000</v>
      </c>
      <c r="Q256" s="3">
        <v>2000000</v>
      </c>
      <c r="R256" s="3">
        <v>2000000</v>
      </c>
      <c r="S256" s="3">
        <v>2000000</v>
      </c>
      <c r="T256" s="3">
        <v>2000000</v>
      </c>
      <c r="U256" s="3">
        <v>2000000</v>
      </c>
      <c r="V256" s="3">
        <v>2000000</v>
      </c>
      <c r="W256" s="3">
        <v>2000000</v>
      </c>
      <c r="X256" s="3">
        <v>2000000</v>
      </c>
      <c r="Y256" s="3">
        <v>2000000</v>
      </c>
    </row>
    <row r="257" spans="1:24" x14ac:dyDescent="0.25">
      <c r="A257" s="28" t="s">
        <v>96</v>
      </c>
      <c r="B257" s="8" t="s">
        <v>79</v>
      </c>
      <c r="C257" s="8" t="s">
        <v>77</v>
      </c>
      <c r="D257" s="9" t="s">
        <v>82</v>
      </c>
      <c r="E257" s="9" t="s">
        <v>78</v>
      </c>
      <c r="F257" s="68">
        <f t="shared" si="17"/>
        <v>37622</v>
      </c>
      <c r="G257" s="3">
        <v>1000000</v>
      </c>
      <c r="H257" s="3">
        <v>2000000</v>
      </c>
      <c r="I257" s="3">
        <v>2000000</v>
      </c>
      <c r="J257" s="3">
        <v>2000000</v>
      </c>
      <c r="K257" s="3">
        <v>2000000</v>
      </c>
      <c r="L257" s="3">
        <v>2000000</v>
      </c>
      <c r="M257" s="3">
        <v>2000000</v>
      </c>
      <c r="N257" s="3">
        <v>2000000</v>
      </c>
      <c r="O257" s="3">
        <v>2000000</v>
      </c>
      <c r="P257" s="3">
        <v>2000000</v>
      </c>
      <c r="Q257" s="3">
        <v>2000000</v>
      </c>
      <c r="R257" s="3">
        <v>2000000</v>
      </c>
      <c r="S257" s="3">
        <v>2000000</v>
      </c>
      <c r="T257" s="3">
        <v>2000000</v>
      </c>
      <c r="U257" s="3">
        <v>2000000</v>
      </c>
      <c r="V257" s="3">
        <v>2000000</v>
      </c>
      <c r="W257" s="3">
        <v>2000000</v>
      </c>
      <c r="X257" s="3">
        <v>2000000</v>
      </c>
    </row>
    <row r="258" spans="1:24" x14ac:dyDescent="0.25">
      <c r="A258" s="28" t="s">
        <v>96</v>
      </c>
      <c r="B258" s="8" t="s">
        <v>79</v>
      </c>
      <c r="C258" s="8" t="s">
        <v>77</v>
      </c>
      <c r="D258" s="9" t="s">
        <v>82</v>
      </c>
      <c r="E258" s="9" t="s">
        <v>78</v>
      </c>
      <c r="F258" s="68">
        <f t="shared" si="17"/>
        <v>37987</v>
      </c>
      <c r="G258" s="3">
        <v>1000000</v>
      </c>
      <c r="H258" s="3">
        <v>2000000</v>
      </c>
      <c r="I258" s="3">
        <v>2000000</v>
      </c>
      <c r="J258" s="3">
        <v>2000000</v>
      </c>
      <c r="K258" s="3">
        <v>2000000</v>
      </c>
      <c r="L258" s="3">
        <v>2000000</v>
      </c>
      <c r="M258" s="3">
        <v>2000000</v>
      </c>
      <c r="N258" s="3">
        <v>2000000</v>
      </c>
      <c r="O258" s="3">
        <v>2000000</v>
      </c>
      <c r="P258" s="3">
        <v>2000000</v>
      </c>
      <c r="Q258" s="3">
        <v>2000000</v>
      </c>
      <c r="R258" s="3">
        <v>2000000</v>
      </c>
      <c r="S258" s="3">
        <v>2000000</v>
      </c>
      <c r="T258" s="3">
        <v>2000000</v>
      </c>
      <c r="U258" s="3">
        <v>2000000</v>
      </c>
      <c r="V258" s="3">
        <v>2000000</v>
      </c>
      <c r="W258" s="3">
        <v>2000000</v>
      </c>
    </row>
    <row r="259" spans="1:24" x14ac:dyDescent="0.25">
      <c r="A259" s="28" t="s">
        <v>96</v>
      </c>
      <c r="B259" s="8" t="s">
        <v>79</v>
      </c>
      <c r="C259" s="8" t="s">
        <v>77</v>
      </c>
      <c r="D259" s="9" t="s">
        <v>82</v>
      </c>
      <c r="E259" s="9" t="s">
        <v>78</v>
      </c>
      <c r="F259" s="68">
        <f t="shared" si="17"/>
        <v>38353</v>
      </c>
      <c r="G259" s="3">
        <v>1000000</v>
      </c>
      <c r="H259" s="3">
        <v>2000000</v>
      </c>
      <c r="I259" s="3">
        <v>2000000</v>
      </c>
      <c r="J259" s="3">
        <v>2000000</v>
      </c>
      <c r="K259" s="3">
        <v>2000000</v>
      </c>
      <c r="L259" s="3">
        <v>2000000</v>
      </c>
      <c r="M259" s="3">
        <v>2000000</v>
      </c>
      <c r="N259" s="3">
        <v>2000000</v>
      </c>
      <c r="O259" s="3">
        <v>2000000</v>
      </c>
      <c r="P259" s="3">
        <v>2000000</v>
      </c>
      <c r="Q259" s="3">
        <v>2000000</v>
      </c>
      <c r="R259" s="3">
        <v>2000000</v>
      </c>
      <c r="S259" s="3">
        <v>2000000</v>
      </c>
      <c r="T259" s="3">
        <v>2000000</v>
      </c>
      <c r="U259" s="3">
        <v>2000000</v>
      </c>
      <c r="V259" s="3">
        <v>2000000</v>
      </c>
    </row>
    <row r="260" spans="1:24" x14ac:dyDescent="0.25">
      <c r="A260" s="28" t="s">
        <v>96</v>
      </c>
      <c r="B260" s="8" t="s">
        <v>79</v>
      </c>
      <c r="C260" s="8" t="s">
        <v>77</v>
      </c>
      <c r="D260" s="9" t="s">
        <v>82</v>
      </c>
      <c r="E260" s="9" t="s">
        <v>78</v>
      </c>
      <c r="F260" s="68">
        <f t="shared" si="17"/>
        <v>38718</v>
      </c>
      <c r="G260" s="3">
        <v>1000000</v>
      </c>
      <c r="H260" s="3">
        <v>2000000</v>
      </c>
      <c r="I260" s="3">
        <v>2000000</v>
      </c>
      <c r="J260" s="3">
        <v>2000000</v>
      </c>
      <c r="K260" s="3">
        <v>2000000</v>
      </c>
      <c r="L260" s="3">
        <v>2000000</v>
      </c>
      <c r="M260" s="3">
        <v>2000000</v>
      </c>
      <c r="N260" s="3">
        <v>2000000</v>
      </c>
      <c r="O260" s="3">
        <v>2000000</v>
      </c>
      <c r="P260" s="3">
        <v>2000000</v>
      </c>
      <c r="Q260" s="3">
        <v>2000000</v>
      </c>
      <c r="R260" s="3">
        <v>2000000</v>
      </c>
      <c r="S260" s="3">
        <v>2000000</v>
      </c>
      <c r="T260" s="3">
        <v>2000000</v>
      </c>
      <c r="U260" s="3">
        <v>2000000</v>
      </c>
    </row>
    <row r="261" spans="1:24" x14ac:dyDescent="0.25">
      <c r="A261" s="28" t="s">
        <v>96</v>
      </c>
      <c r="B261" s="8" t="s">
        <v>79</v>
      </c>
      <c r="C261" s="8" t="s">
        <v>77</v>
      </c>
      <c r="D261" s="9" t="s">
        <v>82</v>
      </c>
      <c r="E261" s="9" t="s">
        <v>78</v>
      </c>
      <c r="F261" s="68">
        <f t="shared" si="17"/>
        <v>39083</v>
      </c>
      <c r="G261" s="3">
        <v>1000000</v>
      </c>
      <c r="H261" s="3">
        <v>2000000</v>
      </c>
      <c r="I261" s="3">
        <v>2000000</v>
      </c>
      <c r="J261" s="3">
        <v>2000000</v>
      </c>
      <c r="K261" s="3">
        <v>2000000</v>
      </c>
      <c r="L261" s="3">
        <v>2000000</v>
      </c>
      <c r="M261" s="3">
        <v>2000000</v>
      </c>
      <c r="N261" s="3">
        <v>2000000</v>
      </c>
      <c r="O261" s="3">
        <v>2000000</v>
      </c>
      <c r="P261" s="3">
        <v>2000000</v>
      </c>
      <c r="Q261" s="3">
        <v>2000000</v>
      </c>
      <c r="R261" s="3">
        <v>2000000</v>
      </c>
      <c r="S261" s="3">
        <v>2000000</v>
      </c>
      <c r="T261" s="3">
        <v>2000000</v>
      </c>
    </row>
    <row r="262" spans="1:24" x14ac:dyDescent="0.25">
      <c r="A262" s="28" t="s">
        <v>96</v>
      </c>
      <c r="B262" s="8" t="s">
        <v>79</v>
      </c>
      <c r="C262" s="8" t="s">
        <v>77</v>
      </c>
      <c r="D262" s="9" t="s">
        <v>82</v>
      </c>
      <c r="E262" s="9" t="s">
        <v>78</v>
      </c>
      <c r="F262" s="68">
        <f t="shared" si="17"/>
        <v>39448</v>
      </c>
      <c r="G262" s="3">
        <v>1000000</v>
      </c>
      <c r="H262" s="3">
        <v>2000000</v>
      </c>
      <c r="I262" s="3">
        <v>2000000</v>
      </c>
      <c r="J262" s="3">
        <v>2000000</v>
      </c>
      <c r="K262" s="3">
        <v>2000000</v>
      </c>
      <c r="L262" s="3">
        <v>2000000</v>
      </c>
      <c r="M262" s="3">
        <v>2000000</v>
      </c>
      <c r="N262" s="3">
        <v>2000000</v>
      </c>
      <c r="O262" s="3">
        <v>2000000</v>
      </c>
      <c r="P262" s="3">
        <v>2000000</v>
      </c>
      <c r="Q262" s="3">
        <v>2000000</v>
      </c>
      <c r="R262" s="3">
        <v>2000000</v>
      </c>
      <c r="S262" s="3">
        <v>2000000</v>
      </c>
    </row>
    <row r="263" spans="1:24" x14ac:dyDescent="0.25">
      <c r="A263" s="28" t="s">
        <v>96</v>
      </c>
      <c r="B263" s="8" t="s">
        <v>79</v>
      </c>
      <c r="C263" s="8" t="s">
        <v>77</v>
      </c>
      <c r="D263" s="9" t="s">
        <v>82</v>
      </c>
      <c r="E263" s="9" t="s">
        <v>78</v>
      </c>
      <c r="F263" s="68">
        <f t="shared" si="17"/>
        <v>39814</v>
      </c>
      <c r="G263" s="3">
        <v>1000000</v>
      </c>
      <c r="H263" s="3">
        <v>2000000</v>
      </c>
      <c r="I263" s="3">
        <v>2000000</v>
      </c>
      <c r="J263" s="3">
        <v>2000000</v>
      </c>
      <c r="K263" s="3">
        <v>2000000</v>
      </c>
      <c r="L263" s="3">
        <v>2000000</v>
      </c>
      <c r="M263" s="3">
        <v>2000000</v>
      </c>
      <c r="N263" s="3">
        <v>2000000</v>
      </c>
      <c r="O263" s="3">
        <v>2000000</v>
      </c>
      <c r="P263" s="3">
        <v>2000000</v>
      </c>
      <c r="Q263" s="3">
        <v>2000000</v>
      </c>
      <c r="R263" s="3">
        <v>2000000</v>
      </c>
    </row>
    <row r="264" spans="1:24" x14ac:dyDescent="0.25">
      <c r="A264" s="28" t="s">
        <v>96</v>
      </c>
      <c r="B264" s="8" t="s">
        <v>79</v>
      </c>
      <c r="C264" s="8" t="s">
        <v>77</v>
      </c>
      <c r="D264" s="9" t="s">
        <v>82</v>
      </c>
      <c r="E264" s="9" t="s">
        <v>78</v>
      </c>
      <c r="F264" s="68">
        <f t="shared" si="17"/>
        <v>40179</v>
      </c>
      <c r="G264" s="3">
        <v>1000000</v>
      </c>
      <c r="H264" s="3">
        <v>2000000</v>
      </c>
      <c r="I264" s="3">
        <v>2000000</v>
      </c>
      <c r="J264" s="3">
        <v>2000000</v>
      </c>
      <c r="K264" s="3">
        <v>2000000</v>
      </c>
      <c r="L264" s="3">
        <v>2000000</v>
      </c>
      <c r="M264" s="3">
        <v>2000000</v>
      </c>
      <c r="N264" s="3">
        <v>2000000</v>
      </c>
      <c r="O264" s="3">
        <v>2000000</v>
      </c>
      <c r="P264" s="3">
        <v>2000000</v>
      </c>
      <c r="Q264" s="3">
        <v>2000000</v>
      </c>
    </row>
    <row r="265" spans="1:24" x14ac:dyDescent="0.25">
      <c r="A265" s="28" t="s">
        <v>96</v>
      </c>
      <c r="B265" s="8" t="s">
        <v>79</v>
      </c>
      <c r="C265" s="8" t="s">
        <v>77</v>
      </c>
      <c r="D265" s="9" t="s">
        <v>82</v>
      </c>
      <c r="E265" s="9" t="s">
        <v>78</v>
      </c>
      <c r="F265" s="68">
        <f t="shared" si="17"/>
        <v>40544</v>
      </c>
      <c r="G265" s="3">
        <v>1000000</v>
      </c>
      <c r="H265" s="3">
        <v>2000000</v>
      </c>
      <c r="I265" s="3">
        <v>2000000</v>
      </c>
      <c r="J265" s="3">
        <v>2000000</v>
      </c>
      <c r="K265" s="3">
        <v>2000000</v>
      </c>
      <c r="L265" s="3">
        <v>2000000</v>
      </c>
      <c r="M265" s="3">
        <v>2000000</v>
      </c>
      <c r="N265" s="3">
        <v>2000000</v>
      </c>
      <c r="O265" s="3">
        <v>2000000</v>
      </c>
      <c r="P265" s="3">
        <v>2000000</v>
      </c>
    </row>
    <row r="266" spans="1:24" x14ac:dyDescent="0.25">
      <c r="A266" s="28" t="s">
        <v>96</v>
      </c>
      <c r="B266" s="8" t="s">
        <v>79</v>
      </c>
      <c r="C266" s="8" t="s">
        <v>77</v>
      </c>
      <c r="D266" s="9" t="s">
        <v>82</v>
      </c>
      <c r="E266" s="9" t="s">
        <v>78</v>
      </c>
      <c r="F266" s="68">
        <f t="shared" si="17"/>
        <v>40909</v>
      </c>
      <c r="G266" s="3">
        <v>1000000</v>
      </c>
      <c r="H266" s="3">
        <v>2000000</v>
      </c>
      <c r="I266" s="3">
        <v>2000000</v>
      </c>
      <c r="J266" s="3">
        <v>2000000</v>
      </c>
      <c r="K266" s="3">
        <v>2000000</v>
      </c>
      <c r="L266" s="3">
        <v>2000000</v>
      </c>
      <c r="M266" s="3">
        <v>2000000</v>
      </c>
      <c r="N266" s="3">
        <v>2000000</v>
      </c>
      <c r="O266" s="3">
        <v>2000000</v>
      </c>
    </row>
    <row r="267" spans="1:24" x14ac:dyDescent="0.25">
      <c r="A267" s="28" t="s">
        <v>96</v>
      </c>
      <c r="B267" s="8" t="s">
        <v>79</v>
      </c>
      <c r="C267" s="8" t="s">
        <v>77</v>
      </c>
      <c r="D267" s="9" t="s">
        <v>82</v>
      </c>
      <c r="E267" s="9" t="s">
        <v>78</v>
      </c>
      <c r="F267" s="68">
        <f t="shared" si="17"/>
        <v>41275</v>
      </c>
      <c r="G267" s="3">
        <v>1000000</v>
      </c>
      <c r="H267" s="3">
        <v>2000000</v>
      </c>
      <c r="I267" s="3">
        <v>2000000</v>
      </c>
      <c r="J267" s="3">
        <v>2000000</v>
      </c>
      <c r="K267" s="3">
        <v>2000000</v>
      </c>
      <c r="L267" s="3">
        <v>2000000</v>
      </c>
      <c r="M267" s="3">
        <v>2000000</v>
      </c>
      <c r="N267" s="3">
        <v>2000000</v>
      </c>
    </row>
    <row r="268" spans="1:24" x14ac:dyDescent="0.25">
      <c r="A268" s="28" t="s">
        <v>96</v>
      </c>
      <c r="B268" s="8" t="s">
        <v>79</v>
      </c>
      <c r="C268" s="8" t="s">
        <v>77</v>
      </c>
      <c r="D268" s="9" t="s">
        <v>82</v>
      </c>
      <c r="E268" s="9" t="s">
        <v>78</v>
      </c>
      <c r="F268" s="68">
        <f t="shared" si="17"/>
        <v>41640</v>
      </c>
      <c r="G268" s="3">
        <v>1000000</v>
      </c>
      <c r="H268" s="3">
        <v>2000000</v>
      </c>
      <c r="I268" s="3">
        <v>2000000</v>
      </c>
      <c r="J268" s="3">
        <v>2000000</v>
      </c>
      <c r="K268" s="3">
        <v>2000000</v>
      </c>
      <c r="L268" s="3">
        <v>2000000</v>
      </c>
      <c r="M268" s="3">
        <v>2000000</v>
      </c>
    </row>
    <row r="269" spans="1:24" x14ac:dyDescent="0.25">
      <c r="A269" s="28" t="s">
        <v>96</v>
      </c>
      <c r="B269" s="8" t="s">
        <v>79</v>
      </c>
      <c r="C269" s="8" t="s">
        <v>77</v>
      </c>
      <c r="D269" s="9" t="s">
        <v>82</v>
      </c>
      <c r="E269" s="9" t="s">
        <v>78</v>
      </c>
      <c r="F269" s="68">
        <f t="shared" si="17"/>
        <v>42005</v>
      </c>
      <c r="G269" s="3">
        <v>1000000</v>
      </c>
      <c r="H269" s="3">
        <v>2000000</v>
      </c>
      <c r="I269" s="3">
        <v>2000000</v>
      </c>
      <c r="J269" s="3">
        <v>2000000</v>
      </c>
      <c r="K269" s="3">
        <v>2000000</v>
      </c>
      <c r="L269" s="3">
        <v>2000000</v>
      </c>
    </row>
    <row r="270" spans="1:24" x14ac:dyDescent="0.25">
      <c r="A270" s="28" t="s">
        <v>96</v>
      </c>
      <c r="B270" s="8" t="s">
        <v>79</v>
      </c>
      <c r="C270" s="8" t="s">
        <v>77</v>
      </c>
      <c r="D270" s="9" t="s">
        <v>82</v>
      </c>
      <c r="E270" s="9" t="s">
        <v>78</v>
      </c>
      <c r="F270" s="68">
        <f t="shared" si="17"/>
        <v>42370</v>
      </c>
      <c r="G270" s="3">
        <v>1000000</v>
      </c>
      <c r="H270" s="3">
        <v>2000000</v>
      </c>
      <c r="I270" s="3">
        <v>2000000</v>
      </c>
      <c r="J270" s="3">
        <v>2000000</v>
      </c>
      <c r="K270" s="3">
        <v>2000000</v>
      </c>
    </row>
    <row r="271" spans="1:24" x14ac:dyDescent="0.25">
      <c r="A271" s="28" t="s">
        <v>96</v>
      </c>
      <c r="B271" s="8" t="s">
        <v>79</v>
      </c>
      <c r="C271" s="8" t="s">
        <v>77</v>
      </c>
      <c r="D271" s="9" t="s">
        <v>82</v>
      </c>
      <c r="E271" s="9" t="s">
        <v>78</v>
      </c>
      <c r="F271" s="68">
        <f t="shared" si="17"/>
        <v>42736</v>
      </c>
      <c r="G271" s="3">
        <v>1000000</v>
      </c>
      <c r="H271" s="3">
        <v>2000000</v>
      </c>
      <c r="I271" s="3">
        <v>2000000</v>
      </c>
      <c r="J271" s="3">
        <v>2000000</v>
      </c>
    </row>
    <row r="272" spans="1:24" x14ac:dyDescent="0.25">
      <c r="A272" s="28" t="s">
        <v>96</v>
      </c>
      <c r="B272" s="8" t="s">
        <v>79</v>
      </c>
      <c r="C272" s="8" t="s">
        <v>77</v>
      </c>
      <c r="D272" s="9" t="s">
        <v>82</v>
      </c>
      <c r="E272" s="9" t="s">
        <v>78</v>
      </c>
      <c r="F272" s="68">
        <f t="shared" si="17"/>
        <v>43101</v>
      </c>
      <c r="G272" s="3">
        <v>1000000</v>
      </c>
      <c r="H272" s="3">
        <v>2000000</v>
      </c>
      <c r="I272" s="3">
        <v>2000000</v>
      </c>
      <c r="J272" s="3"/>
    </row>
    <row r="273" spans="1:26" x14ac:dyDescent="0.25">
      <c r="A273" s="28" t="s">
        <v>96</v>
      </c>
      <c r="B273" s="8" t="s">
        <v>79</v>
      </c>
      <c r="C273" s="8" t="s">
        <v>77</v>
      </c>
      <c r="D273" s="9" t="s">
        <v>82</v>
      </c>
      <c r="E273" s="9" t="s">
        <v>78</v>
      </c>
      <c r="F273" s="68">
        <f t="shared" si="17"/>
        <v>43466</v>
      </c>
      <c r="G273" s="3">
        <v>1000000</v>
      </c>
      <c r="H273" s="3">
        <v>2000000</v>
      </c>
      <c r="I273" s="3"/>
      <c r="J273" s="3"/>
    </row>
    <row r="274" spans="1:26" x14ac:dyDescent="0.25">
      <c r="A274" s="28" t="s">
        <v>96</v>
      </c>
      <c r="B274" s="8" t="s">
        <v>79</v>
      </c>
      <c r="C274" s="8" t="s">
        <v>77</v>
      </c>
      <c r="D274" s="9" t="s">
        <v>82</v>
      </c>
      <c r="E274" s="9" t="s">
        <v>78</v>
      </c>
      <c r="F274" s="68">
        <f t="shared" si="17"/>
        <v>43831</v>
      </c>
      <c r="G274" s="3">
        <v>1000000</v>
      </c>
      <c r="H274" s="3"/>
      <c r="I274" s="3"/>
      <c r="J274" s="3"/>
    </row>
    <row r="275" spans="1:26" x14ac:dyDescent="0.25">
      <c r="A275" s="28"/>
      <c r="F275" s="68"/>
      <c r="H275" s="3"/>
      <c r="I275" s="3"/>
      <c r="J275" s="3"/>
    </row>
    <row r="276" spans="1:26" x14ac:dyDescent="0.25">
      <c r="A276" s="28" t="s">
        <v>102</v>
      </c>
      <c r="B276" s="8" t="s">
        <v>79</v>
      </c>
      <c r="C276" s="8" t="s">
        <v>77</v>
      </c>
      <c r="D276" s="9" t="s">
        <v>82</v>
      </c>
      <c r="E276" s="9" t="s">
        <v>78</v>
      </c>
      <c r="F276" s="68">
        <f>triangle_start_date</f>
        <v>36892</v>
      </c>
      <c r="G276" s="3">
        <v>1000000</v>
      </c>
      <c r="H276" s="3">
        <v>2000000</v>
      </c>
      <c r="I276" s="3">
        <v>2000000</v>
      </c>
      <c r="J276" s="3">
        <v>2000000</v>
      </c>
      <c r="K276" s="3">
        <v>2000000</v>
      </c>
      <c r="L276" s="3">
        <v>2000000</v>
      </c>
      <c r="M276" s="3">
        <v>2000000</v>
      </c>
      <c r="N276" s="3">
        <v>2000000</v>
      </c>
      <c r="O276" s="3">
        <v>2000000</v>
      </c>
      <c r="P276" s="3">
        <v>2000000</v>
      </c>
      <c r="Q276" s="3">
        <v>2000000</v>
      </c>
      <c r="R276" s="3">
        <v>2000000</v>
      </c>
      <c r="S276" s="3">
        <v>2000000</v>
      </c>
      <c r="T276" s="3">
        <v>2000000</v>
      </c>
      <c r="U276" s="3">
        <v>2000000</v>
      </c>
      <c r="V276" s="3">
        <v>2000000</v>
      </c>
      <c r="W276" s="3">
        <v>2000000</v>
      </c>
      <c r="X276" s="3">
        <v>2000000</v>
      </c>
      <c r="Y276" s="3">
        <v>2000000</v>
      </c>
      <c r="Z276" s="3">
        <v>2000000</v>
      </c>
    </row>
    <row r="277" spans="1:26" x14ac:dyDescent="0.25">
      <c r="A277" s="28" t="s">
        <v>102</v>
      </c>
      <c r="B277" s="8" t="s">
        <v>79</v>
      </c>
      <c r="C277" s="8" t="s">
        <v>77</v>
      </c>
      <c r="D277" s="9" t="s">
        <v>82</v>
      </c>
      <c r="E277" s="9" t="s">
        <v>78</v>
      </c>
      <c r="F277" s="68">
        <f t="shared" ref="F277:F295" si="18">EDATE(F276,12)</f>
        <v>37257</v>
      </c>
      <c r="G277" s="3">
        <v>1000000</v>
      </c>
      <c r="H277" s="3">
        <v>2000000</v>
      </c>
      <c r="I277" s="3">
        <v>2000000</v>
      </c>
      <c r="J277" s="3">
        <v>2000000</v>
      </c>
      <c r="K277" s="3">
        <v>2000000</v>
      </c>
      <c r="L277" s="3">
        <v>2000000</v>
      </c>
      <c r="M277" s="3">
        <v>2000000</v>
      </c>
      <c r="N277" s="3">
        <v>2000000</v>
      </c>
      <c r="O277" s="3">
        <v>2000000</v>
      </c>
      <c r="P277" s="3">
        <v>2000000</v>
      </c>
      <c r="Q277" s="3">
        <v>2000000</v>
      </c>
      <c r="R277" s="3">
        <v>2000000</v>
      </c>
      <c r="S277" s="3">
        <v>2000000</v>
      </c>
      <c r="T277" s="3">
        <v>2000000</v>
      </c>
      <c r="U277" s="3">
        <v>2000000</v>
      </c>
      <c r="V277" s="3">
        <v>2000000</v>
      </c>
      <c r="W277" s="3">
        <v>2000000</v>
      </c>
      <c r="X277" s="3">
        <v>2000000</v>
      </c>
      <c r="Y277" s="3">
        <v>2000000</v>
      </c>
    </row>
    <row r="278" spans="1:26" x14ac:dyDescent="0.25">
      <c r="A278" s="28" t="s">
        <v>102</v>
      </c>
      <c r="B278" s="8" t="s">
        <v>79</v>
      </c>
      <c r="C278" s="8" t="s">
        <v>77</v>
      </c>
      <c r="D278" s="9" t="s">
        <v>82</v>
      </c>
      <c r="E278" s="9" t="s">
        <v>78</v>
      </c>
      <c r="F278" s="68">
        <f t="shared" si="18"/>
        <v>37622</v>
      </c>
      <c r="G278" s="3">
        <v>1000000</v>
      </c>
      <c r="H278" s="3">
        <v>2000000</v>
      </c>
      <c r="I278" s="3">
        <v>2000000</v>
      </c>
      <c r="J278" s="3">
        <v>2000000</v>
      </c>
      <c r="K278" s="3">
        <v>2000000</v>
      </c>
      <c r="L278" s="3">
        <v>2000000</v>
      </c>
      <c r="M278" s="3">
        <v>2000000</v>
      </c>
      <c r="N278" s="3">
        <v>2000000</v>
      </c>
      <c r="O278" s="3">
        <v>2000000</v>
      </c>
      <c r="P278" s="3">
        <v>2000000</v>
      </c>
      <c r="Q278" s="3">
        <v>2000000</v>
      </c>
      <c r="R278" s="3">
        <v>2000000</v>
      </c>
      <c r="S278" s="3">
        <v>2000000</v>
      </c>
      <c r="T278" s="3">
        <v>2000000</v>
      </c>
      <c r="U278" s="3">
        <v>2000000</v>
      </c>
      <c r="V278" s="3">
        <v>2000000</v>
      </c>
      <c r="W278" s="3">
        <v>2000000</v>
      </c>
      <c r="X278" s="3">
        <v>2000000</v>
      </c>
    </row>
    <row r="279" spans="1:26" x14ac:dyDescent="0.25">
      <c r="A279" s="28" t="s">
        <v>102</v>
      </c>
      <c r="B279" s="8" t="s">
        <v>79</v>
      </c>
      <c r="C279" s="8" t="s">
        <v>77</v>
      </c>
      <c r="D279" s="9" t="s">
        <v>82</v>
      </c>
      <c r="E279" s="9" t="s">
        <v>78</v>
      </c>
      <c r="F279" s="68">
        <f t="shared" si="18"/>
        <v>37987</v>
      </c>
      <c r="G279" s="3">
        <v>1000000</v>
      </c>
      <c r="H279" s="3">
        <v>2000000</v>
      </c>
      <c r="I279" s="3">
        <v>2000000</v>
      </c>
      <c r="J279" s="3">
        <v>2000000</v>
      </c>
      <c r="K279" s="3">
        <v>2000000</v>
      </c>
      <c r="L279" s="3">
        <v>2000000</v>
      </c>
      <c r="M279" s="3">
        <v>2000000</v>
      </c>
      <c r="N279" s="3">
        <v>2000000</v>
      </c>
      <c r="O279" s="3">
        <v>2000000</v>
      </c>
      <c r="P279" s="3">
        <v>2000000</v>
      </c>
      <c r="Q279" s="3">
        <v>2000000</v>
      </c>
      <c r="R279" s="3">
        <v>2000000</v>
      </c>
      <c r="S279" s="3">
        <v>2000000</v>
      </c>
      <c r="T279" s="3">
        <v>2000000</v>
      </c>
      <c r="U279" s="3">
        <v>2000000</v>
      </c>
      <c r="V279" s="3">
        <v>2000000</v>
      </c>
      <c r="W279" s="3">
        <v>2000000</v>
      </c>
    </row>
    <row r="280" spans="1:26" x14ac:dyDescent="0.25">
      <c r="A280" s="28" t="s">
        <v>102</v>
      </c>
      <c r="B280" s="8" t="s">
        <v>79</v>
      </c>
      <c r="C280" s="8" t="s">
        <v>77</v>
      </c>
      <c r="D280" s="9" t="s">
        <v>82</v>
      </c>
      <c r="E280" s="9" t="s">
        <v>78</v>
      </c>
      <c r="F280" s="68">
        <f t="shared" si="18"/>
        <v>38353</v>
      </c>
      <c r="G280" s="3">
        <v>1000000</v>
      </c>
      <c r="H280" s="3">
        <v>2000000</v>
      </c>
      <c r="I280" s="3">
        <v>2000000</v>
      </c>
      <c r="J280" s="3">
        <v>2000000</v>
      </c>
      <c r="K280" s="3">
        <v>2000000</v>
      </c>
      <c r="L280" s="3">
        <v>2000000</v>
      </c>
      <c r="M280" s="3">
        <v>2000000</v>
      </c>
      <c r="N280" s="3">
        <v>2000000</v>
      </c>
      <c r="O280" s="3">
        <v>2000000</v>
      </c>
      <c r="P280" s="3">
        <v>2000000</v>
      </c>
      <c r="Q280" s="3">
        <v>2000000</v>
      </c>
      <c r="R280" s="3">
        <v>2000000</v>
      </c>
      <c r="S280" s="3">
        <v>2000000</v>
      </c>
      <c r="T280" s="3">
        <v>2000000</v>
      </c>
      <c r="U280" s="3">
        <v>2000000</v>
      </c>
      <c r="V280" s="3">
        <v>2000000</v>
      </c>
    </row>
    <row r="281" spans="1:26" x14ac:dyDescent="0.25">
      <c r="A281" s="28" t="s">
        <v>102</v>
      </c>
      <c r="B281" s="8" t="s">
        <v>79</v>
      </c>
      <c r="C281" s="8" t="s">
        <v>77</v>
      </c>
      <c r="D281" s="9" t="s">
        <v>82</v>
      </c>
      <c r="E281" s="9" t="s">
        <v>78</v>
      </c>
      <c r="F281" s="68">
        <f t="shared" si="18"/>
        <v>38718</v>
      </c>
      <c r="G281" s="3">
        <v>1000000</v>
      </c>
      <c r="H281" s="3">
        <v>2000000</v>
      </c>
      <c r="I281" s="3">
        <v>2000000</v>
      </c>
      <c r="J281" s="3">
        <v>2000000</v>
      </c>
      <c r="K281" s="3">
        <v>2000000</v>
      </c>
      <c r="L281" s="3">
        <v>2000000</v>
      </c>
      <c r="M281" s="3">
        <v>2000000</v>
      </c>
      <c r="N281" s="3">
        <v>2000000</v>
      </c>
      <c r="O281" s="3">
        <v>2000000</v>
      </c>
      <c r="P281" s="3">
        <v>2000000</v>
      </c>
      <c r="Q281" s="3">
        <v>2000000</v>
      </c>
      <c r="R281" s="3">
        <v>2000000</v>
      </c>
      <c r="S281" s="3">
        <v>2000000</v>
      </c>
      <c r="T281" s="3">
        <v>2000000</v>
      </c>
      <c r="U281" s="3">
        <v>2000000</v>
      </c>
    </row>
    <row r="282" spans="1:26" x14ac:dyDescent="0.25">
      <c r="A282" s="28" t="s">
        <v>102</v>
      </c>
      <c r="B282" s="8" t="s">
        <v>79</v>
      </c>
      <c r="C282" s="8" t="s">
        <v>77</v>
      </c>
      <c r="D282" s="9" t="s">
        <v>82</v>
      </c>
      <c r="E282" s="9" t="s">
        <v>78</v>
      </c>
      <c r="F282" s="68">
        <f t="shared" si="18"/>
        <v>39083</v>
      </c>
      <c r="G282" s="3">
        <v>1000000</v>
      </c>
      <c r="H282" s="3">
        <v>2000000</v>
      </c>
      <c r="I282" s="3">
        <v>2000000</v>
      </c>
      <c r="J282" s="3">
        <v>2000000</v>
      </c>
      <c r="K282" s="3">
        <v>2000000</v>
      </c>
      <c r="L282" s="3">
        <v>2000000</v>
      </c>
      <c r="M282" s="3">
        <v>2000000</v>
      </c>
      <c r="N282" s="3">
        <v>2000000</v>
      </c>
      <c r="O282" s="3">
        <v>2000000</v>
      </c>
      <c r="P282" s="3">
        <v>2000000</v>
      </c>
      <c r="Q282" s="3">
        <v>2000000</v>
      </c>
      <c r="R282" s="3">
        <v>2000000</v>
      </c>
      <c r="S282" s="3">
        <v>2000000</v>
      </c>
      <c r="T282" s="3">
        <v>2000000</v>
      </c>
    </row>
    <row r="283" spans="1:26" x14ac:dyDescent="0.25">
      <c r="A283" s="28" t="s">
        <v>102</v>
      </c>
      <c r="B283" s="8" t="s">
        <v>79</v>
      </c>
      <c r="C283" s="8" t="s">
        <v>77</v>
      </c>
      <c r="D283" s="9" t="s">
        <v>82</v>
      </c>
      <c r="E283" s="9" t="s">
        <v>78</v>
      </c>
      <c r="F283" s="68">
        <f t="shared" si="18"/>
        <v>39448</v>
      </c>
      <c r="G283" s="3">
        <v>1000000</v>
      </c>
      <c r="H283" s="3">
        <v>2000000</v>
      </c>
      <c r="I283" s="3">
        <v>2000000</v>
      </c>
      <c r="J283" s="3">
        <v>2000000</v>
      </c>
      <c r="K283" s="3">
        <v>2000000</v>
      </c>
      <c r="L283" s="3">
        <v>2000000</v>
      </c>
      <c r="M283" s="3">
        <v>2000000</v>
      </c>
      <c r="N283" s="3">
        <v>2000000</v>
      </c>
      <c r="O283" s="3">
        <v>2000000</v>
      </c>
      <c r="P283" s="3">
        <v>2000000</v>
      </c>
      <c r="Q283" s="3">
        <v>2000000</v>
      </c>
      <c r="R283" s="3">
        <v>2000000</v>
      </c>
      <c r="S283" s="3">
        <v>2000000</v>
      </c>
    </row>
    <row r="284" spans="1:26" x14ac:dyDescent="0.25">
      <c r="A284" s="28" t="s">
        <v>102</v>
      </c>
      <c r="B284" s="8" t="s">
        <v>79</v>
      </c>
      <c r="C284" s="8" t="s">
        <v>77</v>
      </c>
      <c r="D284" s="9" t="s">
        <v>82</v>
      </c>
      <c r="E284" s="9" t="s">
        <v>78</v>
      </c>
      <c r="F284" s="68">
        <f t="shared" si="18"/>
        <v>39814</v>
      </c>
      <c r="G284" s="3">
        <v>1000000</v>
      </c>
      <c r="H284" s="3">
        <v>2000000</v>
      </c>
      <c r="I284" s="3">
        <v>2000000</v>
      </c>
      <c r="J284" s="3">
        <v>2000000</v>
      </c>
      <c r="K284" s="3">
        <v>2000000</v>
      </c>
      <c r="L284" s="3">
        <v>2000000</v>
      </c>
      <c r="M284" s="3">
        <v>2000000</v>
      </c>
      <c r="N284" s="3">
        <v>2000000</v>
      </c>
      <c r="O284" s="3">
        <v>2000000</v>
      </c>
      <c r="P284" s="3">
        <v>2000000</v>
      </c>
      <c r="Q284" s="3">
        <v>2000000</v>
      </c>
      <c r="R284" s="3">
        <v>2000000</v>
      </c>
    </row>
    <row r="285" spans="1:26" x14ac:dyDescent="0.25">
      <c r="A285" s="28" t="s">
        <v>102</v>
      </c>
      <c r="B285" s="8" t="s">
        <v>79</v>
      </c>
      <c r="C285" s="8" t="s">
        <v>77</v>
      </c>
      <c r="D285" s="9" t="s">
        <v>82</v>
      </c>
      <c r="E285" s="9" t="s">
        <v>78</v>
      </c>
      <c r="F285" s="68">
        <f t="shared" si="18"/>
        <v>40179</v>
      </c>
      <c r="G285" s="3">
        <v>1000000</v>
      </c>
      <c r="H285" s="3">
        <v>2000000</v>
      </c>
      <c r="I285" s="3">
        <v>2000000</v>
      </c>
      <c r="J285" s="3">
        <v>2000000</v>
      </c>
      <c r="K285" s="3">
        <v>2000000</v>
      </c>
      <c r="L285" s="3">
        <v>2000000</v>
      </c>
      <c r="M285" s="3">
        <v>2000000</v>
      </c>
      <c r="N285" s="3">
        <v>2000000</v>
      </c>
      <c r="O285" s="3">
        <v>2000000</v>
      </c>
      <c r="P285" s="3">
        <v>2000000</v>
      </c>
      <c r="Q285" s="3">
        <v>2000000</v>
      </c>
    </row>
    <row r="286" spans="1:26" x14ac:dyDescent="0.25">
      <c r="A286" s="28" t="s">
        <v>102</v>
      </c>
      <c r="B286" s="8" t="s">
        <v>79</v>
      </c>
      <c r="C286" s="8" t="s">
        <v>77</v>
      </c>
      <c r="D286" s="9" t="s">
        <v>82</v>
      </c>
      <c r="E286" s="9" t="s">
        <v>78</v>
      </c>
      <c r="F286" s="68">
        <f t="shared" si="18"/>
        <v>40544</v>
      </c>
      <c r="G286" s="3">
        <v>1000000</v>
      </c>
      <c r="H286" s="3">
        <v>2000000</v>
      </c>
      <c r="I286" s="3">
        <v>2000000</v>
      </c>
      <c r="J286" s="3">
        <v>2000000</v>
      </c>
      <c r="K286" s="3">
        <v>2000000</v>
      </c>
      <c r="L286" s="3">
        <v>2000000</v>
      </c>
      <c r="M286" s="3">
        <v>2000000</v>
      </c>
      <c r="N286" s="3">
        <v>2000000</v>
      </c>
      <c r="O286" s="3">
        <v>2000000</v>
      </c>
      <c r="P286" s="3">
        <v>2000000</v>
      </c>
    </row>
    <row r="287" spans="1:26" x14ac:dyDescent="0.25">
      <c r="A287" s="28" t="s">
        <v>102</v>
      </c>
      <c r="B287" s="8" t="s">
        <v>79</v>
      </c>
      <c r="C287" s="8" t="s">
        <v>77</v>
      </c>
      <c r="D287" s="9" t="s">
        <v>82</v>
      </c>
      <c r="E287" s="9" t="s">
        <v>78</v>
      </c>
      <c r="F287" s="68">
        <f t="shared" si="18"/>
        <v>40909</v>
      </c>
      <c r="G287" s="3">
        <v>1000000</v>
      </c>
      <c r="H287" s="3">
        <v>2000000</v>
      </c>
      <c r="I287" s="3">
        <v>2000000</v>
      </c>
      <c r="J287" s="3">
        <v>2000000</v>
      </c>
      <c r="K287" s="3">
        <v>2000000</v>
      </c>
      <c r="L287" s="3">
        <v>2000000</v>
      </c>
      <c r="M287" s="3">
        <v>2000000</v>
      </c>
      <c r="N287" s="3">
        <v>2000000</v>
      </c>
      <c r="O287" s="3">
        <v>2000000</v>
      </c>
    </row>
    <row r="288" spans="1:26" x14ac:dyDescent="0.25">
      <c r="A288" s="28" t="s">
        <v>102</v>
      </c>
      <c r="B288" s="8" t="s">
        <v>79</v>
      </c>
      <c r="C288" s="8" t="s">
        <v>77</v>
      </c>
      <c r="D288" s="9" t="s">
        <v>82</v>
      </c>
      <c r="E288" s="9" t="s">
        <v>78</v>
      </c>
      <c r="F288" s="68">
        <f t="shared" si="18"/>
        <v>41275</v>
      </c>
      <c r="G288" s="3">
        <v>1000000</v>
      </c>
      <c r="H288" s="3">
        <v>2000000</v>
      </c>
      <c r="I288" s="3">
        <v>2000000</v>
      </c>
      <c r="J288" s="3">
        <v>2000000</v>
      </c>
      <c r="K288" s="3">
        <v>2000000</v>
      </c>
      <c r="L288" s="3">
        <v>2000000</v>
      </c>
      <c r="M288" s="3">
        <v>2000000</v>
      </c>
      <c r="N288" s="3">
        <v>2000000</v>
      </c>
    </row>
    <row r="289" spans="1:26" x14ac:dyDescent="0.25">
      <c r="A289" s="28" t="s">
        <v>102</v>
      </c>
      <c r="B289" s="8" t="s">
        <v>79</v>
      </c>
      <c r="C289" s="8" t="s">
        <v>77</v>
      </c>
      <c r="D289" s="9" t="s">
        <v>82</v>
      </c>
      <c r="E289" s="9" t="s">
        <v>78</v>
      </c>
      <c r="F289" s="68">
        <f t="shared" si="18"/>
        <v>41640</v>
      </c>
      <c r="G289" s="3">
        <v>1000000</v>
      </c>
      <c r="H289" s="3">
        <v>2000000</v>
      </c>
      <c r="I289" s="3">
        <v>2000000</v>
      </c>
      <c r="J289" s="3">
        <v>2000000</v>
      </c>
      <c r="K289" s="3">
        <v>2000000</v>
      </c>
      <c r="L289" s="3">
        <v>2000000</v>
      </c>
      <c r="M289" s="3">
        <v>2000000</v>
      </c>
    </row>
    <row r="290" spans="1:26" x14ac:dyDescent="0.25">
      <c r="A290" s="28" t="s">
        <v>102</v>
      </c>
      <c r="B290" s="8" t="s">
        <v>79</v>
      </c>
      <c r="C290" s="8" t="s">
        <v>77</v>
      </c>
      <c r="D290" s="9" t="s">
        <v>82</v>
      </c>
      <c r="E290" s="9" t="s">
        <v>78</v>
      </c>
      <c r="F290" s="68">
        <f t="shared" si="18"/>
        <v>42005</v>
      </c>
      <c r="G290" s="3">
        <v>1000000</v>
      </c>
      <c r="H290" s="3">
        <v>2000000</v>
      </c>
      <c r="I290" s="3">
        <v>2000000</v>
      </c>
      <c r="J290" s="3">
        <v>2000000</v>
      </c>
      <c r="K290" s="3">
        <v>2000000</v>
      </c>
      <c r="L290" s="3">
        <v>2000000</v>
      </c>
    </row>
    <row r="291" spans="1:26" x14ac:dyDescent="0.25">
      <c r="A291" s="28" t="s">
        <v>102</v>
      </c>
      <c r="B291" s="8" t="s">
        <v>79</v>
      </c>
      <c r="C291" s="8" t="s">
        <v>77</v>
      </c>
      <c r="D291" s="9" t="s">
        <v>82</v>
      </c>
      <c r="E291" s="9" t="s">
        <v>78</v>
      </c>
      <c r="F291" s="68">
        <f t="shared" si="18"/>
        <v>42370</v>
      </c>
      <c r="G291" s="3">
        <v>1000000</v>
      </c>
      <c r="H291" s="3">
        <v>2000000</v>
      </c>
      <c r="I291" s="3">
        <v>2000000</v>
      </c>
      <c r="J291" s="3">
        <v>2000000</v>
      </c>
      <c r="K291" s="3">
        <v>2000000</v>
      </c>
    </row>
    <row r="292" spans="1:26" x14ac:dyDescent="0.25">
      <c r="A292" s="28" t="s">
        <v>102</v>
      </c>
      <c r="B292" s="8" t="s">
        <v>79</v>
      </c>
      <c r="C292" s="8" t="s">
        <v>77</v>
      </c>
      <c r="D292" s="9" t="s">
        <v>82</v>
      </c>
      <c r="E292" s="9" t="s">
        <v>78</v>
      </c>
      <c r="F292" s="68">
        <f t="shared" si="18"/>
        <v>42736</v>
      </c>
      <c r="G292" s="3">
        <v>1000000</v>
      </c>
      <c r="H292" s="3">
        <v>2000000</v>
      </c>
      <c r="I292" s="3">
        <v>2000000</v>
      </c>
      <c r="J292" s="3">
        <v>2000000</v>
      </c>
    </row>
    <row r="293" spans="1:26" x14ac:dyDescent="0.25">
      <c r="A293" s="28" t="s">
        <v>102</v>
      </c>
      <c r="B293" s="8" t="s">
        <v>79</v>
      </c>
      <c r="C293" s="8" t="s">
        <v>77</v>
      </c>
      <c r="D293" s="9" t="s">
        <v>82</v>
      </c>
      <c r="E293" s="9" t="s">
        <v>78</v>
      </c>
      <c r="F293" s="68">
        <f t="shared" si="18"/>
        <v>43101</v>
      </c>
      <c r="G293" s="3">
        <v>1000000</v>
      </c>
      <c r="H293" s="3">
        <v>2000000</v>
      </c>
      <c r="I293" s="3">
        <v>2000000</v>
      </c>
      <c r="J293" s="3"/>
    </row>
    <row r="294" spans="1:26" x14ac:dyDescent="0.25">
      <c r="A294" s="28" t="s">
        <v>102</v>
      </c>
      <c r="B294" s="8" t="s">
        <v>79</v>
      </c>
      <c r="C294" s="8" t="s">
        <v>77</v>
      </c>
      <c r="D294" s="9" t="s">
        <v>82</v>
      </c>
      <c r="E294" s="9" t="s">
        <v>78</v>
      </c>
      <c r="F294" s="68">
        <f t="shared" si="18"/>
        <v>43466</v>
      </c>
      <c r="G294" s="3">
        <v>1000000</v>
      </c>
      <c r="H294" s="3">
        <v>2000000</v>
      </c>
      <c r="I294" s="3"/>
      <c r="J294" s="3"/>
    </row>
    <row r="295" spans="1:26" x14ac:dyDescent="0.25">
      <c r="A295" s="28" t="s">
        <v>102</v>
      </c>
      <c r="B295" s="8" t="s">
        <v>79</v>
      </c>
      <c r="C295" s="8" t="s">
        <v>77</v>
      </c>
      <c r="D295" s="9" t="s">
        <v>82</v>
      </c>
      <c r="E295" s="9" t="s">
        <v>78</v>
      </c>
      <c r="F295" s="68">
        <f t="shared" si="18"/>
        <v>43831</v>
      </c>
      <c r="G295" s="3">
        <v>1000000</v>
      </c>
      <c r="H295" s="3"/>
      <c r="I295" s="3"/>
      <c r="J295" s="3"/>
    </row>
    <row r="296" spans="1:26" x14ac:dyDescent="0.25">
      <c r="A296" s="28"/>
      <c r="F296" s="42"/>
      <c r="H296" s="3"/>
      <c r="I296" s="3"/>
      <c r="J296" s="3"/>
    </row>
    <row r="297" spans="1:26" x14ac:dyDescent="0.25">
      <c r="A297" s="28" t="s">
        <v>103</v>
      </c>
      <c r="B297" s="8" t="s">
        <v>79</v>
      </c>
      <c r="C297" s="8" t="s">
        <v>77</v>
      </c>
      <c r="D297" s="9" t="s">
        <v>82</v>
      </c>
      <c r="E297" s="9" t="s">
        <v>78</v>
      </c>
      <c r="F297" s="68">
        <f>triangle_start_date</f>
        <v>36892</v>
      </c>
      <c r="G297" s="3">
        <v>1000000</v>
      </c>
      <c r="H297" s="3">
        <v>2000000</v>
      </c>
      <c r="I297" s="3">
        <v>2000000</v>
      </c>
      <c r="J297" s="3">
        <v>2000000</v>
      </c>
      <c r="K297" s="3">
        <v>2000000</v>
      </c>
      <c r="L297" s="3">
        <v>2000000</v>
      </c>
      <c r="M297" s="3">
        <v>2000000</v>
      </c>
      <c r="N297" s="3">
        <v>2000000</v>
      </c>
      <c r="O297" s="3">
        <v>2000000</v>
      </c>
      <c r="P297" s="3">
        <v>2000000</v>
      </c>
      <c r="Q297" s="3">
        <v>2000000</v>
      </c>
      <c r="R297" s="3">
        <v>2000000</v>
      </c>
      <c r="S297" s="3">
        <v>2000000</v>
      </c>
      <c r="T297" s="3">
        <v>2000000</v>
      </c>
      <c r="U297" s="3">
        <v>2000000</v>
      </c>
      <c r="V297" s="3">
        <v>2000000</v>
      </c>
      <c r="W297" s="3">
        <v>2000000</v>
      </c>
      <c r="X297" s="3">
        <v>2000000</v>
      </c>
      <c r="Y297" s="3">
        <v>2000000</v>
      </c>
      <c r="Z297" s="3">
        <v>2000000</v>
      </c>
    </row>
    <row r="298" spans="1:26" x14ac:dyDescent="0.25">
      <c r="A298" s="28" t="s">
        <v>103</v>
      </c>
      <c r="B298" s="8" t="s">
        <v>79</v>
      </c>
      <c r="C298" s="8" t="s">
        <v>77</v>
      </c>
      <c r="D298" s="9" t="s">
        <v>82</v>
      </c>
      <c r="E298" s="9" t="s">
        <v>78</v>
      </c>
      <c r="F298" s="68">
        <f t="shared" ref="F298:F316" si="19">EDATE(F297,12)</f>
        <v>37257</v>
      </c>
      <c r="G298" s="3">
        <v>1000000</v>
      </c>
      <c r="H298" s="3">
        <v>2000000</v>
      </c>
      <c r="I298" s="3">
        <v>2000000</v>
      </c>
      <c r="J298" s="3">
        <v>2000000</v>
      </c>
      <c r="K298" s="3">
        <v>2000000</v>
      </c>
      <c r="L298" s="3">
        <v>2000000</v>
      </c>
      <c r="M298" s="3">
        <v>2000000</v>
      </c>
      <c r="N298" s="3">
        <v>2000000</v>
      </c>
      <c r="O298" s="3">
        <v>2000000</v>
      </c>
      <c r="P298" s="3">
        <v>2000000</v>
      </c>
      <c r="Q298" s="3">
        <v>2000000</v>
      </c>
      <c r="R298" s="3">
        <v>2000000</v>
      </c>
      <c r="S298" s="3">
        <v>2000000</v>
      </c>
      <c r="T298" s="3">
        <v>2000000</v>
      </c>
      <c r="U298" s="3">
        <v>2000000</v>
      </c>
      <c r="V298" s="3">
        <v>2000000</v>
      </c>
      <c r="W298" s="3">
        <v>2000000</v>
      </c>
      <c r="X298" s="3">
        <v>2000000</v>
      </c>
      <c r="Y298" s="3">
        <v>2000000</v>
      </c>
    </row>
    <row r="299" spans="1:26" x14ac:dyDescent="0.25">
      <c r="A299" s="28" t="s">
        <v>103</v>
      </c>
      <c r="B299" s="8" t="s">
        <v>79</v>
      </c>
      <c r="C299" s="8" t="s">
        <v>77</v>
      </c>
      <c r="D299" s="9" t="s">
        <v>82</v>
      </c>
      <c r="E299" s="9" t="s">
        <v>78</v>
      </c>
      <c r="F299" s="68">
        <f t="shared" si="19"/>
        <v>37622</v>
      </c>
      <c r="G299" s="3">
        <v>1000000</v>
      </c>
      <c r="H299" s="3">
        <v>2000000</v>
      </c>
      <c r="I299" s="3">
        <v>2000000</v>
      </c>
      <c r="J299" s="3">
        <v>2000000</v>
      </c>
      <c r="K299" s="3">
        <v>2000000</v>
      </c>
      <c r="L299" s="3">
        <v>2000000</v>
      </c>
      <c r="M299" s="3">
        <v>2000000</v>
      </c>
      <c r="N299" s="3">
        <v>2000000</v>
      </c>
      <c r="O299" s="3">
        <v>2000000</v>
      </c>
      <c r="P299" s="3">
        <v>2000000</v>
      </c>
      <c r="Q299" s="3">
        <v>2000000</v>
      </c>
      <c r="R299" s="3">
        <v>2000000</v>
      </c>
      <c r="S299" s="3">
        <v>2000000</v>
      </c>
      <c r="T299" s="3">
        <v>2000000</v>
      </c>
      <c r="U299" s="3">
        <v>2000000</v>
      </c>
      <c r="V299" s="3">
        <v>2000000</v>
      </c>
      <c r="W299" s="3">
        <v>2000000</v>
      </c>
      <c r="X299" s="3">
        <v>2000000</v>
      </c>
    </row>
    <row r="300" spans="1:26" x14ac:dyDescent="0.25">
      <c r="A300" s="28" t="s">
        <v>103</v>
      </c>
      <c r="B300" s="8" t="s">
        <v>79</v>
      </c>
      <c r="C300" s="8" t="s">
        <v>77</v>
      </c>
      <c r="D300" s="9" t="s">
        <v>82</v>
      </c>
      <c r="E300" s="9" t="s">
        <v>78</v>
      </c>
      <c r="F300" s="68">
        <f t="shared" si="19"/>
        <v>37987</v>
      </c>
      <c r="G300" s="3">
        <v>1000000</v>
      </c>
      <c r="H300" s="3">
        <v>2000000</v>
      </c>
      <c r="I300" s="3">
        <v>2000000</v>
      </c>
      <c r="J300" s="3">
        <v>2000000</v>
      </c>
      <c r="K300" s="3">
        <v>2000000</v>
      </c>
      <c r="L300" s="3">
        <v>2000000</v>
      </c>
      <c r="M300" s="3">
        <v>2000000</v>
      </c>
      <c r="N300" s="3">
        <v>2000000</v>
      </c>
      <c r="O300" s="3">
        <v>2000000</v>
      </c>
      <c r="P300" s="3">
        <v>2000000</v>
      </c>
      <c r="Q300" s="3">
        <v>2000000</v>
      </c>
      <c r="R300" s="3">
        <v>2000000</v>
      </c>
      <c r="S300" s="3">
        <v>2000000</v>
      </c>
      <c r="T300" s="3">
        <v>2000000</v>
      </c>
      <c r="U300" s="3">
        <v>2000000</v>
      </c>
      <c r="V300" s="3">
        <v>2000000</v>
      </c>
      <c r="W300" s="3">
        <v>2000000</v>
      </c>
    </row>
    <row r="301" spans="1:26" x14ac:dyDescent="0.25">
      <c r="A301" s="28" t="s">
        <v>103</v>
      </c>
      <c r="B301" s="8" t="s">
        <v>79</v>
      </c>
      <c r="C301" s="8" t="s">
        <v>77</v>
      </c>
      <c r="D301" s="9" t="s">
        <v>82</v>
      </c>
      <c r="E301" s="9" t="s">
        <v>78</v>
      </c>
      <c r="F301" s="68">
        <f t="shared" si="19"/>
        <v>38353</v>
      </c>
      <c r="G301" s="3">
        <v>1000000</v>
      </c>
      <c r="H301" s="3">
        <v>2000000</v>
      </c>
      <c r="I301" s="3">
        <v>2000000</v>
      </c>
      <c r="J301" s="3">
        <v>2000000</v>
      </c>
      <c r="K301" s="3">
        <v>2000000</v>
      </c>
      <c r="L301" s="3">
        <v>2000000</v>
      </c>
      <c r="M301" s="3">
        <v>2000000</v>
      </c>
      <c r="N301" s="3">
        <v>2000000</v>
      </c>
      <c r="O301" s="3">
        <v>2000000</v>
      </c>
      <c r="P301" s="3">
        <v>2000000</v>
      </c>
      <c r="Q301" s="3">
        <v>2000000</v>
      </c>
      <c r="R301" s="3">
        <v>2000000</v>
      </c>
      <c r="S301" s="3">
        <v>2000000</v>
      </c>
      <c r="T301" s="3">
        <v>2000000</v>
      </c>
      <c r="U301" s="3">
        <v>2000000</v>
      </c>
      <c r="V301" s="3">
        <v>2000000</v>
      </c>
    </row>
    <row r="302" spans="1:26" x14ac:dyDescent="0.25">
      <c r="A302" s="28" t="s">
        <v>103</v>
      </c>
      <c r="B302" s="8" t="s">
        <v>79</v>
      </c>
      <c r="C302" s="8" t="s">
        <v>77</v>
      </c>
      <c r="D302" s="9" t="s">
        <v>82</v>
      </c>
      <c r="E302" s="9" t="s">
        <v>78</v>
      </c>
      <c r="F302" s="68">
        <f t="shared" si="19"/>
        <v>38718</v>
      </c>
      <c r="G302" s="3">
        <v>1000000</v>
      </c>
      <c r="H302" s="3">
        <v>2000000</v>
      </c>
      <c r="I302" s="3">
        <v>2000000</v>
      </c>
      <c r="J302" s="3">
        <v>2000000</v>
      </c>
      <c r="K302" s="3">
        <v>2000000</v>
      </c>
      <c r="L302" s="3">
        <v>2000000</v>
      </c>
      <c r="M302" s="3">
        <v>2000000</v>
      </c>
      <c r="N302" s="3">
        <v>2000000</v>
      </c>
      <c r="O302" s="3">
        <v>2000000</v>
      </c>
      <c r="P302" s="3">
        <v>2000000</v>
      </c>
      <c r="Q302" s="3">
        <v>2000000</v>
      </c>
      <c r="R302" s="3">
        <v>2000000</v>
      </c>
      <c r="S302" s="3">
        <v>2000000</v>
      </c>
      <c r="T302" s="3">
        <v>2000000</v>
      </c>
      <c r="U302" s="3">
        <v>2000000</v>
      </c>
    </row>
    <row r="303" spans="1:26" x14ac:dyDescent="0.25">
      <c r="A303" s="28" t="s">
        <v>103</v>
      </c>
      <c r="B303" s="8" t="s">
        <v>79</v>
      </c>
      <c r="C303" s="8" t="s">
        <v>77</v>
      </c>
      <c r="D303" s="9" t="s">
        <v>82</v>
      </c>
      <c r="E303" s="9" t="s">
        <v>78</v>
      </c>
      <c r="F303" s="68">
        <f t="shared" si="19"/>
        <v>39083</v>
      </c>
      <c r="G303" s="3">
        <v>1000000</v>
      </c>
      <c r="H303" s="3">
        <v>2000000</v>
      </c>
      <c r="I303" s="3">
        <v>2000000</v>
      </c>
      <c r="J303" s="3">
        <v>2000000</v>
      </c>
      <c r="K303" s="3">
        <v>2000000</v>
      </c>
      <c r="L303" s="3">
        <v>2000000</v>
      </c>
      <c r="M303" s="3">
        <v>2000000</v>
      </c>
      <c r="N303" s="3">
        <v>2000000</v>
      </c>
      <c r="O303" s="3">
        <v>2000000</v>
      </c>
      <c r="P303" s="3">
        <v>2000000</v>
      </c>
      <c r="Q303" s="3">
        <v>2000000</v>
      </c>
      <c r="R303" s="3">
        <v>2000000</v>
      </c>
      <c r="S303" s="3">
        <v>2000000</v>
      </c>
      <c r="T303" s="3">
        <v>2000000</v>
      </c>
    </row>
    <row r="304" spans="1:26" x14ac:dyDescent="0.25">
      <c r="A304" s="28" t="s">
        <v>103</v>
      </c>
      <c r="B304" s="8" t="s">
        <v>79</v>
      </c>
      <c r="C304" s="8" t="s">
        <v>77</v>
      </c>
      <c r="D304" s="9" t="s">
        <v>82</v>
      </c>
      <c r="E304" s="9" t="s">
        <v>78</v>
      </c>
      <c r="F304" s="68">
        <f t="shared" si="19"/>
        <v>39448</v>
      </c>
      <c r="G304" s="3">
        <v>1000000</v>
      </c>
      <c r="H304" s="3">
        <v>2000000</v>
      </c>
      <c r="I304" s="3">
        <v>2000000</v>
      </c>
      <c r="J304" s="3">
        <v>2000000</v>
      </c>
      <c r="K304" s="3">
        <v>2000000</v>
      </c>
      <c r="L304" s="3">
        <v>2000000</v>
      </c>
      <c r="M304" s="3">
        <v>2000000</v>
      </c>
      <c r="N304" s="3">
        <v>2000000</v>
      </c>
      <c r="O304" s="3">
        <v>2000000</v>
      </c>
      <c r="P304" s="3">
        <v>2000000</v>
      </c>
      <c r="Q304" s="3">
        <v>2000000</v>
      </c>
      <c r="R304" s="3">
        <v>2000000</v>
      </c>
      <c r="S304" s="3">
        <v>2000000</v>
      </c>
    </row>
    <row r="305" spans="1:26" x14ac:dyDescent="0.25">
      <c r="A305" s="28" t="s">
        <v>103</v>
      </c>
      <c r="B305" s="8" t="s">
        <v>79</v>
      </c>
      <c r="C305" s="8" t="s">
        <v>77</v>
      </c>
      <c r="D305" s="9" t="s">
        <v>82</v>
      </c>
      <c r="E305" s="9" t="s">
        <v>78</v>
      </c>
      <c r="F305" s="68">
        <f t="shared" si="19"/>
        <v>39814</v>
      </c>
      <c r="G305" s="3">
        <v>1000000</v>
      </c>
      <c r="H305" s="3">
        <v>2000000</v>
      </c>
      <c r="I305" s="3">
        <v>2000000</v>
      </c>
      <c r="J305" s="3">
        <v>2000000</v>
      </c>
      <c r="K305" s="3">
        <v>2000000</v>
      </c>
      <c r="L305" s="3">
        <v>2000000</v>
      </c>
      <c r="M305" s="3">
        <v>2000000</v>
      </c>
      <c r="N305" s="3">
        <v>2000000</v>
      </c>
      <c r="O305" s="3">
        <v>2000000</v>
      </c>
      <c r="P305" s="3">
        <v>2000000</v>
      </c>
      <c r="Q305" s="3">
        <v>2000000</v>
      </c>
      <c r="R305" s="3">
        <v>2000000</v>
      </c>
    </row>
    <row r="306" spans="1:26" x14ac:dyDescent="0.25">
      <c r="A306" s="28" t="s">
        <v>103</v>
      </c>
      <c r="B306" s="8" t="s">
        <v>79</v>
      </c>
      <c r="C306" s="8" t="s">
        <v>77</v>
      </c>
      <c r="D306" s="9" t="s">
        <v>82</v>
      </c>
      <c r="E306" s="9" t="s">
        <v>78</v>
      </c>
      <c r="F306" s="68">
        <f t="shared" si="19"/>
        <v>40179</v>
      </c>
      <c r="G306" s="3">
        <v>1000000</v>
      </c>
      <c r="H306" s="3">
        <v>2000000</v>
      </c>
      <c r="I306" s="3">
        <v>2000000</v>
      </c>
      <c r="J306" s="3">
        <v>2000000</v>
      </c>
      <c r="K306" s="3">
        <v>2000000</v>
      </c>
      <c r="L306" s="3">
        <v>2000000</v>
      </c>
      <c r="M306" s="3">
        <v>2000000</v>
      </c>
      <c r="N306" s="3">
        <v>2000000</v>
      </c>
      <c r="O306" s="3">
        <v>2000000</v>
      </c>
      <c r="P306" s="3">
        <v>2000000</v>
      </c>
      <c r="Q306" s="3">
        <v>2000000</v>
      </c>
    </row>
    <row r="307" spans="1:26" x14ac:dyDescent="0.25">
      <c r="A307" s="28" t="s">
        <v>103</v>
      </c>
      <c r="B307" s="8" t="s">
        <v>79</v>
      </c>
      <c r="C307" s="8" t="s">
        <v>77</v>
      </c>
      <c r="D307" s="9" t="s">
        <v>82</v>
      </c>
      <c r="E307" s="9" t="s">
        <v>78</v>
      </c>
      <c r="F307" s="68">
        <f t="shared" si="19"/>
        <v>40544</v>
      </c>
      <c r="G307" s="3">
        <v>1000000</v>
      </c>
      <c r="H307" s="3">
        <v>2000000</v>
      </c>
      <c r="I307" s="3">
        <v>2000000</v>
      </c>
      <c r="J307" s="3">
        <v>2000000</v>
      </c>
      <c r="K307" s="3">
        <v>2000000</v>
      </c>
      <c r="L307" s="3">
        <v>2000000</v>
      </c>
      <c r="M307" s="3">
        <v>2000000</v>
      </c>
      <c r="N307" s="3">
        <v>2000000</v>
      </c>
      <c r="O307" s="3">
        <v>2000000</v>
      </c>
      <c r="P307" s="3">
        <v>2000000</v>
      </c>
    </row>
    <row r="308" spans="1:26" x14ac:dyDescent="0.25">
      <c r="A308" s="28" t="s">
        <v>103</v>
      </c>
      <c r="B308" s="8" t="s">
        <v>79</v>
      </c>
      <c r="C308" s="8" t="s">
        <v>77</v>
      </c>
      <c r="D308" s="9" t="s">
        <v>82</v>
      </c>
      <c r="E308" s="9" t="s">
        <v>78</v>
      </c>
      <c r="F308" s="68">
        <f t="shared" si="19"/>
        <v>40909</v>
      </c>
      <c r="G308" s="3">
        <v>1000000</v>
      </c>
      <c r="H308" s="3">
        <v>2000000</v>
      </c>
      <c r="I308" s="3">
        <v>2000000</v>
      </c>
      <c r="J308" s="3">
        <v>2000000</v>
      </c>
      <c r="K308" s="3">
        <v>2000000</v>
      </c>
      <c r="L308" s="3">
        <v>2000000</v>
      </c>
      <c r="M308" s="3">
        <v>2000000</v>
      </c>
      <c r="N308" s="3">
        <v>2000000</v>
      </c>
      <c r="O308" s="3">
        <v>2000000</v>
      </c>
    </row>
    <row r="309" spans="1:26" x14ac:dyDescent="0.25">
      <c r="A309" s="28" t="s">
        <v>103</v>
      </c>
      <c r="B309" s="8" t="s">
        <v>79</v>
      </c>
      <c r="C309" s="8" t="s">
        <v>77</v>
      </c>
      <c r="D309" s="9" t="s">
        <v>82</v>
      </c>
      <c r="E309" s="9" t="s">
        <v>78</v>
      </c>
      <c r="F309" s="68">
        <f t="shared" si="19"/>
        <v>41275</v>
      </c>
      <c r="G309" s="3">
        <v>1000000</v>
      </c>
      <c r="H309" s="3">
        <v>2000000</v>
      </c>
      <c r="I309" s="3">
        <v>2000000</v>
      </c>
      <c r="J309" s="3">
        <v>2000000</v>
      </c>
      <c r="K309" s="3">
        <v>2000000</v>
      </c>
      <c r="L309" s="3">
        <v>2000000</v>
      </c>
      <c r="M309" s="3">
        <v>2000000</v>
      </c>
      <c r="N309" s="3">
        <v>2000000</v>
      </c>
    </row>
    <row r="310" spans="1:26" x14ac:dyDescent="0.25">
      <c r="A310" s="28" t="s">
        <v>103</v>
      </c>
      <c r="B310" s="8" t="s">
        <v>79</v>
      </c>
      <c r="C310" s="8" t="s">
        <v>77</v>
      </c>
      <c r="D310" s="9" t="s">
        <v>82</v>
      </c>
      <c r="E310" s="9" t="s">
        <v>78</v>
      </c>
      <c r="F310" s="68">
        <f t="shared" si="19"/>
        <v>41640</v>
      </c>
      <c r="G310" s="3">
        <v>1000000</v>
      </c>
      <c r="H310" s="3">
        <v>2000000</v>
      </c>
      <c r="I310" s="3">
        <v>2000000</v>
      </c>
      <c r="J310" s="3">
        <v>2000000</v>
      </c>
      <c r="K310" s="3">
        <v>2000000</v>
      </c>
      <c r="L310" s="3">
        <v>2000000</v>
      </c>
      <c r="M310" s="3">
        <v>2000000</v>
      </c>
    </row>
    <row r="311" spans="1:26" x14ac:dyDescent="0.25">
      <c r="A311" s="28" t="s">
        <v>103</v>
      </c>
      <c r="B311" s="8" t="s">
        <v>79</v>
      </c>
      <c r="C311" s="8" t="s">
        <v>77</v>
      </c>
      <c r="D311" s="9" t="s">
        <v>82</v>
      </c>
      <c r="E311" s="9" t="s">
        <v>78</v>
      </c>
      <c r="F311" s="68">
        <f t="shared" si="19"/>
        <v>42005</v>
      </c>
      <c r="G311" s="3">
        <v>1000000</v>
      </c>
      <c r="H311" s="3">
        <v>2000000</v>
      </c>
      <c r="I311" s="3">
        <v>2000000</v>
      </c>
      <c r="J311" s="3">
        <v>2000000</v>
      </c>
      <c r="K311" s="3">
        <v>2000000</v>
      </c>
      <c r="L311" s="3">
        <v>2000000</v>
      </c>
    </row>
    <row r="312" spans="1:26" x14ac:dyDescent="0.25">
      <c r="A312" s="28" t="s">
        <v>103</v>
      </c>
      <c r="B312" s="8" t="s">
        <v>79</v>
      </c>
      <c r="C312" s="8" t="s">
        <v>77</v>
      </c>
      <c r="D312" s="9" t="s">
        <v>82</v>
      </c>
      <c r="E312" s="9" t="s">
        <v>78</v>
      </c>
      <c r="F312" s="68">
        <f t="shared" si="19"/>
        <v>42370</v>
      </c>
      <c r="G312" s="3">
        <v>1000000</v>
      </c>
      <c r="H312" s="3">
        <v>2000000</v>
      </c>
      <c r="I312" s="3">
        <v>2000000</v>
      </c>
      <c r="J312" s="3">
        <v>2000000</v>
      </c>
      <c r="K312" s="3">
        <v>2000000</v>
      </c>
    </row>
    <row r="313" spans="1:26" x14ac:dyDescent="0.25">
      <c r="A313" s="28" t="s">
        <v>103</v>
      </c>
      <c r="B313" s="8" t="s">
        <v>79</v>
      </c>
      <c r="C313" s="8" t="s">
        <v>77</v>
      </c>
      <c r="D313" s="9" t="s">
        <v>82</v>
      </c>
      <c r="E313" s="9" t="s">
        <v>78</v>
      </c>
      <c r="F313" s="68">
        <f t="shared" si="19"/>
        <v>42736</v>
      </c>
      <c r="G313" s="3">
        <v>1000000</v>
      </c>
      <c r="H313" s="3">
        <v>2000000</v>
      </c>
      <c r="I313" s="3">
        <v>2000000</v>
      </c>
      <c r="J313" s="3">
        <v>2000000</v>
      </c>
    </row>
    <row r="314" spans="1:26" x14ac:dyDescent="0.25">
      <c r="A314" s="28" t="s">
        <v>103</v>
      </c>
      <c r="B314" s="8" t="s">
        <v>79</v>
      </c>
      <c r="C314" s="8" t="s">
        <v>77</v>
      </c>
      <c r="D314" s="9" t="s">
        <v>82</v>
      </c>
      <c r="E314" s="9" t="s">
        <v>78</v>
      </c>
      <c r="F314" s="68">
        <f t="shared" si="19"/>
        <v>43101</v>
      </c>
      <c r="G314" s="3">
        <v>1000000</v>
      </c>
      <c r="H314" s="3">
        <v>2000000</v>
      </c>
      <c r="I314" s="3">
        <v>2000000</v>
      </c>
      <c r="J314" s="3"/>
    </row>
    <row r="315" spans="1:26" x14ac:dyDescent="0.25">
      <c r="A315" s="28" t="s">
        <v>103</v>
      </c>
      <c r="B315" s="8" t="s">
        <v>79</v>
      </c>
      <c r="C315" s="8" t="s">
        <v>77</v>
      </c>
      <c r="D315" s="9" t="s">
        <v>82</v>
      </c>
      <c r="E315" s="9" t="s">
        <v>78</v>
      </c>
      <c r="F315" s="68">
        <f t="shared" si="19"/>
        <v>43466</v>
      </c>
      <c r="G315" s="3">
        <v>1000000</v>
      </c>
      <c r="H315" s="3">
        <v>2000000</v>
      </c>
      <c r="I315" s="3"/>
      <c r="J315" s="3"/>
    </row>
    <row r="316" spans="1:26" x14ac:dyDescent="0.25">
      <c r="A316" s="28" t="s">
        <v>103</v>
      </c>
      <c r="B316" s="8" t="s">
        <v>79</v>
      </c>
      <c r="C316" s="8" t="s">
        <v>77</v>
      </c>
      <c r="D316" s="9" t="s">
        <v>82</v>
      </c>
      <c r="E316" s="9" t="s">
        <v>78</v>
      </c>
      <c r="F316" s="68">
        <f t="shared" si="19"/>
        <v>43831</v>
      </c>
      <c r="G316" s="3">
        <v>1000000</v>
      </c>
      <c r="H316" s="3"/>
      <c r="I316" s="3"/>
      <c r="J316" s="3"/>
    </row>
    <row r="317" spans="1:26" x14ac:dyDescent="0.25">
      <c r="A317" s="28"/>
      <c r="F317" s="42"/>
      <c r="H317" s="3"/>
      <c r="I317" s="3"/>
      <c r="J317" s="3"/>
    </row>
    <row r="318" spans="1:26" x14ac:dyDescent="0.25">
      <c r="A318" s="28" t="s">
        <v>105</v>
      </c>
      <c r="B318" s="8" t="s">
        <v>79</v>
      </c>
      <c r="C318" s="8" t="s">
        <v>77</v>
      </c>
      <c r="D318" s="9" t="s">
        <v>82</v>
      </c>
      <c r="E318" s="9" t="s">
        <v>78</v>
      </c>
      <c r="F318" s="68">
        <f>triangle_start_date</f>
        <v>36892</v>
      </c>
      <c r="G318" s="3">
        <v>1000000</v>
      </c>
      <c r="H318" s="3">
        <v>2000000</v>
      </c>
      <c r="I318" s="3">
        <v>2000000</v>
      </c>
      <c r="J318" s="3">
        <v>2000000</v>
      </c>
      <c r="K318" s="3">
        <v>2000000</v>
      </c>
      <c r="L318" s="3">
        <v>2000000</v>
      </c>
      <c r="M318" s="3">
        <v>2000000</v>
      </c>
      <c r="N318" s="3">
        <v>2000000</v>
      </c>
      <c r="O318" s="3">
        <v>2000000</v>
      </c>
      <c r="P318" s="3">
        <v>2000000</v>
      </c>
      <c r="Q318" s="3">
        <v>2000000</v>
      </c>
      <c r="R318" s="3">
        <v>2000000</v>
      </c>
      <c r="S318" s="3">
        <v>2000000</v>
      </c>
      <c r="T318" s="3">
        <v>2000000</v>
      </c>
      <c r="U318" s="3">
        <v>2000000</v>
      </c>
      <c r="V318" s="3">
        <v>2000000</v>
      </c>
      <c r="W318" s="3">
        <v>2000000</v>
      </c>
      <c r="X318" s="3">
        <v>2000000</v>
      </c>
      <c r="Y318" s="3">
        <v>2000000</v>
      </c>
      <c r="Z318" s="3">
        <v>2000000</v>
      </c>
    </row>
    <row r="319" spans="1:26" x14ac:dyDescent="0.25">
      <c r="A319" s="28" t="s">
        <v>105</v>
      </c>
      <c r="B319" s="8" t="s">
        <v>79</v>
      </c>
      <c r="C319" s="8" t="s">
        <v>77</v>
      </c>
      <c r="D319" s="9" t="s">
        <v>82</v>
      </c>
      <c r="E319" s="9" t="s">
        <v>78</v>
      </c>
      <c r="F319" s="68">
        <f t="shared" ref="F319:F337" si="20">EDATE(F318,12)</f>
        <v>37257</v>
      </c>
      <c r="G319" s="3">
        <v>1000000</v>
      </c>
      <c r="H319" s="3">
        <v>2000000</v>
      </c>
      <c r="I319" s="3">
        <v>2000000</v>
      </c>
      <c r="J319" s="3">
        <v>2000000</v>
      </c>
      <c r="K319" s="3">
        <v>2000000</v>
      </c>
      <c r="L319" s="3">
        <v>2000000</v>
      </c>
      <c r="M319" s="3">
        <v>2000000</v>
      </c>
      <c r="N319" s="3">
        <v>2000000</v>
      </c>
      <c r="O319" s="3">
        <v>2000000</v>
      </c>
      <c r="P319" s="3">
        <v>2000000</v>
      </c>
      <c r="Q319" s="3">
        <v>2000000</v>
      </c>
      <c r="R319" s="3">
        <v>2000000</v>
      </c>
      <c r="S319" s="3">
        <v>2000000</v>
      </c>
      <c r="T319" s="3">
        <v>2000000</v>
      </c>
      <c r="U319" s="3">
        <v>2000000</v>
      </c>
      <c r="V319" s="3">
        <v>2000000</v>
      </c>
      <c r="W319" s="3">
        <v>2000000</v>
      </c>
      <c r="X319" s="3">
        <v>2000000</v>
      </c>
      <c r="Y319" s="3">
        <v>2000000</v>
      </c>
    </row>
    <row r="320" spans="1:26" x14ac:dyDescent="0.25">
      <c r="A320" s="28" t="s">
        <v>105</v>
      </c>
      <c r="B320" s="8" t="s">
        <v>79</v>
      </c>
      <c r="C320" s="8" t="s">
        <v>77</v>
      </c>
      <c r="D320" s="9" t="s">
        <v>82</v>
      </c>
      <c r="E320" s="9" t="s">
        <v>78</v>
      </c>
      <c r="F320" s="68">
        <f t="shared" si="20"/>
        <v>37622</v>
      </c>
      <c r="G320" s="3">
        <v>1000000</v>
      </c>
      <c r="H320" s="3">
        <v>2000000</v>
      </c>
      <c r="I320" s="3">
        <v>2000000</v>
      </c>
      <c r="J320" s="3">
        <v>2000000</v>
      </c>
      <c r="K320" s="3">
        <v>2000000</v>
      </c>
      <c r="L320" s="3">
        <v>2000000</v>
      </c>
      <c r="M320" s="3">
        <v>2000000</v>
      </c>
      <c r="N320" s="3">
        <v>2000000</v>
      </c>
      <c r="O320" s="3">
        <v>2000000</v>
      </c>
      <c r="P320" s="3">
        <v>2000000</v>
      </c>
      <c r="Q320" s="3">
        <v>2000000</v>
      </c>
      <c r="R320" s="3">
        <v>2000000</v>
      </c>
      <c r="S320" s="3">
        <v>2000000</v>
      </c>
      <c r="T320" s="3">
        <v>2000000</v>
      </c>
      <c r="U320" s="3">
        <v>2000000</v>
      </c>
      <c r="V320" s="3">
        <v>2000000</v>
      </c>
      <c r="W320" s="3">
        <v>2000000</v>
      </c>
      <c r="X320" s="3">
        <v>2000000</v>
      </c>
    </row>
    <row r="321" spans="1:23" x14ac:dyDescent="0.25">
      <c r="A321" s="28" t="s">
        <v>105</v>
      </c>
      <c r="B321" s="8" t="s">
        <v>79</v>
      </c>
      <c r="C321" s="8" t="s">
        <v>77</v>
      </c>
      <c r="D321" s="9" t="s">
        <v>82</v>
      </c>
      <c r="E321" s="9" t="s">
        <v>78</v>
      </c>
      <c r="F321" s="68">
        <f t="shared" si="20"/>
        <v>37987</v>
      </c>
      <c r="G321" s="3">
        <v>1000000</v>
      </c>
      <c r="H321" s="3">
        <v>2000000</v>
      </c>
      <c r="I321" s="3">
        <v>2000000</v>
      </c>
      <c r="J321" s="3">
        <v>2000000</v>
      </c>
      <c r="K321" s="3">
        <v>2000000</v>
      </c>
      <c r="L321" s="3">
        <v>2000000</v>
      </c>
      <c r="M321" s="3">
        <v>2000000</v>
      </c>
      <c r="N321" s="3">
        <v>2000000</v>
      </c>
      <c r="O321" s="3">
        <v>2000000</v>
      </c>
      <c r="P321" s="3">
        <v>2000000</v>
      </c>
      <c r="Q321" s="3">
        <v>2000000</v>
      </c>
      <c r="R321" s="3">
        <v>2000000</v>
      </c>
      <c r="S321" s="3">
        <v>2000000</v>
      </c>
      <c r="T321" s="3">
        <v>2000000</v>
      </c>
      <c r="U321" s="3">
        <v>2000000</v>
      </c>
      <c r="V321" s="3">
        <v>2000000</v>
      </c>
      <c r="W321" s="3">
        <v>2000000</v>
      </c>
    </row>
    <row r="322" spans="1:23" x14ac:dyDescent="0.25">
      <c r="A322" s="28" t="s">
        <v>105</v>
      </c>
      <c r="B322" s="8" t="s">
        <v>79</v>
      </c>
      <c r="C322" s="8" t="s">
        <v>77</v>
      </c>
      <c r="D322" s="9" t="s">
        <v>82</v>
      </c>
      <c r="E322" s="9" t="s">
        <v>78</v>
      </c>
      <c r="F322" s="68">
        <f t="shared" si="20"/>
        <v>38353</v>
      </c>
      <c r="G322" s="3">
        <v>1000000</v>
      </c>
      <c r="H322" s="3">
        <v>2000000</v>
      </c>
      <c r="I322" s="3">
        <v>2000000</v>
      </c>
      <c r="J322" s="3">
        <v>2000000</v>
      </c>
      <c r="K322" s="3">
        <v>2000000</v>
      </c>
      <c r="L322" s="3">
        <v>2000000</v>
      </c>
      <c r="M322" s="3">
        <v>2000000</v>
      </c>
      <c r="N322" s="3">
        <v>2000000</v>
      </c>
      <c r="O322" s="3">
        <v>2000000</v>
      </c>
      <c r="P322" s="3">
        <v>2000000</v>
      </c>
      <c r="Q322" s="3">
        <v>2000000</v>
      </c>
      <c r="R322" s="3">
        <v>2000000</v>
      </c>
      <c r="S322" s="3">
        <v>2000000</v>
      </c>
      <c r="T322" s="3">
        <v>2000000</v>
      </c>
      <c r="U322" s="3">
        <v>2000000</v>
      </c>
      <c r="V322" s="3">
        <v>2000000</v>
      </c>
    </row>
    <row r="323" spans="1:23" x14ac:dyDescent="0.25">
      <c r="A323" s="28" t="s">
        <v>105</v>
      </c>
      <c r="B323" s="8" t="s">
        <v>79</v>
      </c>
      <c r="C323" s="8" t="s">
        <v>77</v>
      </c>
      <c r="D323" s="9" t="s">
        <v>82</v>
      </c>
      <c r="E323" s="9" t="s">
        <v>78</v>
      </c>
      <c r="F323" s="68">
        <f t="shared" si="20"/>
        <v>38718</v>
      </c>
      <c r="G323" s="3">
        <v>1000000</v>
      </c>
      <c r="H323" s="3">
        <v>2000000</v>
      </c>
      <c r="I323" s="3">
        <v>2000000</v>
      </c>
      <c r="J323" s="3">
        <v>2000000</v>
      </c>
      <c r="K323" s="3">
        <v>2000000</v>
      </c>
      <c r="L323" s="3">
        <v>2000000</v>
      </c>
      <c r="M323" s="3">
        <v>2000000</v>
      </c>
      <c r="N323" s="3">
        <v>2000000</v>
      </c>
      <c r="O323" s="3">
        <v>2000000</v>
      </c>
      <c r="P323" s="3">
        <v>2000000</v>
      </c>
      <c r="Q323" s="3">
        <v>2000000</v>
      </c>
      <c r="R323" s="3">
        <v>2000000</v>
      </c>
      <c r="S323" s="3">
        <v>2000000</v>
      </c>
      <c r="T323" s="3">
        <v>2000000</v>
      </c>
      <c r="U323" s="3">
        <v>2000000</v>
      </c>
    </row>
    <row r="324" spans="1:23" x14ac:dyDescent="0.25">
      <c r="A324" s="28" t="s">
        <v>105</v>
      </c>
      <c r="B324" s="8" t="s">
        <v>79</v>
      </c>
      <c r="C324" s="8" t="s">
        <v>77</v>
      </c>
      <c r="D324" s="9" t="s">
        <v>82</v>
      </c>
      <c r="E324" s="9" t="s">
        <v>78</v>
      </c>
      <c r="F324" s="68">
        <f t="shared" si="20"/>
        <v>39083</v>
      </c>
      <c r="G324" s="3">
        <v>1000000</v>
      </c>
      <c r="H324" s="3">
        <v>2000000</v>
      </c>
      <c r="I324" s="3">
        <v>2000000</v>
      </c>
      <c r="J324" s="3">
        <v>2000000</v>
      </c>
      <c r="K324" s="3">
        <v>2000000</v>
      </c>
      <c r="L324" s="3">
        <v>2000000</v>
      </c>
      <c r="M324" s="3">
        <v>2000000</v>
      </c>
      <c r="N324" s="3">
        <v>2000000</v>
      </c>
      <c r="O324" s="3">
        <v>2000000</v>
      </c>
      <c r="P324" s="3">
        <v>2000000</v>
      </c>
      <c r="Q324" s="3">
        <v>2000000</v>
      </c>
      <c r="R324" s="3">
        <v>2000000</v>
      </c>
      <c r="S324" s="3">
        <v>2000000</v>
      </c>
      <c r="T324" s="3">
        <v>2000000</v>
      </c>
    </row>
    <row r="325" spans="1:23" x14ac:dyDescent="0.25">
      <c r="A325" s="28" t="s">
        <v>105</v>
      </c>
      <c r="B325" s="8" t="s">
        <v>79</v>
      </c>
      <c r="C325" s="8" t="s">
        <v>77</v>
      </c>
      <c r="D325" s="9" t="s">
        <v>82</v>
      </c>
      <c r="E325" s="9" t="s">
        <v>78</v>
      </c>
      <c r="F325" s="68">
        <f t="shared" si="20"/>
        <v>39448</v>
      </c>
      <c r="G325" s="3">
        <v>1000000</v>
      </c>
      <c r="H325" s="3">
        <v>2000000</v>
      </c>
      <c r="I325" s="3">
        <v>2000000</v>
      </c>
      <c r="J325" s="3">
        <v>2000000</v>
      </c>
      <c r="K325" s="3">
        <v>2000000</v>
      </c>
      <c r="L325" s="3">
        <v>2000000</v>
      </c>
      <c r="M325" s="3">
        <v>2000000</v>
      </c>
      <c r="N325" s="3">
        <v>2000000</v>
      </c>
      <c r="O325" s="3">
        <v>2000000</v>
      </c>
      <c r="P325" s="3">
        <v>2000000</v>
      </c>
      <c r="Q325" s="3">
        <v>2000000</v>
      </c>
      <c r="R325" s="3">
        <v>2000000</v>
      </c>
      <c r="S325" s="3">
        <v>2000000</v>
      </c>
    </row>
    <row r="326" spans="1:23" x14ac:dyDescent="0.25">
      <c r="A326" s="28" t="s">
        <v>105</v>
      </c>
      <c r="B326" s="8" t="s">
        <v>79</v>
      </c>
      <c r="C326" s="8" t="s">
        <v>77</v>
      </c>
      <c r="D326" s="9" t="s">
        <v>82</v>
      </c>
      <c r="E326" s="9" t="s">
        <v>78</v>
      </c>
      <c r="F326" s="68">
        <f t="shared" si="20"/>
        <v>39814</v>
      </c>
      <c r="G326" s="3">
        <v>1000000</v>
      </c>
      <c r="H326" s="3">
        <v>2000000</v>
      </c>
      <c r="I326" s="3">
        <v>2000000</v>
      </c>
      <c r="J326" s="3">
        <v>2000000</v>
      </c>
      <c r="K326" s="3">
        <v>2000000</v>
      </c>
      <c r="L326" s="3">
        <v>2000000</v>
      </c>
      <c r="M326" s="3">
        <v>2000000</v>
      </c>
      <c r="N326" s="3">
        <v>2000000</v>
      </c>
      <c r="O326" s="3">
        <v>2000000</v>
      </c>
      <c r="P326" s="3">
        <v>2000000</v>
      </c>
      <c r="Q326" s="3">
        <v>2000000</v>
      </c>
      <c r="R326" s="3">
        <v>2000000</v>
      </c>
    </row>
    <row r="327" spans="1:23" x14ac:dyDescent="0.25">
      <c r="A327" s="28" t="s">
        <v>105</v>
      </c>
      <c r="B327" s="8" t="s">
        <v>79</v>
      </c>
      <c r="C327" s="8" t="s">
        <v>77</v>
      </c>
      <c r="D327" s="9" t="s">
        <v>82</v>
      </c>
      <c r="E327" s="9" t="s">
        <v>78</v>
      </c>
      <c r="F327" s="68">
        <f t="shared" si="20"/>
        <v>40179</v>
      </c>
      <c r="G327" s="3">
        <v>1000000</v>
      </c>
      <c r="H327" s="3">
        <v>2000000</v>
      </c>
      <c r="I327" s="3">
        <v>2000000</v>
      </c>
      <c r="J327" s="3">
        <v>2000000</v>
      </c>
      <c r="K327" s="3">
        <v>2000000</v>
      </c>
      <c r="L327" s="3">
        <v>2000000</v>
      </c>
      <c r="M327" s="3">
        <v>2000000</v>
      </c>
      <c r="N327" s="3">
        <v>2000000</v>
      </c>
      <c r="O327" s="3">
        <v>2000000</v>
      </c>
      <c r="P327" s="3">
        <v>2000000</v>
      </c>
      <c r="Q327" s="3">
        <v>2000000</v>
      </c>
    </row>
    <row r="328" spans="1:23" x14ac:dyDescent="0.25">
      <c r="A328" s="28" t="s">
        <v>105</v>
      </c>
      <c r="B328" s="8" t="s">
        <v>79</v>
      </c>
      <c r="C328" s="8" t="s">
        <v>77</v>
      </c>
      <c r="D328" s="9" t="s">
        <v>82</v>
      </c>
      <c r="E328" s="9" t="s">
        <v>78</v>
      </c>
      <c r="F328" s="68">
        <f t="shared" si="20"/>
        <v>40544</v>
      </c>
      <c r="G328" s="3">
        <v>1000000</v>
      </c>
      <c r="H328" s="3">
        <v>2000000</v>
      </c>
      <c r="I328" s="3">
        <v>2000000</v>
      </c>
      <c r="J328" s="3">
        <v>2000000</v>
      </c>
      <c r="K328" s="3">
        <v>2000000</v>
      </c>
      <c r="L328" s="3">
        <v>2000000</v>
      </c>
      <c r="M328" s="3">
        <v>2000000</v>
      </c>
      <c r="N328" s="3">
        <v>2000000</v>
      </c>
      <c r="O328" s="3">
        <v>2000000</v>
      </c>
      <c r="P328" s="3">
        <v>2000000</v>
      </c>
    </row>
    <row r="329" spans="1:23" x14ac:dyDescent="0.25">
      <c r="A329" s="28" t="s">
        <v>105</v>
      </c>
      <c r="B329" s="8" t="s">
        <v>79</v>
      </c>
      <c r="C329" s="8" t="s">
        <v>77</v>
      </c>
      <c r="D329" s="9" t="s">
        <v>82</v>
      </c>
      <c r="E329" s="9" t="s">
        <v>78</v>
      </c>
      <c r="F329" s="68">
        <f t="shared" si="20"/>
        <v>40909</v>
      </c>
      <c r="G329" s="3">
        <v>1000000</v>
      </c>
      <c r="H329" s="3">
        <v>2000000</v>
      </c>
      <c r="I329" s="3">
        <v>2000000</v>
      </c>
      <c r="J329" s="3">
        <v>2000000</v>
      </c>
      <c r="K329" s="3">
        <v>2000000</v>
      </c>
      <c r="L329" s="3">
        <v>2000000</v>
      </c>
      <c r="M329" s="3">
        <v>2000000</v>
      </c>
      <c r="N329" s="3">
        <v>2000000</v>
      </c>
      <c r="O329" s="3">
        <v>2000000</v>
      </c>
    </row>
    <row r="330" spans="1:23" x14ac:dyDescent="0.25">
      <c r="A330" s="28" t="s">
        <v>105</v>
      </c>
      <c r="B330" s="8" t="s">
        <v>79</v>
      </c>
      <c r="C330" s="8" t="s">
        <v>77</v>
      </c>
      <c r="D330" s="9" t="s">
        <v>82</v>
      </c>
      <c r="E330" s="9" t="s">
        <v>78</v>
      </c>
      <c r="F330" s="68">
        <f t="shared" si="20"/>
        <v>41275</v>
      </c>
      <c r="G330" s="3">
        <v>1000000</v>
      </c>
      <c r="H330" s="3">
        <v>2000000</v>
      </c>
      <c r="I330" s="3">
        <v>2000000</v>
      </c>
      <c r="J330" s="3">
        <v>2000000</v>
      </c>
      <c r="K330" s="3">
        <v>2000000</v>
      </c>
      <c r="L330" s="3">
        <v>2000000</v>
      </c>
      <c r="M330" s="3">
        <v>2000000</v>
      </c>
      <c r="N330" s="3">
        <v>2000000</v>
      </c>
    </row>
    <row r="331" spans="1:23" x14ac:dyDescent="0.25">
      <c r="A331" s="28" t="s">
        <v>105</v>
      </c>
      <c r="B331" s="8" t="s">
        <v>79</v>
      </c>
      <c r="C331" s="8" t="s">
        <v>77</v>
      </c>
      <c r="D331" s="9" t="s">
        <v>82</v>
      </c>
      <c r="E331" s="9" t="s">
        <v>78</v>
      </c>
      <c r="F331" s="68">
        <f t="shared" si="20"/>
        <v>41640</v>
      </c>
      <c r="G331" s="3">
        <v>1000000</v>
      </c>
      <c r="H331" s="3">
        <v>2000000</v>
      </c>
      <c r="I331" s="3">
        <v>2000000</v>
      </c>
      <c r="J331" s="3">
        <v>2000000</v>
      </c>
      <c r="K331" s="3">
        <v>2000000</v>
      </c>
      <c r="L331" s="3">
        <v>2000000</v>
      </c>
      <c r="M331" s="3">
        <v>2000000</v>
      </c>
    </row>
    <row r="332" spans="1:23" x14ac:dyDescent="0.25">
      <c r="A332" s="28" t="s">
        <v>105</v>
      </c>
      <c r="B332" s="8" t="s">
        <v>79</v>
      </c>
      <c r="C332" s="8" t="s">
        <v>77</v>
      </c>
      <c r="D332" s="9" t="s">
        <v>82</v>
      </c>
      <c r="E332" s="9" t="s">
        <v>78</v>
      </c>
      <c r="F332" s="68">
        <f t="shared" si="20"/>
        <v>42005</v>
      </c>
      <c r="G332" s="3">
        <v>1000000</v>
      </c>
      <c r="H332" s="3">
        <v>2000000</v>
      </c>
      <c r="I332" s="3">
        <v>2000000</v>
      </c>
      <c r="J332" s="3">
        <v>2000000</v>
      </c>
      <c r="K332" s="3">
        <v>2000000</v>
      </c>
      <c r="L332" s="3">
        <v>2000000</v>
      </c>
    </row>
    <row r="333" spans="1:23" x14ac:dyDescent="0.25">
      <c r="A333" s="28" t="s">
        <v>105</v>
      </c>
      <c r="B333" s="8" t="s">
        <v>79</v>
      </c>
      <c r="C333" s="8" t="s">
        <v>77</v>
      </c>
      <c r="D333" s="9" t="s">
        <v>82</v>
      </c>
      <c r="E333" s="9" t="s">
        <v>78</v>
      </c>
      <c r="F333" s="68">
        <f t="shared" si="20"/>
        <v>42370</v>
      </c>
      <c r="G333" s="3">
        <v>1000000</v>
      </c>
      <c r="H333" s="3">
        <v>2000000</v>
      </c>
      <c r="I333" s="3">
        <v>2000000</v>
      </c>
      <c r="J333" s="3">
        <v>2000000</v>
      </c>
      <c r="K333" s="3">
        <v>2000000</v>
      </c>
    </row>
    <row r="334" spans="1:23" x14ac:dyDescent="0.25">
      <c r="A334" s="28" t="s">
        <v>105</v>
      </c>
      <c r="B334" s="8" t="s">
        <v>79</v>
      </c>
      <c r="C334" s="8" t="s">
        <v>77</v>
      </c>
      <c r="D334" s="9" t="s">
        <v>82</v>
      </c>
      <c r="E334" s="9" t="s">
        <v>78</v>
      </c>
      <c r="F334" s="68">
        <f t="shared" si="20"/>
        <v>42736</v>
      </c>
      <c r="G334" s="3">
        <v>1000000</v>
      </c>
      <c r="H334" s="3">
        <v>2000000</v>
      </c>
      <c r="I334" s="3">
        <v>2000000</v>
      </c>
      <c r="J334" s="3">
        <v>2000000</v>
      </c>
    </row>
    <row r="335" spans="1:23" x14ac:dyDescent="0.25">
      <c r="A335" s="28" t="s">
        <v>105</v>
      </c>
      <c r="B335" s="8" t="s">
        <v>79</v>
      </c>
      <c r="C335" s="8" t="s">
        <v>77</v>
      </c>
      <c r="D335" s="9" t="s">
        <v>82</v>
      </c>
      <c r="E335" s="9" t="s">
        <v>78</v>
      </c>
      <c r="F335" s="68">
        <f t="shared" si="20"/>
        <v>43101</v>
      </c>
      <c r="G335" s="3">
        <v>1000000</v>
      </c>
      <c r="H335" s="3">
        <v>2000000</v>
      </c>
      <c r="I335" s="3">
        <v>2000000</v>
      </c>
      <c r="J335" s="3"/>
    </row>
    <row r="336" spans="1:23" x14ac:dyDescent="0.25">
      <c r="A336" s="28" t="s">
        <v>105</v>
      </c>
      <c r="B336" s="8" t="s">
        <v>79</v>
      </c>
      <c r="C336" s="8" t="s">
        <v>77</v>
      </c>
      <c r="D336" s="9" t="s">
        <v>82</v>
      </c>
      <c r="E336" s="9" t="s">
        <v>78</v>
      </c>
      <c r="F336" s="68">
        <f t="shared" si="20"/>
        <v>43466</v>
      </c>
      <c r="G336" s="3">
        <v>1000000</v>
      </c>
      <c r="H336" s="3">
        <v>2000000</v>
      </c>
      <c r="I336" s="3"/>
      <c r="J336" s="3"/>
    </row>
    <row r="337" spans="1:26" x14ac:dyDescent="0.25">
      <c r="A337" s="28" t="s">
        <v>105</v>
      </c>
      <c r="B337" s="8" t="s">
        <v>79</v>
      </c>
      <c r="C337" s="8" t="s">
        <v>77</v>
      </c>
      <c r="D337" s="9" t="s">
        <v>82</v>
      </c>
      <c r="E337" s="9" t="s">
        <v>78</v>
      </c>
      <c r="F337" s="68">
        <f t="shared" si="20"/>
        <v>43831</v>
      </c>
      <c r="G337" s="3">
        <v>1000000</v>
      </c>
      <c r="H337" s="3"/>
      <c r="I337" s="3"/>
      <c r="J337" s="3"/>
    </row>
    <row r="338" spans="1:26" x14ac:dyDescent="0.25">
      <c r="A338" s="28"/>
      <c r="F338" s="4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x14ac:dyDescent="0.25">
      <c r="A339" s="28" t="s">
        <v>108</v>
      </c>
      <c r="B339" s="8" t="s">
        <v>79</v>
      </c>
      <c r="C339" s="8" t="s">
        <v>77</v>
      </c>
      <c r="D339" s="9" t="s">
        <v>82</v>
      </c>
      <c r="E339" s="9" t="s">
        <v>78</v>
      </c>
      <c r="F339" s="68">
        <f>triangle_start_date</f>
        <v>36892</v>
      </c>
      <c r="G339" s="3">
        <v>1000000</v>
      </c>
      <c r="H339" s="3">
        <v>2000000</v>
      </c>
      <c r="I339" s="3">
        <v>2000000</v>
      </c>
      <c r="J339" s="3">
        <v>2000000</v>
      </c>
      <c r="K339" s="3">
        <v>2000000</v>
      </c>
      <c r="L339" s="3">
        <v>2000000</v>
      </c>
      <c r="M339" s="3">
        <v>2000000</v>
      </c>
      <c r="N339" s="3">
        <v>2000000</v>
      </c>
      <c r="O339" s="3">
        <v>2000000</v>
      </c>
      <c r="P339" s="3">
        <v>2000000</v>
      </c>
      <c r="Q339" s="3">
        <v>2000000</v>
      </c>
      <c r="R339" s="3">
        <v>2000000</v>
      </c>
      <c r="S339" s="3">
        <v>2000000</v>
      </c>
      <c r="T339" s="3">
        <v>2000000</v>
      </c>
      <c r="U339" s="3">
        <v>2000000</v>
      </c>
      <c r="V339" s="3">
        <v>2000000</v>
      </c>
      <c r="W339" s="3">
        <v>2000000</v>
      </c>
      <c r="X339" s="3">
        <v>2000000</v>
      </c>
      <c r="Y339" s="3">
        <v>2000000</v>
      </c>
      <c r="Z339" s="3">
        <v>2000000</v>
      </c>
    </row>
    <row r="340" spans="1:26" x14ac:dyDescent="0.25">
      <c r="A340" s="28" t="s">
        <v>108</v>
      </c>
      <c r="B340" s="8" t="s">
        <v>79</v>
      </c>
      <c r="C340" s="8" t="s">
        <v>77</v>
      </c>
      <c r="D340" s="9" t="s">
        <v>82</v>
      </c>
      <c r="E340" s="9" t="s">
        <v>78</v>
      </c>
      <c r="F340" s="68">
        <f t="shared" ref="F340:F358" si="21">EDATE(F339,12)</f>
        <v>37257</v>
      </c>
      <c r="G340" s="3">
        <v>1000000</v>
      </c>
      <c r="H340" s="3">
        <v>2000000</v>
      </c>
      <c r="I340" s="3">
        <v>2000000</v>
      </c>
      <c r="J340" s="3">
        <v>2000000</v>
      </c>
      <c r="K340" s="3">
        <v>2000000</v>
      </c>
      <c r="L340" s="3">
        <v>2000000</v>
      </c>
      <c r="M340" s="3">
        <v>2000000</v>
      </c>
      <c r="N340" s="3">
        <v>2000000</v>
      </c>
      <c r="O340" s="3">
        <v>2000000</v>
      </c>
      <c r="P340" s="3">
        <v>2000000</v>
      </c>
      <c r="Q340" s="3">
        <v>2000000</v>
      </c>
      <c r="R340" s="3">
        <v>2000000</v>
      </c>
      <c r="S340" s="3">
        <v>2000000</v>
      </c>
      <c r="T340" s="3">
        <v>2000000</v>
      </c>
      <c r="U340" s="3">
        <v>2000000</v>
      </c>
      <c r="V340" s="3">
        <v>2000000</v>
      </c>
      <c r="W340" s="3">
        <v>2000000</v>
      </c>
      <c r="X340" s="3">
        <v>2000000</v>
      </c>
      <c r="Y340" s="3">
        <v>2000000</v>
      </c>
    </row>
    <row r="341" spans="1:26" x14ac:dyDescent="0.25">
      <c r="A341" s="28" t="s">
        <v>108</v>
      </c>
      <c r="B341" s="8" t="s">
        <v>79</v>
      </c>
      <c r="C341" s="8" t="s">
        <v>77</v>
      </c>
      <c r="D341" s="9" t="s">
        <v>82</v>
      </c>
      <c r="E341" s="9" t="s">
        <v>78</v>
      </c>
      <c r="F341" s="68">
        <f t="shared" si="21"/>
        <v>37622</v>
      </c>
      <c r="G341" s="3">
        <v>1000000</v>
      </c>
      <c r="H341" s="3">
        <v>2000000</v>
      </c>
      <c r="I341" s="3">
        <v>2000000</v>
      </c>
      <c r="J341" s="3">
        <v>2000000</v>
      </c>
      <c r="K341" s="3">
        <v>2000000</v>
      </c>
      <c r="L341" s="3">
        <v>2000000</v>
      </c>
      <c r="M341" s="3">
        <v>2000000</v>
      </c>
      <c r="N341" s="3">
        <v>2000000</v>
      </c>
      <c r="O341" s="3">
        <v>2000000</v>
      </c>
      <c r="P341" s="3">
        <v>2000000</v>
      </c>
      <c r="Q341" s="3">
        <v>2000000</v>
      </c>
      <c r="R341" s="3">
        <v>2000000</v>
      </c>
      <c r="S341" s="3">
        <v>2000000</v>
      </c>
      <c r="T341" s="3">
        <v>2000000</v>
      </c>
      <c r="U341" s="3">
        <v>2000000</v>
      </c>
      <c r="V341" s="3">
        <v>2000000</v>
      </c>
      <c r="W341" s="3">
        <v>2000000</v>
      </c>
      <c r="X341" s="3">
        <v>2000000</v>
      </c>
    </row>
    <row r="342" spans="1:26" x14ac:dyDescent="0.25">
      <c r="A342" s="28" t="s">
        <v>108</v>
      </c>
      <c r="B342" s="8" t="s">
        <v>79</v>
      </c>
      <c r="C342" s="8" t="s">
        <v>77</v>
      </c>
      <c r="D342" s="9" t="s">
        <v>82</v>
      </c>
      <c r="E342" s="9" t="s">
        <v>78</v>
      </c>
      <c r="F342" s="68">
        <f t="shared" si="21"/>
        <v>37987</v>
      </c>
      <c r="G342" s="3">
        <v>1000000</v>
      </c>
      <c r="H342" s="3">
        <v>2000000</v>
      </c>
      <c r="I342" s="3">
        <v>2000000</v>
      </c>
      <c r="J342" s="3">
        <v>2000000</v>
      </c>
      <c r="K342" s="3">
        <v>2000000</v>
      </c>
      <c r="L342" s="3">
        <v>2000000</v>
      </c>
      <c r="M342" s="3">
        <v>2000000</v>
      </c>
      <c r="N342" s="3">
        <v>2000000</v>
      </c>
      <c r="O342" s="3">
        <v>2000000</v>
      </c>
      <c r="P342" s="3">
        <v>2000000</v>
      </c>
      <c r="Q342" s="3">
        <v>2000000</v>
      </c>
      <c r="R342" s="3">
        <v>2000000</v>
      </c>
      <c r="S342" s="3">
        <v>2000000</v>
      </c>
      <c r="T342" s="3">
        <v>2000000</v>
      </c>
      <c r="U342" s="3">
        <v>2000000</v>
      </c>
      <c r="V342" s="3">
        <v>2000000</v>
      </c>
      <c r="W342" s="3">
        <v>2000000</v>
      </c>
    </row>
    <row r="343" spans="1:26" x14ac:dyDescent="0.25">
      <c r="A343" s="28" t="s">
        <v>108</v>
      </c>
      <c r="B343" s="8" t="s">
        <v>79</v>
      </c>
      <c r="C343" s="8" t="s">
        <v>77</v>
      </c>
      <c r="D343" s="9" t="s">
        <v>82</v>
      </c>
      <c r="E343" s="9" t="s">
        <v>78</v>
      </c>
      <c r="F343" s="68">
        <f t="shared" si="21"/>
        <v>38353</v>
      </c>
      <c r="G343" s="3">
        <v>1000000</v>
      </c>
      <c r="H343" s="3">
        <v>2000000</v>
      </c>
      <c r="I343" s="3">
        <v>2000000</v>
      </c>
      <c r="J343" s="3">
        <v>2000000</v>
      </c>
      <c r="K343" s="3">
        <v>2000000</v>
      </c>
      <c r="L343" s="3">
        <v>2000000</v>
      </c>
      <c r="M343" s="3">
        <v>2000000</v>
      </c>
      <c r="N343" s="3">
        <v>2000000</v>
      </c>
      <c r="O343" s="3">
        <v>2000000</v>
      </c>
      <c r="P343" s="3">
        <v>2000000</v>
      </c>
      <c r="Q343" s="3">
        <v>2000000</v>
      </c>
      <c r="R343" s="3">
        <v>2000000</v>
      </c>
      <c r="S343" s="3">
        <v>2000000</v>
      </c>
      <c r="T343" s="3">
        <v>2000000</v>
      </c>
      <c r="U343" s="3">
        <v>2000000</v>
      </c>
      <c r="V343" s="3">
        <v>2000000</v>
      </c>
    </row>
    <row r="344" spans="1:26" x14ac:dyDescent="0.25">
      <c r="A344" s="28" t="s">
        <v>108</v>
      </c>
      <c r="B344" s="8" t="s">
        <v>79</v>
      </c>
      <c r="C344" s="8" t="s">
        <v>77</v>
      </c>
      <c r="D344" s="9" t="s">
        <v>82</v>
      </c>
      <c r="E344" s="9" t="s">
        <v>78</v>
      </c>
      <c r="F344" s="68">
        <f t="shared" si="21"/>
        <v>38718</v>
      </c>
      <c r="G344" s="3">
        <v>1000000</v>
      </c>
      <c r="H344" s="3">
        <v>2000000</v>
      </c>
      <c r="I344" s="3">
        <v>2000000</v>
      </c>
      <c r="J344" s="3">
        <v>2000000</v>
      </c>
      <c r="K344" s="3">
        <v>2000000</v>
      </c>
      <c r="L344" s="3">
        <v>2000000</v>
      </c>
      <c r="M344" s="3">
        <v>2000000</v>
      </c>
      <c r="N344" s="3">
        <v>2000000</v>
      </c>
      <c r="O344" s="3">
        <v>2000000</v>
      </c>
      <c r="P344" s="3">
        <v>2000000</v>
      </c>
      <c r="Q344" s="3">
        <v>2000000</v>
      </c>
      <c r="R344" s="3">
        <v>2000000</v>
      </c>
      <c r="S344" s="3">
        <v>2000000</v>
      </c>
      <c r="T344" s="3">
        <v>2000000</v>
      </c>
      <c r="U344" s="3">
        <v>2000000</v>
      </c>
    </row>
    <row r="345" spans="1:26" x14ac:dyDescent="0.25">
      <c r="A345" s="28" t="s">
        <v>108</v>
      </c>
      <c r="B345" s="8" t="s">
        <v>79</v>
      </c>
      <c r="C345" s="8" t="s">
        <v>77</v>
      </c>
      <c r="D345" s="9" t="s">
        <v>82</v>
      </c>
      <c r="E345" s="9" t="s">
        <v>78</v>
      </c>
      <c r="F345" s="68">
        <f t="shared" si="21"/>
        <v>39083</v>
      </c>
      <c r="G345" s="3">
        <v>1000000</v>
      </c>
      <c r="H345" s="3">
        <v>2000000</v>
      </c>
      <c r="I345" s="3">
        <v>2000000</v>
      </c>
      <c r="J345" s="3">
        <v>2000000</v>
      </c>
      <c r="K345" s="3">
        <v>2000000</v>
      </c>
      <c r="L345" s="3">
        <v>2000000</v>
      </c>
      <c r="M345" s="3">
        <v>2000000</v>
      </c>
      <c r="N345" s="3">
        <v>2000000</v>
      </c>
      <c r="O345" s="3">
        <v>2000000</v>
      </c>
      <c r="P345" s="3">
        <v>2000000</v>
      </c>
      <c r="Q345" s="3">
        <v>2000000</v>
      </c>
      <c r="R345" s="3">
        <v>2000000</v>
      </c>
      <c r="S345" s="3">
        <v>2000000</v>
      </c>
      <c r="T345" s="3">
        <v>2000000</v>
      </c>
    </row>
    <row r="346" spans="1:26" x14ac:dyDescent="0.25">
      <c r="A346" s="28" t="s">
        <v>108</v>
      </c>
      <c r="B346" s="8" t="s">
        <v>79</v>
      </c>
      <c r="C346" s="8" t="s">
        <v>77</v>
      </c>
      <c r="D346" s="9" t="s">
        <v>82</v>
      </c>
      <c r="E346" s="9" t="s">
        <v>78</v>
      </c>
      <c r="F346" s="68">
        <f t="shared" si="21"/>
        <v>39448</v>
      </c>
      <c r="G346" s="3">
        <v>1000000</v>
      </c>
      <c r="H346" s="3">
        <v>2000000</v>
      </c>
      <c r="I346" s="3">
        <v>2000000</v>
      </c>
      <c r="J346" s="3">
        <v>2000000</v>
      </c>
      <c r="K346" s="3">
        <v>2000000</v>
      </c>
      <c r="L346" s="3">
        <v>2000000</v>
      </c>
      <c r="M346" s="3">
        <v>2000000</v>
      </c>
      <c r="N346" s="3">
        <v>2000000</v>
      </c>
      <c r="O346" s="3">
        <v>2000000</v>
      </c>
      <c r="P346" s="3">
        <v>2000000</v>
      </c>
      <c r="Q346" s="3">
        <v>2000000</v>
      </c>
      <c r="R346" s="3">
        <v>2000000</v>
      </c>
      <c r="S346" s="3">
        <v>2000000</v>
      </c>
    </row>
    <row r="347" spans="1:26" x14ac:dyDescent="0.25">
      <c r="A347" s="28" t="s">
        <v>108</v>
      </c>
      <c r="B347" s="8" t="s">
        <v>79</v>
      </c>
      <c r="C347" s="8" t="s">
        <v>77</v>
      </c>
      <c r="D347" s="9" t="s">
        <v>82</v>
      </c>
      <c r="E347" s="9" t="s">
        <v>78</v>
      </c>
      <c r="F347" s="68">
        <f t="shared" si="21"/>
        <v>39814</v>
      </c>
      <c r="G347" s="3">
        <v>1000000</v>
      </c>
      <c r="H347" s="3">
        <v>2000000</v>
      </c>
      <c r="I347" s="3">
        <v>2000000</v>
      </c>
      <c r="J347" s="3">
        <v>2000000</v>
      </c>
      <c r="K347" s="3">
        <v>2000000</v>
      </c>
      <c r="L347" s="3">
        <v>2000000</v>
      </c>
      <c r="M347" s="3">
        <v>2000000</v>
      </c>
      <c r="N347" s="3">
        <v>2000000</v>
      </c>
      <c r="O347" s="3">
        <v>2000000</v>
      </c>
      <c r="P347" s="3">
        <v>2000000</v>
      </c>
      <c r="Q347" s="3">
        <v>2000000</v>
      </c>
      <c r="R347" s="3">
        <v>2000000</v>
      </c>
    </row>
    <row r="348" spans="1:26" x14ac:dyDescent="0.25">
      <c r="A348" s="28" t="s">
        <v>108</v>
      </c>
      <c r="B348" s="8" t="s">
        <v>79</v>
      </c>
      <c r="C348" s="8" t="s">
        <v>77</v>
      </c>
      <c r="D348" s="9" t="s">
        <v>82</v>
      </c>
      <c r="E348" s="9" t="s">
        <v>78</v>
      </c>
      <c r="F348" s="68">
        <f t="shared" si="21"/>
        <v>40179</v>
      </c>
      <c r="G348" s="3">
        <v>1000000</v>
      </c>
      <c r="H348" s="3">
        <v>2000000</v>
      </c>
      <c r="I348" s="3">
        <v>2000000</v>
      </c>
      <c r="J348" s="3">
        <v>2000000</v>
      </c>
      <c r="K348" s="3">
        <v>2000000</v>
      </c>
      <c r="L348" s="3">
        <v>2000000</v>
      </c>
      <c r="M348" s="3">
        <v>2000000</v>
      </c>
      <c r="N348" s="3">
        <v>2000000</v>
      </c>
      <c r="O348" s="3">
        <v>2000000</v>
      </c>
      <c r="P348" s="3">
        <v>2000000</v>
      </c>
      <c r="Q348" s="3">
        <v>2000000</v>
      </c>
    </row>
    <row r="349" spans="1:26" x14ac:dyDescent="0.25">
      <c r="A349" s="28" t="s">
        <v>108</v>
      </c>
      <c r="B349" s="8" t="s">
        <v>79</v>
      </c>
      <c r="C349" s="8" t="s">
        <v>77</v>
      </c>
      <c r="D349" s="9" t="s">
        <v>82</v>
      </c>
      <c r="E349" s="9" t="s">
        <v>78</v>
      </c>
      <c r="F349" s="68">
        <f t="shared" si="21"/>
        <v>40544</v>
      </c>
      <c r="G349" s="3">
        <v>1000000</v>
      </c>
      <c r="H349" s="3">
        <v>2000000</v>
      </c>
      <c r="I349" s="3">
        <v>2000000</v>
      </c>
      <c r="J349" s="3">
        <v>2000000</v>
      </c>
      <c r="K349" s="3">
        <v>2000000</v>
      </c>
      <c r="L349" s="3">
        <v>2000000</v>
      </c>
      <c r="M349" s="3">
        <v>2000000</v>
      </c>
      <c r="N349" s="3">
        <v>2000000</v>
      </c>
      <c r="O349" s="3">
        <v>2000000</v>
      </c>
      <c r="P349" s="3">
        <v>2000000</v>
      </c>
    </row>
    <row r="350" spans="1:26" x14ac:dyDescent="0.25">
      <c r="A350" s="28" t="s">
        <v>108</v>
      </c>
      <c r="B350" s="8" t="s">
        <v>79</v>
      </c>
      <c r="C350" s="8" t="s">
        <v>77</v>
      </c>
      <c r="D350" s="9" t="s">
        <v>82</v>
      </c>
      <c r="E350" s="9" t="s">
        <v>78</v>
      </c>
      <c r="F350" s="68">
        <f t="shared" si="21"/>
        <v>40909</v>
      </c>
      <c r="G350" s="3">
        <v>1000000</v>
      </c>
      <c r="H350" s="3">
        <v>2000000</v>
      </c>
      <c r="I350" s="3">
        <v>2000000</v>
      </c>
      <c r="J350" s="3">
        <v>2000000</v>
      </c>
      <c r="K350" s="3">
        <v>2000000</v>
      </c>
      <c r="L350" s="3">
        <v>2000000</v>
      </c>
      <c r="M350" s="3">
        <v>2000000</v>
      </c>
      <c r="N350" s="3">
        <v>2000000</v>
      </c>
      <c r="O350" s="3">
        <v>2000000</v>
      </c>
    </row>
    <row r="351" spans="1:26" x14ac:dyDescent="0.25">
      <c r="A351" s="28" t="s">
        <v>108</v>
      </c>
      <c r="B351" s="8" t="s">
        <v>79</v>
      </c>
      <c r="C351" s="8" t="s">
        <v>77</v>
      </c>
      <c r="D351" s="9" t="s">
        <v>82</v>
      </c>
      <c r="E351" s="9" t="s">
        <v>78</v>
      </c>
      <c r="F351" s="68">
        <f t="shared" si="21"/>
        <v>41275</v>
      </c>
      <c r="G351" s="3">
        <v>1000000</v>
      </c>
      <c r="H351" s="3">
        <v>2000000</v>
      </c>
      <c r="I351" s="3">
        <v>2000000</v>
      </c>
      <c r="J351" s="3">
        <v>2000000</v>
      </c>
      <c r="K351" s="3">
        <v>2000000</v>
      </c>
      <c r="L351" s="3">
        <v>2000000</v>
      </c>
      <c r="M351" s="3">
        <v>2000000</v>
      </c>
      <c r="N351" s="3">
        <v>2000000</v>
      </c>
    </row>
    <row r="352" spans="1:26" x14ac:dyDescent="0.25">
      <c r="A352" s="28" t="s">
        <v>108</v>
      </c>
      <c r="B352" s="8" t="s">
        <v>79</v>
      </c>
      <c r="C352" s="8" t="s">
        <v>77</v>
      </c>
      <c r="D352" s="9" t="s">
        <v>82</v>
      </c>
      <c r="E352" s="9" t="s">
        <v>78</v>
      </c>
      <c r="F352" s="68">
        <f t="shared" si="21"/>
        <v>41640</v>
      </c>
      <c r="G352" s="3">
        <v>1000000</v>
      </c>
      <c r="H352" s="3">
        <v>2000000</v>
      </c>
      <c r="I352" s="3">
        <v>2000000</v>
      </c>
      <c r="J352" s="3">
        <v>2000000</v>
      </c>
      <c r="K352" s="3">
        <v>2000000</v>
      </c>
      <c r="L352" s="3">
        <v>2000000</v>
      </c>
      <c r="M352" s="3">
        <v>2000000</v>
      </c>
    </row>
    <row r="353" spans="1:26" x14ac:dyDescent="0.25">
      <c r="A353" s="28" t="s">
        <v>108</v>
      </c>
      <c r="B353" s="8" t="s">
        <v>79</v>
      </c>
      <c r="C353" s="8" t="s">
        <v>77</v>
      </c>
      <c r="D353" s="9" t="s">
        <v>82</v>
      </c>
      <c r="E353" s="9" t="s">
        <v>78</v>
      </c>
      <c r="F353" s="68">
        <f t="shared" si="21"/>
        <v>42005</v>
      </c>
      <c r="G353" s="3">
        <v>1000000</v>
      </c>
      <c r="H353" s="3">
        <v>2000000</v>
      </c>
      <c r="I353" s="3">
        <v>2000000</v>
      </c>
      <c r="J353" s="3">
        <v>2000000</v>
      </c>
      <c r="K353" s="3">
        <v>2000000</v>
      </c>
      <c r="L353" s="3">
        <v>2000000</v>
      </c>
    </row>
    <row r="354" spans="1:26" x14ac:dyDescent="0.25">
      <c r="A354" s="28" t="s">
        <v>108</v>
      </c>
      <c r="B354" s="8" t="s">
        <v>79</v>
      </c>
      <c r="C354" s="8" t="s">
        <v>77</v>
      </c>
      <c r="D354" s="9" t="s">
        <v>82</v>
      </c>
      <c r="E354" s="9" t="s">
        <v>78</v>
      </c>
      <c r="F354" s="68">
        <f t="shared" si="21"/>
        <v>42370</v>
      </c>
      <c r="G354" s="3">
        <v>1000000</v>
      </c>
      <c r="H354" s="3">
        <v>2000000</v>
      </c>
      <c r="I354" s="3">
        <v>2000000</v>
      </c>
      <c r="J354" s="3">
        <v>2000000</v>
      </c>
      <c r="K354" s="3">
        <v>2000000</v>
      </c>
    </row>
    <row r="355" spans="1:26" x14ac:dyDescent="0.25">
      <c r="A355" s="28" t="s">
        <v>108</v>
      </c>
      <c r="B355" s="8" t="s">
        <v>79</v>
      </c>
      <c r="C355" s="8" t="s">
        <v>77</v>
      </c>
      <c r="D355" s="9" t="s">
        <v>82</v>
      </c>
      <c r="E355" s="9" t="s">
        <v>78</v>
      </c>
      <c r="F355" s="68">
        <f t="shared" si="21"/>
        <v>42736</v>
      </c>
      <c r="G355" s="3">
        <v>1000000</v>
      </c>
      <c r="H355" s="3">
        <v>2000000</v>
      </c>
      <c r="I355" s="3">
        <v>2000000</v>
      </c>
      <c r="J355" s="3">
        <v>2000000</v>
      </c>
    </row>
    <row r="356" spans="1:26" x14ac:dyDescent="0.25">
      <c r="A356" s="28" t="s">
        <v>108</v>
      </c>
      <c r="B356" s="8" t="s">
        <v>79</v>
      </c>
      <c r="C356" s="8" t="s">
        <v>77</v>
      </c>
      <c r="D356" s="9" t="s">
        <v>82</v>
      </c>
      <c r="E356" s="9" t="s">
        <v>78</v>
      </c>
      <c r="F356" s="68">
        <f t="shared" si="21"/>
        <v>43101</v>
      </c>
      <c r="G356" s="3">
        <v>1000000</v>
      </c>
      <c r="H356" s="3">
        <v>2000000</v>
      </c>
      <c r="I356" s="3">
        <v>2000000</v>
      </c>
      <c r="J356" s="3"/>
    </row>
    <row r="357" spans="1:26" x14ac:dyDescent="0.25">
      <c r="A357" s="28" t="s">
        <v>108</v>
      </c>
      <c r="B357" s="8" t="s">
        <v>79</v>
      </c>
      <c r="C357" s="8" t="s">
        <v>77</v>
      </c>
      <c r="D357" s="9" t="s">
        <v>82</v>
      </c>
      <c r="E357" s="9" t="s">
        <v>78</v>
      </c>
      <c r="F357" s="68">
        <f t="shared" si="21"/>
        <v>43466</v>
      </c>
      <c r="G357" s="3">
        <v>1000000</v>
      </c>
      <c r="H357" s="3">
        <v>2000000</v>
      </c>
      <c r="I357" s="3"/>
      <c r="J357" s="3"/>
    </row>
    <row r="358" spans="1:26" x14ac:dyDescent="0.25">
      <c r="A358" s="28" t="s">
        <v>108</v>
      </c>
      <c r="B358" s="8" t="s">
        <v>79</v>
      </c>
      <c r="C358" s="8" t="s">
        <v>77</v>
      </c>
      <c r="D358" s="9" t="s">
        <v>82</v>
      </c>
      <c r="E358" s="9" t="s">
        <v>78</v>
      </c>
      <c r="F358" s="68">
        <f t="shared" si="21"/>
        <v>43831</v>
      </c>
      <c r="G358" s="3">
        <v>1000000</v>
      </c>
      <c r="H358" s="3"/>
      <c r="I358" s="3"/>
      <c r="J358" s="3"/>
    </row>
    <row r="359" spans="1:26" x14ac:dyDescent="0.25">
      <c r="A359" s="28"/>
      <c r="F359" s="42"/>
      <c r="H359" s="3"/>
      <c r="I359" s="3"/>
      <c r="J359" s="3"/>
    </row>
    <row r="360" spans="1:26" x14ac:dyDescent="0.25">
      <c r="A360" s="28" t="s">
        <v>109</v>
      </c>
      <c r="B360" s="8" t="s">
        <v>79</v>
      </c>
      <c r="C360" s="8" t="s">
        <v>77</v>
      </c>
      <c r="D360" s="9" t="s">
        <v>82</v>
      </c>
      <c r="E360" s="9" t="s">
        <v>78</v>
      </c>
      <c r="F360" s="68">
        <f>triangle_start_date</f>
        <v>36892</v>
      </c>
      <c r="G360" s="3">
        <v>1000000</v>
      </c>
      <c r="H360" s="3">
        <v>2000000</v>
      </c>
      <c r="I360" s="3">
        <v>2000000</v>
      </c>
      <c r="J360" s="3">
        <v>2000000</v>
      </c>
      <c r="K360" s="3">
        <v>2000000</v>
      </c>
      <c r="L360" s="3">
        <v>2000000</v>
      </c>
      <c r="M360" s="3">
        <v>2000000</v>
      </c>
      <c r="N360" s="3">
        <v>2000000</v>
      </c>
      <c r="O360" s="3">
        <v>2000000</v>
      </c>
      <c r="P360" s="3">
        <v>2000000</v>
      </c>
      <c r="Q360" s="3">
        <v>2000000</v>
      </c>
      <c r="R360" s="3">
        <v>2000000</v>
      </c>
      <c r="S360" s="3">
        <v>2000000</v>
      </c>
      <c r="T360" s="3">
        <v>2000000</v>
      </c>
      <c r="U360" s="3">
        <v>2000000</v>
      </c>
      <c r="V360" s="3">
        <v>2000000</v>
      </c>
      <c r="W360" s="3">
        <v>2000000</v>
      </c>
      <c r="X360" s="3">
        <v>2000000</v>
      </c>
      <c r="Y360" s="3">
        <v>2000000</v>
      </c>
      <c r="Z360" s="3">
        <v>2000000</v>
      </c>
    </row>
    <row r="361" spans="1:26" x14ac:dyDescent="0.25">
      <c r="A361" s="28" t="s">
        <v>109</v>
      </c>
      <c r="B361" s="8" t="s">
        <v>79</v>
      </c>
      <c r="C361" s="8" t="s">
        <v>77</v>
      </c>
      <c r="D361" s="9" t="s">
        <v>82</v>
      </c>
      <c r="E361" s="9" t="s">
        <v>78</v>
      </c>
      <c r="F361" s="68">
        <f t="shared" ref="F361:F379" si="22">EDATE(F360,12)</f>
        <v>37257</v>
      </c>
      <c r="G361" s="3">
        <v>1000000</v>
      </c>
      <c r="H361" s="3">
        <v>2000000</v>
      </c>
      <c r="I361" s="3">
        <v>2000000</v>
      </c>
      <c r="J361" s="3">
        <v>2000000</v>
      </c>
      <c r="K361" s="3">
        <v>2000000</v>
      </c>
      <c r="L361" s="3">
        <v>2000000</v>
      </c>
      <c r="M361" s="3">
        <v>2000000</v>
      </c>
      <c r="N361" s="3">
        <v>2000000</v>
      </c>
      <c r="O361" s="3">
        <v>2000000</v>
      </c>
      <c r="P361" s="3">
        <v>2000000</v>
      </c>
      <c r="Q361" s="3">
        <v>2000000</v>
      </c>
      <c r="R361" s="3">
        <v>2000000</v>
      </c>
      <c r="S361" s="3">
        <v>2000000</v>
      </c>
      <c r="T361" s="3">
        <v>2000000</v>
      </c>
      <c r="U361" s="3">
        <v>2000000</v>
      </c>
      <c r="V361" s="3">
        <v>2000000</v>
      </c>
      <c r="W361" s="3">
        <v>2000000</v>
      </c>
      <c r="X361" s="3">
        <v>2000000</v>
      </c>
      <c r="Y361" s="3">
        <v>2000000</v>
      </c>
    </row>
    <row r="362" spans="1:26" x14ac:dyDescent="0.25">
      <c r="A362" s="28" t="s">
        <v>109</v>
      </c>
      <c r="B362" s="8" t="s">
        <v>79</v>
      </c>
      <c r="C362" s="8" t="s">
        <v>77</v>
      </c>
      <c r="D362" s="9" t="s">
        <v>82</v>
      </c>
      <c r="E362" s="9" t="s">
        <v>78</v>
      </c>
      <c r="F362" s="68">
        <f t="shared" si="22"/>
        <v>37622</v>
      </c>
      <c r="G362" s="3">
        <v>1000000</v>
      </c>
      <c r="H362" s="3">
        <v>2000000</v>
      </c>
      <c r="I362" s="3">
        <v>2000000</v>
      </c>
      <c r="J362" s="3">
        <v>2000000</v>
      </c>
      <c r="K362" s="3">
        <v>2000000</v>
      </c>
      <c r="L362" s="3">
        <v>2000000</v>
      </c>
      <c r="M362" s="3">
        <v>2000000</v>
      </c>
      <c r="N362" s="3">
        <v>2000000</v>
      </c>
      <c r="O362" s="3">
        <v>2000000</v>
      </c>
      <c r="P362" s="3">
        <v>2000000</v>
      </c>
      <c r="Q362" s="3">
        <v>2000000</v>
      </c>
      <c r="R362" s="3">
        <v>2000000</v>
      </c>
      <c r="S362" s="3">
        <v>2000000</v>
      </c>
      <c r="T362" s="3">
        <v>2000000</v>
      </c>
      <c r="U362" s="3">
        <v>2000000</v>
      </c>
      <c r="V362" s="3">
        <v>2000000</v>
      </c>
      <c r="W362" s="3">
        <v>2000000</v>
      </c>
      <c r="X362" s="3">
        <v>2000000</v>
      </c>
    </row>
    <row r="363" spans="1:26" x14ac:dyDescent="0.25">
      <c r="A363" s="28" t="s">
        <v>109</v>
      </c>
      <c r="B363" s="8" t="s">
        <v>79</v>
      </c>
      <c r="C363" s="8" t="s">
        <v>77</v>
      </c>
      <c r="D363" s="9" t="s">
        <v>82</v>
      </c>
      <c r="E363" s="9" t="s">
        <v>78</v>
      </c>
      <c r="F363" s="68">
        <f t="shared" si="22"/>
        <v>37987</v>
      </c>
      <c r="G363" s="3">
        <v>1000000</v>
      </c>
      <c r="H363" s="3">
        <v>2000000</v>
      </c>
      <c r="I363" s="3">
        <v>2000000</v>
      </c>
      <c r="J363" s="3">
        <v>2000000</v>
      </c>
      <c r="K363" s="3">
        <v>2000000</v>
      </c>
      <c r="L363" s="3">
        <v>2000000</v>
      </c>
      <c r="M363" s="3">
        <v>2000000</v>
      </c>
      <c r="N363" s="3">
        <v>2000000</v>
      </c>
      <c r="O363" s="3">
        <v>2000000</v>
      </c>
      <c r="P363" s="3">
        <v>2000000</v>
      </c>
      <c r="Q363" s="3">
        <v>2000000</v>
      </c>
      <c r="R363" s="3">
        <v>2000000</v>
      </c>
      <c r="S363" s="3">
        <v>2000000</v>
      </c>
      <c r="T363" s="3">
        <v>2000000</v>
      </c>
      <c r="U363" s="3">
        <v>2000000</v>
      </c>
      <c r="V363" s="3">
        <v>2000000</v>
      </c>
      <c r="W363" s="3">
        <v>2000000</v>
      </c>
    </row>
    <row r="364" spans="1:26" x14ac:dyDescent="0.25">
      <c r="A364" s="28" t="s">
        <v>109</v>
      </c>
      <c r="B364" s="8" t="s">
        <v>79</v>
      </c>
      <c r="C364" s="8" t="s">
        <v>77</v>
      </c>
      <c r="D364" s="9" t="s">
        <v>82</v>
      </c>
      <c r="E364" s="9" t="s">
        <v>78</v>
      </c>
      <c r="F364" s="68">
        <f t="shared" si="22"/>
        <v>38353</v>
      </c>
      <c r="G364" s="3">
        <v>1000000</v>
      </c>
      <c r="H364" s="3">
        <v>2000000</v>
      </c>
      <c r="I364" s="3">
        <v>2000000</v>
      </c>
      <c r="J364" s="3">
        <v>2000000</v>
      </c>
      <c r="K364" s="3">
        <v>2000000</v>
      </c>
      <c r="L364" s="3">
        <v>2000000</v>
      </c>
      <c r="M364" s="3">
        <v>2000000</v>
      </c>
      <c r="N364" s="3">
        <v>2000000</v>
      </c>
      <c r="O364" s="3">
        <v>2000000</v>
      </c>
      <c r="P364" s="3">
        <v>2000000</v>
      </c>
      <c r="Q364" s="3">
        <v>2000000</v>
      </c>
      <c r="R364" s="3">
        <v>2000000</v>
      </c>
      <c r="S364" s="3">
        <v>2000000</v>
      </c>
      <c r="T364" s="3">
        <v>2000000</v>
      </c>
      <c r="U364" s="3">
        <v>2000000</v>
      </c>
      <c r="V364" s="3">
        <v>2000000</v>
      </c>
    </row>
    <row r="365" spans="1:26" x14ac:dyDescent="0.25">
      <c r="A365" s="28" t="s">
        <v>109</v>
      </c>
      <c r="B365" s="8" t="s">
        <v>79</v>
      </c>
      <c r="C365" s="8" t="s">
        <v>77</v>
      </c>
      <c r="D365" s="9" t="s">
        <v>82</v>
      </c>
      <c r="E365" s="9" t="s">
        <v>78</v>
      </c>
      <c r="F365" s="68">
        <f t="shared" si="22"/>
        <v>38718</v>
      </c>
      <c r="G365" s="3">
        <v>1000000</v>
      </c>
      <c r="H365" s="3">
        <v>2000000</v>
      </c>
      <c r="I365" s="3">
        <v>2000000</v>
      </c>
      <c r="J365" s="3">
        <v>2000000</v>
      </c>
      <c r="K365" s="3">
        <v>2000000</v>
      </c>
      <c r="L365" s="3">
        <v>2000000</v>
      </c>
      <c r="M365" s="3">
        <v>2000000</v>
      </c>
      <c r="N365" s="3">
        <v>2000000</v>
      </c>
      <c r="O365" s="3">
        <v>2000000</v>
      </c>
      <c r="P365" s="3">
        <v>2000000</v>
      </c>
      <c r="Q365" s="3">
        <v>2000000</v>
      </c>
      <c r="R365" s="3">
        <v>2000000</v>
      </c>
      <c r="S365" s="3">
        <v>2000000</v>
      </c>
      <c r="T365" s="3">
        <v>2000000</v>
      </c>
      <c r="U365" s="3">
        <v>2000000</v>
      </c>
    </row>
    <row r="366" spans="1:26" x14ac:dyDescent="0.25">
      <c r="A366" s="28" t="s">
        <v>109</v>
      </c>
      <c r="B366" s="8" t="s">
        <v>79</v>
      </c>
      <c r="C366" s="8" t="s">
        <v>77</v>
      </c>
      <c r="D366" s="9" t="s">
        <v>82</v>
      </c>
      <c r="E366" s="9" t="s">
        <v>78</v>
      </c>
      <c r="F366" s="68">
        <f t="shared" si="22"/>
        <v>39083</v>
      </c>
      <c r="G366" s="3">
        <v>1000000</v>
      </c>
      <c r="H366" s="3">
        <v>2000000</v>
      </c>
      <c r="I366" s="3">
        <v>2000000</v>
      </c>
      <c r="J366" s="3">
        <v>2000000</v>
      </c>
      <c r="K366" s="3">
        <v>2000000</v>
      </c>
      <c r="L366" s="3">
        <v>2000000</v>
      </c>
      <c r="M366" s="3">
        <v>2000000</v>
      </c>
      <c r="N366" s="3">
        <v>2000000</v>
      </c>
      <c r="O366" s="3">
        <v>2000000</v>
      </c>
      <c r="P366" s="3">
        <v>2000000</v>
      </c>
      <c r="Q366" s="3">
        <v>2000000</v>
      </c>
      <c r="R366" s="3">
        <v>2000000</v>
      </c>
      <c r="S366" s="3">
        <v>2000000</v>
      </c>
      <c r="T366" s="3">
        <v>2000000</v>
      </c>
    </row>
    <row r="367" spans="1:26" x14ac:dyDescent="0.25">
      <c r="A367" s="28" t="s">
        <v>109</v>
      </c>
      <c r="B367" s="8" t="s">
        <v>79</v>
      </c>
      <c r="C367" s="8" t="s">
        <v>77</v>
      </c>
      <c r="D367" s="9" t="s">
        <v>82</v>
      </c>
      <c r="E367" s="9" t="s">
        <v>78</v>
      </c>
      <c r="F367" s="68">
        <f t="shared" si="22"/>
        <v>39448</v>
      </c>
      <c r="G367" s="3">
        <v>1000000</v>
      </c>
      <c r="H367" s="3">
        <v>2000000</v>
      </c>
      <c r="I367" s="3">
        <v>2000000</v>
      </c>
      <c r="J367" s="3">
        <v>2000000</v>
      </c>
      <c r="K367" s="3">
        <v>2000000</v>
      </c>
      <c r="L367" s="3">
        <v>2000000</v>
      </c>
      <c r="M367" s="3">
        <v>2000000</v>
      </c>
      <c r="N367" s="3">
        <v>2000000</v>
      </c>
      <c r="O367" s="3">
        <v>2000000</v>
      </c>
      <c r="P367" s="3">
        <v>2000000</v>
      </c>
      <c r="Q367" s="3">
        <v>2000000</v>
      </c>
      <c r="R367" s="3">
        <v>2000000</v>
      </c>
      <c r="S367" s="3">
        <v>2000000</v>
      </c>
    </row>
    <row r="368" spans="1:26" x14ac:dyDescent="0.25">
      <c r="A368" s="28" t="s">
        <v>109</v>
      </c>
      <c r="B368" s="8" t="s">
        <v>79</v>
      </c>
      <c r="C368" s="8" t="s">
        <v>77</v>
      </c>
      <c r="D368" s="9" t="s">
        <v>82</v>
      </c>
      <c r="E368" s="9" t="s">
        <v>78</v>
      </c>
      <c r="F368" s="68">
        <f t="shared" si="22"/>
        <v>39814</v>
      </c>
      <c r="G368" s="3">
        <v>1000000</v>
      </c>
      <c r="H368" s="3">
        <v>2000000</v>
      </c>
      <c r="I368" s="3">
        <v>2000000</v>
      </c>
      <c r="J368" s="3">
        <v>2000000</v>
      </c>
      <c r="K368" s="3">
        <v>2000000</v>
      </c>
      <c r="L368" s="3">
        <v>2000000</v>
      </c>
      <c r="M368" s="3">
        <v>2000000</v>
      </c>
      <c r="N368" s="3">
        <v>2000000</v>
      </c>
      <c r="O368" s="3">
        <v>2000000</v>
      </c>
      <c r="P368" s="3">
        <v>2000000</v>
      </c>
      <c r="Q368" s="3">
        <v>2000000</v>
      </c>
      <c r="R368" s="3">
        <v>2000000</v>
      </c>
    </row>
    <row r="369" spans="1:17" x14ac:dyDescent="0.25">
      <c r="A369" s="28" t="s">
        <v>109</v>
      </c>
      <c r="B369" s="8" t="s">
        <v>79</v>
      </c>
      <c r="C369" s="8" t="s">
        <v>77</v>
      </c>
      <c r="D369" s="9" t="s">
        <v>82</v>
      </c>
      <c r="E369" s="9" t="s">
        <v>78</v>
      </c>
      <c r="F369" s="68">
        <f t="shared" si="22"/>
        <v>40179</v>
      </c>
      <c r="G369" s="3">
        <v>1000000</v>
      </c>
      <c r="H369" s="3">
        <v>2000000</v>
      </c>
      <c r="I369" s="3">
        <v>2000000</v>
      </c>
      <c r="J369" s="3">
        <v>2000000</v>
      </c>
      <c r="K369" s="3">
        <v>2000000</v>
      </c>
      <c r="L369" s="3">
        <v>2000000</v>
      </c>
      <c r="M369" s="3">
        <v>2000000</v>
      </c>
      <c r="N369" s="3">
        <v>2000000</v>
      </c>
      <c r="O369" s="3">
        <v>2000000</v>
      </c>
      <c r="P369" s="3">
        <v>2000000</v>
      </c>
      <c r="Q369" s="3">
        <v>2000000</v>
      </c>
    </row>
    <row r="370" spans="1:17" x14ac:dyDescent="0.25">
      <c r="A370" s="28" t="s">
        <v>109</v>
      </c>
      <c r="B370" s="8" t="s">
        <v>79</v>
      </c>
      <c r="C370" s="8" t="s">
        <v>77</v>
      </c>
      <c r="D370" s="9" t="s">
        <v>82</v>
      </c>
      <c r="E370" s="9" t="s">
        <v>78</v>
      </c>
      <c r="F370" s="68">
        <f t="shared" si="22"/>
        <v>40544</v>
      </c>
      <c r="G370" s="3">
        <v>1000000</v>
      </c>
      <c r="H370" s="3">
        <v>2000000</v>
      </c>
      <c r="I370" s="3">
        <v>2000000</v>
      </c>
      <c r="J370" s="3">
        <v>2000000</v>
      </c>
      <c r="K370" s="3">
        <v>2000000</v>
      </c>
      <c r="L370" s="3">
        <v>2000000</v>
      </c>
      <c r="M370" s="3">
        <v>2000000</v>
      </c>
      <c r="N370" s="3">
        <v>2000000</v>
      </c>
      <c r="O370" s="3">
        <v>2000000</v>
      </c>
      <c r="P370" s="3">
        <v>2000000</v>
      </c>
    </row>
    <row r="371" spans="1:17" x14ac:dyDescent="0.25">
      <c r="A371" s="28" t="s">
        <v>109</v>
      </c>
      <c r="B371" s="8" t="s">
        <v>79</v>
      </c>
      <c r="C371" s="8" t="s">
        <v>77</v>
      </c>
      <c r="D371" s="9" t="s">
        <v>82</v>
      </c>
      <c r="E371" s="9" t="s">
        <v>78</v>
      </c>
      <c r="F371" s="68">
        <f t="shared" si="22"/>
        <v>40909</v>
      </c>
      <c r="G371" s="3">
        <v>1000000</v>
      </c>
      <c r="H371" s="3">
        <v>2000000</v>
      </c>
      <c r="I371" s="3">
        <v>2000000</v>
      </c>
      <c r="J371" s="3">
        <v>2000000</v>
      </c>
      <c r="K371" s="3">
        <v>2000000</v>
      </c>
      <c r="L371" s="3">
        <v>2000000</v>
      </c>
      <c r="M371" s="3">
        <v>2000000</v>
      </c>
      <c r="N371" s="3">
        <v>2000000</v>
      </c>
      <c r="O371" s="3">
        <v>2000000</v>
      </c>
    </row>
    <row r="372" spans="1:17" x14ac:dyDescent="0.25">
      <c r="A372" s="28" t="s">
        <v>109</v>
      </c>
      <c r="B372" s="8" t="s">
        <v>79</v>
      </c>
      <c r="C372" s="8" t="s">
        <v>77</v>
      </c>
      <c r="D372" s="9" t="s">
        <v>82</v>
      </c>
      <c r="E372" s="9" t="s">
        <v>78</v>
      </c>
      <c r="F372" s="68">
        <f t="shared" si="22"/>
        <v>41275</v>
      </c>
      <c r="G372" s="3">
        <v>1000000</v>
      </c>
      <c r="H372" s="3">
        <v>2000000</v>
      </c>
      <c r="I372" s="3">
        <v>2000000</v>
      </c>
      <c r="J372" s="3">
        <v>2000000</v>
      </c>
      <c r="K372" s="3">
        <v>2000000</v>
      </c>
      <c r="L372" s="3">
        <v>2000000</v>
      </c>
      <c r="M372" s="3">
        <v>2000000</v>
      </c>
      <c r="N372" s="3">
        <v>2000000</v>
      </c>
    </row>
    <row r="373" spans="1:17" x14ac:dyDescent="0.25">
      <c r="A373" s="28" t="s">
        <v>109</v>
      </c>
      <c r="B373" s="8" t="s">
        <v>79</v>
      </c>
      <c r="C373" s="8" t="s">
        <v>77</v>
      </c>
      <c r="D373" s="9" t="s">
        <v>82</v>
      </c>
      <c r="E373" s="9" t="s">
        <v>78</v>
      </c>
      <c r="F373" s="68">
        <f t="shared" si="22"/>
        <v>41640</v>
      </c>
      <c r="G373" s="3">
        <v>1000000</v>
      </c>
      <c r="H373" s="3">
        <v>2000000</v>
      </c>
      <c r="I373" s="3">
        <v>2000000</v>
      </c>
      <c r="J373" s="3">
        <v>2000000</v>
      </c>
      <c r="K373" s="3">
        <v>2000000</v>
      </c>
      <c r="L373" s="3">
        <v>2000000</v>
      </c>
      <c r="M373" s="3">
        <v>2000000</v>
      </c>
    </row>
    <row r="374" spans="1:17" x14ac:dyDescent="0.25">
      <c r="A374" s="28" t="s">
        <v>109</v>
      </c>
      <c r="B374" s="8" t="s">
        <v>79</v>
      </c>
      <c r="C374" s="8" t="s">
        <v>77</v>
      </c>
      <c r="D374" s="9" t="s">
        <v>82</v>
      </c>
      <c r="E374" s="9" t="s">
        <v>78</v>
      </c>
      <c r="F374" s="68">
        <f t="shared" si="22"/>
        <v>42005</v>
      </c>
      <c r="G374" s="3">
        <v>1000000</v>
      </c>
      <c r="H374" s="3">
        <v>2000000</v>
      </c>
      <c r="I374" s="3">
        <v>2000000</v>
      </c>
      <c r="J374" s="3">
        <v>2000000</v>
      </c>
      <c r="K374" s="3">
        <v>2000000</v>
      </c>
      <c r="L374" s="3">
        <v>2000000</v>
      </c>
    </row>
    <row r="375" spans="1:17" x14ac:dyDescent="0.25">
      <c r="A375" s="28" t="s">
        <v>109</v>
      </c>
      <c r="B375" s="8" t="s">
        <v>79</v>
      </c>
      <c r="C375" s="8" t="s">
        <v>77</v>
      </c>
      <c r="D375" s="9" t="s">
        <v>82</v>
      </c>
      <c r="E375" s="9" t="s">
        <v>78</v>
      </c>
      <c r="F375" s="68">
        <f t="shared" si="22"/>
        <v>42370</v>
      </c>
      <c r="G375" s="3">
        <v>1000000</v>
      </c>
      <c r="H375" s="3">
        <v>2000000</v>
      </c>
      <c r="I375" s="3">
        <v>2000000</v>
      </c>
      <c r="J375" s="3">
        <v>2000000</v>
      </c>
      <c r="K375" s="3">
        <v>2000000</v>
      </c>
    </row>
    <row r="376" spans="1:17" x14ac:dyDescent="0.25">
      <c r="A376" s="28" t="s">
        <v>109</v>
      </c>
      <c r="B376" s="8" t="s">
        <v>79</v>
      </c>
      <c r="C376" s="8" t="s">
        <v>77</v>
      </c>
      <c r="D376" s="9" t="s">
        <v>82</v>
      </c>
      <c r="E376" s="9" t="s">
        <v>78</v>
      </c>
      <c r="F376" s="68">
        <f t="shared" si="22"/>
        <v>42736</v>
      </c>
      <c r="G376" s="3">
        <v>1000000</v>
      </c>
      <c r="H376" s="3">
        <v>2000000</v>
      </c>
      <c r="I376" s="3">
        <v>2000000</v>
      </c>
      <c r="J376" s="3">
        <v>2000000</v>
      </c>
    </row>
    <row r="377" spans="1:17" x14ac:dyDescent="0.25">
      <c r="A377" s="28" t="s">
        <v>109</v>
      </c>
      <c r="B377" s="8" t="s">
        <v>79</v>
      </c>
      <c r="C377" s="8" t="s">
        <v>77</v>
      </c>
      <c r="D377" s="9" t="s">
        <v>82</v>
      </c>
      <c r="E377" s="9" t="s">
        <v>78</v>
      </c>
      <c r="F377" s="68">
        <f t="shared" si="22"/>
        <v>43101</v>
      </c>
      <c r="G377" s="3">
        <v>1000000</v>
      </c>
      <c r="H377" s="3">
        <v>2000000</v>
      </c>
      <c r="I377" s="3">
        <v>2000000</v>
      </c>
      <c r="J377" s="3"/>
    </row>
    <row r="378" spans="1:17" x14ac:dyDescent="0.25">
      <c r="A378" s="28" t="s">
        <v>109</v>
      </c>
      <c r="B378" s="8" t="s">
        <v>79</v>
      </c>
      <c r="C378" s="8" t="s">
        <v>77</v>
      </c>
      <c r="D378" s="9" t="s">
        <v>82</v>
      </c>
      <c r="E378" s="9" t="s">
        <v>78</v>
      </c>
      <c r="F378" s="68">
        <f t="shared" si="22"/>
        <v>43466</v>
      </c>
      <c r="G378" s="3">
        <v>1000000</v>
      </c>
      <c r="H378" s="3">
        <v>2000000</v>
      </c>
      <c r="I378" s="3"/>
      <c r="J378" s="3"/>
    </row>
    <row r="379" spans="1:17" x14ac:dyDescent="0.25">
      <c r="A379" s="28" t="s">
        <v>109</v>
      </c>
      <c r="B379" s="8" t="s">
        <v>79</v>
      </c>
      <c r="C379" s="8" t="s">
        <v>77</v>
      </c>
      <c r="D379" s="9" t="s">
        <v>82</v>
      </c>
      <c r="E379" s="9" t="s">
        <v>78</v>
      </c>
      <c r="F379" s="68">
        <f t="shared" si="22"/>
        <v>43831</v>
      </c>
      <c r="G379" s="3">
        <v>1000000</v>
      </c>
      <c r="H379" s="3"/>
      <c r="I379" s="3"/>
      <c r="J379" s="3"/>
    </row>
  </sheetData>
  <mergeCells count="1">
    <mergeCell ref="G1:J1"/>
  </mergeCells>
  <dataValidations count="4">
    <dataValidation type="list" allowBlank="1" showInputMessage="1" showErrorMessage="1" sqref="D3:D379" xr:uid="{00000000-0002-0000-0700-000000000000}">
      <formula1>"Accident Year, UW Year, Treaty Year"</formula1>
    </dataValidation>
    <dataValidation type="list" allowBlank="1" showInputMessage="1" showErrorMessage="1" sqref="C3:C379" xr:uid="{00000000-0002-0000-0700-000001000000}">
      <formula1>"All, Attritional, Large, Non-Cat, Cat"</formula1>
    </dataValidation>
    <dataValidation type="list" allowBlank="1" showInputMessage="1" showErrorMessage="1" sqref="A3:A379" xr:uid="{00000000-0002-0000-0700-000002000000}">
      <formula1>Development_classes</formula1>
    </dataValidation>
    <dataValidation type="list" allowBlank="1" showInputMessage="1" showErrorMessage="1" sqref="B3:B1048576" xr:uid="{00000000-0002-0000-0700-000003000000}">
      <formula1>"Incurred,Paid,Outstanding, Net Written Premium"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showGridLines="0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ColWidth="0" defaultRowHeight="15" customHeight="1" zeroHeight="1" x14ac:dyDescent="0.25"/>
  <cols>
    <col min="1" max="1" width="20.42578125" bestFit="1" customWidth="1"/>
    <col min="2" max="2" width="10.85546875" style="36" customWidth="1"/>
    <col min="3" max="5" width="16.28515625" style="36" customWidth="1"/>
    <col min="6" max="6" width="11.140625" style="36" customWidth="1"/>
    <col min="7" max="8" width="15.85546875" style="37" customWidth="1"/>
    <col min="9" max="9" width="13.85546875" style="34" customWidth="1"/>
    <col min="10" max="10" width="13.85546875" style="37" customWidth="1"/>
    <col min="11" max="11" width="13.85546875" style="3" hidden="1" customWidth="1"/>
    <col min="12" max="12" width="9.140625" style="19" hidden="1" customWidth="1"/>
    <col min="14" max="14" width="14" hidden="1" customWidth="1"/>
    <col min="15" max="15" width="12" hidden="1" customWidth="1"/>
    <col min="17" max="17" width="9.140625" customWidth="1"/>
    <col min="18" max="18" width="70" customWidth="1"/>
    <col min="19" max="19" width="3.42578125" customWidth="1"/>
    <col min="20" max="20" width="15" bestFit="1" customWidth="1"/>
    <col min="21" max="22" width="9.140625" customWidth="1"/>
    <col min="23" max="23" width="9.140625" hidden="1" customWidth="1"/>
    <col min="24" max="16384" width="9.140625" hidden="1"/>
  </cols>
  <sheetData>
    <row r="1" spans="1:19" ht="58.5" customHeight="1" x14ac:dyDescent="0.25">
      <c r="A1" s="57" t="s">
        <v>81</v>
      </c>
      <c r="B1" s="58" t="s">
        <v>82</v>
      </c>
      <c r="C1" s="58" t="s">
        <v>83</v>
      </c>
      <c r="D1" s="58" t="s">
        <v>84</v>
      </c>
      <c r="E1" s="58" t="s">
        <v>85</v>
      </c>
      <c r="F1" s="58" t="s">
        <v>86</v>
      </c>
      <c r="G1" s="58" t="s">
        <v>87</v>
      </c>
      <c r="H1" s="58" t="s">
        <v>88</v>
      </c>
      <c r="I1" s="59" t="s">
        <v>89</v>
      </c>
      <c r="J1" s="58" t="s">
        <v>90</v>
      </c>
      <c r="K1" s="20" t="s">
        <v>91</v>
      </c>
      <c r="L1" s="18" t="s">
        <v>92</v>
      </c>
      <c r="M1" s="38" t="s">
        <v>93</v>
      </c>
      <c r="N1" s="39">
        <f>YEAR(triangle_start_date)</f>
        <v>2001</v>
      </c>
      <c r="O1" s="38" t="s">
        <v>94</v>
      </c>
      <c r="P1" s="39">
        <f>YEAR(current_date)-1</f>
        <v>2025</v>
      </c>
      <c r="R1" t="s">
        <v>2</v>
      </c>
    </row>
    <row r="2" spans="1:19" x14ac:dyDescent="0.25">
      <c r="A2" s="62" t="str">
        <f>'Example - Parameters'!C219</f>
        <v>Professional Lines</v>
      </c>
      <c r="B2" s="63">
        <f>YEAR(triangle_start_date)</f>
        <v>2001</v>
      </c>
      <c r="C2" s="66" t="s">
        <v>110</v>
      </c>
      <c r="D2" s="66" t="s">
        <v>110</v>
      </c>
      <c r="E2" s="66" t="str">
        <f>IF(D2="", "", IFERROR(D2*(1-F2),""))</f>
        <v/>
      </c>
      <c r="F2" s="60"/>
      <c r="G2" s="60"/>
      <c r="H2" s="60"/>
      <c r="I2" s="60"/>
      <c r="J2" s="61"/>
      <c r="K2" s="3" t="str">
        <f t="shared" ref="K2:K65" si="0">IF(OR(B2&lt;$N$1,B2&gt;$P$1),"fail","pass")</f>
        <v>pass</v>
      </c>
      <c r="L2" s="19" t="str">
        <f>IFERROR(IF(AND(MATCH(A2,Projection_classes,0),YEAR(current_date)='Example - Projections'!B2),"pass","fail"),"")</f>
        <v/>
      </c>
      <c r="R2" t="str">
        <f>IF(S2&gt;0, "RATE CHANGE COLUMN CONTAINS ERROR VALUES. PLEASE SET THEM TO 0s", "Rate Change column no error values.")</f>
        <v>Rate Change column no error values.</v>
      </c>
      <c r="S2">
        <f t="array" ref="S2">SUMPRODUCT(--ISERROR(I2:I1000))</f>
        <v>0</v>
      </c>
    </row>
    <row r="3" spans="1:19" x14ac:dyDescent="0.25">
      <c r="A3" s="64" t="str">
        <f t="shared" ref="A3:A21" si="1">A2</f>
        <v>Professional Lines</v>
      </c>
      <c r="B3" s="63">
        <f t="shared" ref="B3:B21" si="2">B2+1</f>
        <v>2002</v>
      </c>
      <c r="C3" s="67" t="s">
        <v>110</v>
      </c>
      <c r="D3" s="67" t="s">
        <v>110</v>
      </c>
      <c r="E3" s="67" t="str">
        <f>IF(D3="", "", IFERROR(D3*(1-F3),""))</f>
        <v/>
      </c>
      <c r="F3" s="61"/>
      <c r="G3" s="61"/>
      <c r="H3" s="61"/>
      <c r="I3" s="61"/>
      <c r="J3" s="61"/>
      <c r="K3" s="3" t="str">
        <f t="shared" si="0"/>
        <v>pass</v>
      </c>
      <c r="L3" s="19" t="str">
        <f>IFERROR(IF(AND(MATCH(A3,Projection_classes,0),YEAR(current_date)='Example - Projections'!B3),"pass","fail"),"")</f>
        <v/>
      </c>
      <c r="R3" t="str">
        <f>IF(S3&gt;0, "INFLATION COLUMN CONTAINS ERROR VALUES. PLEASE SET THEM TO 0s", "Inflation column no error values.")</f>
        <v>Inflation column no error values.</v>
      </c>
      <c r="S3">
        <f t="array" ref="S3">SUMPRODUCT(--ISERROR(J2:J1000))</f>
        <v>0</v>
      </c>
    </row>
    <row r="4" spans="1:19" x14ac:dyDescent="0.25">
      <c r="A4" s="64" t="str">
        <f t="shared" si="1"/>
        <v>Professional Lines</v>
      </c>
      <c r="B4" s="63">
        <f t="shared" si="2"/>
        <v>2003</v>
      </c>
      <c r="C4" s="67" t="s">
        <v>110</v>
      </c>
      <c r="D4" s="67" t="s">
        <v>110</v>
      </c>
      <c r="E4" s="67" t="str">
        <f>IF(D4="", "", IFERROR(D4*(1-F4),""))</f>
        <v/>
      </c>
      <c r="F4" s="61"/>
      <c r="G4" s="61"/>
      <c r="H4" s="61"/>
      <c r="I4" s="61"/>
      <c r="J4" s="61"/>
      <c r="K4" s="3" t="str">
        <f t="shared" si="0"/>
        <v>pass</v>
      </c>
      <c r="L4" s="19" t="str">
        <f>IFERROR(IF(AND(MATCH(A4,Projection_classes,0),YEAR(current_date)='Example - Projections'!B4),"pass","fail"),"")</f>
        <v/>
      </c>
    </row>
    <row r="5" spans="1:19" x14ac:dyDescent="0.25">
      <c r="A5" s="64" t="str">
        <f t="shared" si="1"/>
        <v>Professional Lines</v>
      </c>
      <c r="B5" s="63">
        <f t="shared" si="2"/>
        <v>2004</v>
      </c>
      <c r="C5" s="67" t="s">
        <v>110</v>
      </c>
      <c r="D5" s="67" t="s">
        <v>110</v>
      </c>
      <c r="E5" s="67" t="str">
        <f>IF(D5="", "", IFERROR(D5*(1-F5),""))</f>
        <v/>
      </c>
      <c r="F5" s="61"/>
      <c r="G5" s="61"/>
      <c r="H5" s="61"/>
      <c r="I5" s="61"/>
      <c r="J5" s="61"/>
      <c r="K5" s="3" t="str">
        <f t="shared" si="0"/>
        <v>pass</v>
      </c>
      <c r="L5" s="19" t="str">
        <f>IFERROR(IF(AND(MATCH(A5,Projection_classes,0),YEAR(current_date)='Example - Projections'!B5),"pass","fail"),"")</f>
        <v/>
      </c>
    </row>
    <row r="6" spans="1:19" x14ac:dyDescent="0.25">
      <c r="A6" s="64" t="str">
        <f t="shared" si="1"/>
        <v>Professional Lines</v>
      </c>
      <c r="B6" s="63">
        <f t="shared" si="2"/>
        <v>2005</v>
      </c>
      <c r="C6" s="67" t="s">
        <v>110</v>
      </c>
      <c r="D6" s="67" t="s">
        <v>110</v>
      </c>
      <c r="E6" s="67" t="str">
        <f>IF(D6="", "", IFERROR(D6*(1-F6),""))</f>
        <v/>
      </c>
      <c r="F6" s="61"/>
      <c r="G6" s="61"/>
      <c r="H6" s="61"/>
      <c r="I6" s="61"/>
      <c r="J6" s="61"/>
      <c r="K6" s="3" t="str">
        <f t="shared" si="0"/>
        <v>pass</v>
      </c>
      <c r="L6" s="19" t="str">
        <f>IFERROR(IF(AND(MATCH(A6,Projection_classes,0),YEAR(current_date)='Example - Projections'!B6),"pass","fail"),"")</f>
        <v/>
      </c>
      <c r="R6" s="46" t="s">
        <v>5</v>
      </c>
    </row>
    <row r="7" spans="1:19" x14ac:dyDescent="0.25">
      <c r="A7" s="64" t="str">
        <f t="shared" si="1"/>
        <v>Professional Lines</v>
      </c>
      <c r="B7" s="63">
        <f t="shared" si="2"/>
        <v>2006</v>
      </c>
      <c r="C7" s="65"/>
      <c r="D7" s="65"/>
      <c r="E7" s="70" t="s">
        <v>111</v>
      </c>
      <c r="F7" s="61"/>
      <c r="G7" s="61"/>
      <c r="H7" s="61"/>
      <c r="I7" s="61"/>
      <c r="J7" s="61"/>
      <c r="K7" s="3" t="str">
        <f t="shared" si="0"/>
        <v>pass</v>
      </c>
      <c r="L7" s="19" t="str">
        <f>IFERROR(IF(AND(MATCH(A7,Projection_classes,0),YEAR(current_date)='Example - Projections'!B7),"pass","fail"),"")</f>
        <v/>
      </c>
      <c r="R7" s="47" t="s">
        <v>8</v>
      </c>
    </row>
    <row r="8" spans="1:19" x14ac:dyDescent="0.25">
      <c r="A8" s="64" t="str">
        <f t="shared" si="1"/>
        <v>Professional Lines</v>
      </c>
      <c r="B8" s="63">
        <f t="shared" si="2"/>
        <v>2007</v>
      </c>
      <c r="C8" s="65"/>
      <c r="D8" s="65"/>
      <c r="E8" s="70" t="s">
        <v>111</v>
      </c>
      <c r="F8" s="61"/>
      <c r="G8" s="61"/>
      <c r="H8" s="61"/>
      <c r="I8" s="61"/>
      <c r="J8" s="61"/>
      <c r="K8" s="3" t="str">
        <f t="shared" si="0"/>
        <v>pass</v>
      </c>
      <c r="L8" s="19" t="str">
        <f>IFERROR(IF(AND(MATCH(A8,Projection_classes,0),YEAR(current_date)='Example - Projections'!B8),"pass","fail"),"")</f>
        <v/>
      </c>
    </row>
    <row r="9" spans="1:19" x14ac:dyDescent="0.25">
      <c r="A9" s="64" t="str">
        <f t="shared" si="1"/>
        <v>Professional Lines</v>
      </c>
      <c r="B9" s="63">
        <f t="shared" si="2"/>
        <v>2008</v>
      </c>
      <c r="C9" s="65"/>
      <c r="D9" s="65"/>
      <c r="E9" s="70" t="s">
        <v>111</v>
      </c>
      <c r="F9" s="61"/>
      <c r="G9" s="61"/>
      <c r="H9" s="61"/>
      <c r="I9" s="61"/>
      <c r="J9" s="61"/>
      <c r="K9" s="3" t="str">
        <f t="shared" si="0"/>
        <v>pass</v>
      </c>
      <c r="L9" s="19" t="str">
        <f>IFERROR(IF(AND(MATCH(A9,Projection_classes,0),YEAR(current_date)='Example - Projections'!B9),"pass","fail"),"")</f>
        <v/>
      </c>
    </row>
    <row r="10" spans="1:19" x14ac:dyDescent="0.25">
      <c r="A10" s="64" t="str">
        <f t="shared" si="1"/>
        <v>Professional Lines</v>
      </c>
      <c r="B10" s="63">
        <f t="shared" si="2"/>
        <v>2009</v>
      </c>
      <c r="C10" s="65"/>
      <c r="D10" s="65"/>
      <c r="E10" s="70" t="s">
        <v>111</v>
      </c>
      <c r="F10" s="61"/>
      <c r="G10" s="61"/>
      <c r="H10" s="61"/>
      <c r="I10" s="61"/>
      <c r="J10" s="61"/>
      <c r="K10" s="3" t="str">
        <f t="shared" si="0"/>
        <v>pass</v>
      </c>
      <c r="L10" s="19" t="str">
        <f>IFERROR(IF(AND(MATCH(A10,Projection_classes,0),YEAR(current_date)='Example - Projections'!B10),"pass","fail"),"")</f>
        <v/>
      </c>
    </row>
    <row r="11" spans="1:19" x14ac:dyDescent="0.25">
      <c r="A11" s="64" t="str">
        <f t="shared" si="1"/>
        <v>Professional Lines</v>
      </c>
      <c r="B11" s="63">
        <f t="shared" si="2"/>
        <v>2010</v>
      </c>
      <c r="C11" s="65"/>
      <c r="D11" s="65"/>
      <c r="E11" s="70" t="s">
        <v>111</v>
      </c>
      <c r="F11" s="61"/>
      <c r="G11" s="61"/>
      <c r="H11" s="61"/>
      <c r="I11" s="61"/>
      <c r="J11" s="61"/>
      <c r="K11" s="3" t="str">
        <f t="shared" si="0"/>
        <v>pass</v>
      </c>
      <c r="L11" s="19" t="str">
        <f>IFERROR(IF(AND(MATCH(A11,Projection_classes,0),YEAR(current_date)='Example - Projections'!B11),"pass","fail"),"")</f>
        <v/>
      </c>
    </row>
    <row r="12" spans="1:19" x14ac:dyDescent="0.25">
      <c r="A12" s="64" t="str">
        <f t="shared" si="1"/>
        <v>Professional Lines</v>
      </c>
      <c r="B12" s="63">
        <f t="shared" si="2"/>
        <v>2011</v>
      </c>
      <c r="C12" s="65"/>
      <c r="D12" s="65"/>
      <c r="E12" s="65"/>
      <c r="F12" s="61"/>
      <c r="G12" s="61"/>
      <c r="H12" s="61"/>
      <c r="I12" s="61"/>
      <c r="J12" s="61"/>
      <c r="K12" s="3" t="str">
        <f t="shared" si="0"/>
        <v>pass</v>
      </c>
      <c r="L12" s="19" t="str">
        <f>IFERROR(IF(AND(MATCH(A12,Projection_classes,0),YEAR(current_date)='Example - Projections'!B12),"pass","fail"),"")</f>
        <v/>
      </c>
    </row>
    <row r="13" spans="1:19" x14ac:dyDescent="0.25">
      <c r="A13" s="64" t="str">
        <f t="shared" si="1"/>
        <v>Professional Lines</v>
      </c>
      <c r="B13" s="63">
        <f t="shared" si="2"/>
        <v>2012</v>
      </c>
      <c r="C13" s="65"/>
      <c r="D13" s="65"/>
      <c r="E13" s="65"/>
      <c r="F13" s="61"/>
      <c r="G13" s="61"/>
      <c r="H13" s="61"/>
      <c r="I13" s="61"/>
      <c r="J13" s="61"/>
      <c r="K13" s="3" t="str">
        <f t="shared" si="0"/>
        <v>pass</v>
      </c>
      <c r="L13" s="19" t="str">
        <f>IFERROR(IF(AND(MATCH(A13,Projection_classes,0),YEAR(current_date)='Example - Projections'!B13),"pass","fail"),"")</f>
        <v/>
      </c>
    </row>
    <row r="14" spans="1:19" x14ac:dyDescent="0.25">
      <c r="A14" s="64" t="str">
        <f t="shared" si="1"/>
        <v>Professional Lines</v>
      </c>
      <c r="B14" s="63">
        <f t="shared" si="2"/>
        <v>2013</v>
      </c>
      <c r="C14" s="65"/>
      <c r="D14" s="65"/>
      <c r="E14" s="65"/>
      <c r="F14" s="61"/>
      <c r="G14" s="61"/>
      <c r="H14" s="61"/>
      <c r="I14" s="61"/>
      <c r="J14" s="61"/>
      <c r="K14" s="3" t="str">
        <f t="shared" si="0"/>
        <v>pass</v>
      </c>
      <c r="L14" s="19" t="str">
        <f>IFERROR(IF(AND(MATCH(A14,Projection_classes,0),YEAR(current_date)='Example - Projections'!B14),"pass","fail"),"")</f>
        <v/>
      </c>
    </row>
    <row r="15" spans="1:19" x14ac:dyDescent="0.25">
      <c r="A15" s="64" t="str">
        <f t="shared" si="1"/>
        <v>Professional Lines</v>
      </c>
      <c r="B15" s="63">
        <f t="shared" si="2"/>
        <v>2014</v>
      </c>
      <c r="C15" s="65"/>
      <c r="D15" s="65"/>
      <c r="E15" s="65"/>
      <c r="F15" s="61"/>
      <c r="G15" s="61"/>
      <c r="H15" s="61"/>
      <c r="I15" s="61"/>
      <c r="J15" s="61"/>
      <c r="K15" s="3" t="str">
        <f t="shared" si="0"/>
        <v>pass</v>
      </c>
      <c r="L15" s="19" t="str">
        <f>IFERROR(IF(AND(MATCH(A15,Projection_classes,0),YEAR(current_date)='Example - Projections'!B15),"pass","fail"),"")</f>
        <v/>
      </c>
    </row>
    <row r="16" spans="1:19" x14ac:dyDescent="0.25">
      <c r="A16" s="64" t="str">
        <f t="shared" si="1"/>
        <v>Professional Lines</v>
      </c>
      <c r="B16" s="63">
        <f t="shared" si="2"/>
        <v>2015</v>
      </c>
      <c r="C16" s="65"/>
      <c r="D16" s="65"/>
      <c r="E16" s="65"/>
      <c r="F16" s="61"/>
      <c r="G16" s="61"/>
      <c r="H16" s="61"/>
      <c r="I16" s="61"/>
      <c r="J16" s="61"/>
      <c r="K16" s="3" t="str">
        <f t="shared" si="0"/>
        <v>pass</v>
      </c>
      <c r="L16" s="19" t="str">
        <f>IFERROR(IF(AND(MATCH(A16,Projection_classes,0),YEAR(current_date)='Example - Projections'!B16),"pass","fail"),"")</f>
        <v/>
      </c>
    </row>
    <row r="17" spans="1:12" x14ac:dyDescent="0.25">
      <c r="A17" s="64" t="str">
        <f t="shared" si="1"/>
        <v>Professional Lines</v>
      </c>
      <c r="B17" s="63">
        <f t="shared" si="2"/>
        <v>2016</v>
      </c>
      <c r="C17" s="65"/>
      <c r="D17" s="65"/>
      <c r="E17" s="65"/>
      <c r="F17" s="61"/>
      <c r="G17" s="61"/>
      <c r="H17" s="61"/>
      <c r="I17" s="61"/>
      <c r="J17" s="61"/>
      <c r="K17" s="3" t="str">
        <f t="shared" si="0"/>
        <v>pass</v>
      </c>
      <c r="L17" s="19" t="str">
        <f>IFERROR(IF(AND(MATCH(A17,Projection_classes,0),YEAR(current_date)='Example - Projections'!B17),"pass","fail"),"")</f>
        <v/>
      </c>
    </row>
    <row r="18" spans="1:12" x14ac:dyDescent="0.25">
      <c r="A18" s="64" t="str">
        <f t="shared" si="1"/>
        <v>Professional Lines</v>
      </c>
      <c r="B18" s="63">
        <f t="shared" si="2"/>
        <v>2017</v>
      </c>
      <c r="C18" s="65"/>
      <c r="D18" s="65"/>
      <c r="E18" s="65"/>
      <c r="F18" s="61"/>
      <c r="G18" s="61"/>
      <c r="H18" s="61"/>
      <c r="I18" s="61"/>
      <c r="J18" s="61"/>
      <c r="K18" s="3" t="str">
        <f t="shared" si="0"/>
        <v>pass</v>
      </c>
      <c r="L18" s="19" t="str">
        <f>IFERROR(IF(AND(MATCH(A18,Projection_classes,0),YEAR(current_date)='Example - Projections'!B18),"pass","fail"),"")</f>
        <v/>
      </c>
    </row>
    <row r="19" spans="1:12" x14ac:dyDescent="0.25">
      <c r="A19" s="64" t="str">
        <f t="shared" si="1"/>
        <v>Professional Lines</v>
      </c>
      <c r="B19" s="63">
        <f t="shared" si="2"/>
        <v>2018</v>
      </c>
      <c r="C19" s="65"/>
      <c r="D19" s="65"/>
      <c r="E19" s="65"/>
      <c r="F19" s="61"/>
      <c r="G19" s="61"/>
      <c r="H19" s="61"/>
      <c r="I19" s="61"/>
      <c r="J19" s="61"/>
      <c r="K19" s="3" t="str">
        <f t="shared" si="0"/>
        <v>pass</v>
      </c>
      <c r="L19" s="19" t="str">
        <f>IFERROR(IF(AND(MATCH(A19,Projection_classes,0),YEAR(current_date)='Example - Projections'!B19),"pass","fail"),"")</f>
        <v/>
      </c>
    </row>
    <row r="20" spans="1:12" x14ac:dyDescent="0.25">
      <c r="A20" s="64" t="str">
        <f t="shared" si="1"/>
        <v>Professional Lines</v>
      </c>
      <c r="B20" s="63">
        <f t="shared" si="2"/>
        <v>2019</v>
      </c>
      <c r="C20" s="65"/>
      <c r="D20" s="65"/>
      <c r="E20" s="65"/>
      <c r="F20" s="61"/>
      <c r="G20" s="61"/>
      <c r="H20" s="61"/>
      <c r="I20" s="61"/>
      <c r="J20" s="61"/>
      <c r="K20" s="3" t="str">
        <f t="shared" si="0"/>
        <v>pass</v>
      </c>
      <c r="L20" s="19" t="str">
        <f>IFERROR(IF(AND(MATCH(A20,Projection_classes,0),YEAR(current_date)='Example - Projections'!B20),"pass","fail"),"")</f>
        <v/>
      </c>
    </row>
    <row r="21" spans="1:12" x14ac:dyDescent="0.25">
      <c r="A21" s="64" t="str">
        <f t="shared" si="1"/>
        <v>Professional Lines</v>
      </c>
      <c r="B21" s="63">
        <f t="shared" si="2"/>
        <v>2020</v>
      </c>
      <c r="C21" s="65"/>
      <c r="D21" s="65"/>
      <c r="E21" s="65"/>
      <c r="F21" s="61"/>
      <c r="G21" s="61"/>
      <c r="H21" s="61"/>
      <c r="I21" s="61"/>
      <c r="J21" s="61"/>
      <c r="K21" s="3" t="str">
        <f t="shared" si="0"/>
        <v>pass</v>
      </c>
      <c r="L21" s="19" t="str">
        <f>IFERROR(IF(AND(MATCH(A21,Projection_classes,0),YEAR(current_date)='Example - Projections'!B21),"pass","fail"),"")</f>
        <v/>
      </c>
    </row>
    <row r="22" spans="1:12" x14ac:dyDescent="0.25">
      <c r="A22" s="64" t="str">
        <f>'Example - Parameters'!C220</f>
        <v>Liability</v>
      </c>
      <c r="B22" s="63">
        <f>YEAR(triangle_start_date)</f>
        <v>2001</v>
      </c>
      <c r="C22" s="65"/>
      <c r="D22" s="65"/>
      <c r="E22" s="65"/>
      <c r="F22" s="61"/>
      <c r="G22" s="61"/>
      <c r="H22" s="61"/>
      <c r="I22" s="61"/>
      <c r="J22" s="61"/>
      <c r="K22" s="3" t="str">
        <f t="shared" si="0"/>
        <v>pass</v>
      </c>
      <c r="L22" s="19" t="str">
        <f>IFERROR(IF(AND(MATCH(A22,Projection_classes,0),YEAR(current_date)='Example - Projections'!B22),"pass","fail"),"")</f>
        <v/>
      </c>
    </row>
    <row r="23" spans="1:12" x14ac:dyDescent="0.25">
      <c r="A23" s="64" t="str">
        <f t="shared" ref="A23:A41" si="3">A22</f>
        <v>Liability</v>
      </c>
      <c r="B23" s="63">
        <f t="shared" ref="B23:B41" si="4">B22+1</f>
        <v>2002</v>
      </c>
      <c r="C23" s="65"/>
      <c r="D23" s="65"/>
      <c r="E23" s="65"/>
      <c r="F23" s="61"/>
      <c r="G23" s="61"/>
      <c r="H23" s="61"/>
      <c r="I23" s="61"/>
      <c r="J23" s="61"/>
      <c r="K23" s="3" t="str">
        <f t="shared" si="0"/>
        <v>pass</v>
      </c>
      <c r="L23" s="19" t="str">
        <f>IFERROR(IF(AND(MATCH(A23,Projection_classes,0),YEAR(current_date)='Example - Projections'!B23),"pass","fail"),"")</f>
        <v/>
      </c>
    </row>
    <row r="24" spans="1:12" x14ac:dyDescent="0.25">
      <c r="A24" s="64" t="str">
        <f t="shared" si="3"/>
        <v>Liability</v>
      </c>
      <c r="B24" s="63">
        <f t="shared" si="4"/>
        <v>2003</v>
      </c>
      <c r="C24" s="65"/>
      <c r="D24" s="65"/>
      <c r="E24" s="65"/>
      <c r="F24" s="61"/>
      <c r="G24" s="61"/>
      <c r="H24" s="61"/>
      <c r="I24" s="61"/>
      <c r="J24" s="61"/>
      <c r="K24" s="3" t="str">
        <f t="shared" si="0"/>
        <v>pass</v>
      </c>
      <c r="L24" s="19" t="str">
        <f>IFERROR(IF(AND(MATCH(A24,Projection_classes,0),YEAR(current_date)='Example - Projections'!B24),"pass","fail"),"")</f>
        <v/>
      </c>
    </row>
    <row r="25" spans="1:12" x14ac:dyDescent="0.25">
      <c r="A25" s="64" t="str">
        <f t="shared" si="3"/>
        <v>Liability</v>
      </c>
      <c r="B25" s="63">
        <f t="shared" si="4"/>
        <v>2004</v>
      </c>
      <c r="C25" s="65"/>
      <c r="D25" s="65"/>
      <c r="E25" s="65"/>
      <c r="F25" s="61"/>
      <c r="G25" s="61"/>
      <c r="H25" s="61"/>
      <c r="I25" s="61"/>
      <c r="J25" s="61"/>
      <c r="K25" s="3" t="str">
        <f t="shared" si="0"/>
        <v>pass</v>
      </c>
      <c r="L25" s="19" t="str">
        <f>IFERROR(IF(AND(MATCH(A25,Projection_classes,0),YEAR(current_date)='Example - Projections'!B25),"pass","fail"),"")</f>
        <v/>
      </c>
    </row>
    <row r="26" spans="1:12" x14ac:dyDescent="0.25">
      <c r="A26" s="64" t="str">
        <f t="shared" si="3"/>
        <v>Liability</v>
      </c>
      <c r="B26" s="63">
        <f t="shared" si="4"/>
        <v>2005</v>
      </c>
      <c r="C26" s="65"/>
      <c r="D26" s="65"/>
      <c r="E26" s="65"/>
      <c r="F26" s="61"/>
      <c r="G26" s="61"/>
      <c r="H26" s="61"/>
      <c r="I26" s="61"/>
      <c r="J26" s="61"/>
      <c r="K26" s="3" t="str">
        <f t="shared" si="0"/>
        <v>pass</v>
      </c>
      <c r="L26" s="19" t="str">
        <f>IFERROR(IF(AND(MATCH(A26,Projection_classes,0),YEAR(current_date)='Example - Projections'!B26),"pass","fail"),"")</f>
        <v/>
      </c>
    </row>
    <row r="27" spans="1:12" x14ac:dyDescent="0.25">
      <c r="A27" s="64" t="str">
        <f t="shared" si="3"/>
        <v>Liability</v>
      </c>
      <c r="B27" s="63">
        <f t="shared" si="4"/>
        <v>2006</v>
      </c>
      <c r="C27" s="65"/>
      <c r="D27" s="65"/>
      <c r="E27" s="65"/>
      <c r="F27" s="61"/>
      <c r="G27" s="61"/>
      <c r="H27" s="61"/>
      <c r="I27" s="61"/>
      <c r="J27" s="61"/>
      <c r="K27" s="3" t="str">
        <f t="shared" si="0"/>
        <v>pass</v>
      </c>
      <c r="L27" s="19" t="str">
        <f>IFERROR(IF(AND(MATCH(A27,Projection_classes,0),YEAR(current_date)='Example - Projections'!B27),"pass","fail"),"")</f>
        <v/>
      </c>
    </row>
    <row r="28" spans="1:12" x14ac:dyDescent="0.25">
      <c r="A28" s="64" t="str">
        <f t="shared" si="3"/>
        <v>Liability</v>
      </c>
      <c r="B28" s="63">
        <f t="shared" si="4"/>
        <v>2007</v>
      </c>
      <c r="C28" s="65"/>
      <c r="D28" s="65"/>
      <c r="E28" s="65"/>
      <c r="F28" s="61"/>
      <c r="G28" s="61"/>
      <c r="H28" s="61"/>
      <c r="I28" s="61"/>
      <c r="J28" s="61"/>
      <c r="K28" s="3" t="str">
        <f t="shared" si="0"/>
        <v>pass</v>
      </c>
      <c r="L28" s="19" t="str">
        <f>IFERROR(IF(AND(MATCH(A28,Projection_classes,0),YEAR(current_date)='Example - Projections'!B28),"pass","fail"),"")</f>
        <v/>
      </c>
    </row>
    <row r="29" spans="1:12" x14ac:dyDescent="0.25">
      <c r="A29" s="64" t="str">
        <f t="shared" si="3"/>
        <v>Liability</v>
      </c>
      <c r="B29" s="63">
        <f t="shared" si="4"/>
        <v>2008</v>
      </c>
      <c r="C29" s="65"/>
      <c r="D29" s="65"/>
      <c r="E29" s="65"/>
      <c r="F29" s="61"/>
      <c r="G29" s="61"/>
      <c r="H29" s="61"/>
      <c r="I29" s="61"/>
      <c r="J29" s="61"/>
      <c r="K29" s="3" t="str">
        <f t="shared" si="0"/>
        <v>pass</v>
      </c>
      <c r="L29" s="19" t="str">
        <f>IFERROR(IF(AND(MATCH(A29,Projection_classes,0),YEAR(current_date)='Example - Projections'!B29),"pass","fail"),"")</f>
        <v/>
      </c>
    </row>
    <row r="30" spans="1:12" x14ac:dyDescent="0.25">
      <c r="A30" s="64" t="str">
        <f t="shared" si="3"/>
        <v>Liability</v>
      </c>
      <c r="B30" s="63">
        <f t="shared" si="4"/>
        <v>2009</v>
      </c>
      <c r="C30" s="65"/>
      <c r="D30" s="65"/>
      <c r="E30" s="65"/>
      <c r="F30" s="61"/>
      <c r="G30" s="61"/>
      <c r="H30" s="61"/>
      <c r="I30" s="61"/>
      <c r="J30" s="61"/>
      <c r="K30" s="3" t="str">
        <f t="shared" si="0"/>
        <v>pass</v>
      </c>
      <c r="L30" s="19" t="str">
        <f>IFERROR(IF(AND(MATCH(A30,Projection_classes,0),YEAR(current_date)='Example - Projections'!B30),"pass","fail"),"")</f>
        <v/>
      </c>
    </row>
    <row r="31" spans="1:12" x14ac:dyDescent="0.25">
      <c r="A31" s="64" t="str">
        <f t="shared" si="3"/>
        <v>Liability</v>
      </c>
      <c r="B31" s="63">
        <f t="shared" si="4"/>
        <v>2010</v>
      </c>
      <c r="C31" s="65"/>
      <c r="D31" s="65"/>
      <c r="E31" s="65"/>
      <c r="F31" s="61"/>
      <c r="G31" s="61"/>
      <c r="H31" s="61"/>
      <c r="I31" s="61"/>
      <c r="J31" s="61"/>
      <c r="K31" s="3" t="str">
        <f t="shared" si="0"/>
        <v>pass</v>
      </c>
      <c r="L31" s="19" t="str">
        <f>IFERROR(IF(AND(MATCH(A31,Projection_classes,0),YEAR(current_date)='Example - Projections'!B31),"pass","fail"),"")</f>
        <v/>
      </c>
    </row>
    <row r="32" spans="1:12" x14ac:dyDescent="0.25">
      <c r="A32" s="64" t="str">
        <f t="shared" si="3"/>
        <v>Liability</v>
      </c>
      <c r="B32" s="63">
        <f t="shared" si="4"/>
        <v>2011</v>
      </c>
      <c r="C32" s="65"/>
      <c r="D32" s="65"/>
      <c r="E32" s="65"/>
      <c r="F32" s="61"/>
      <c r="G32" s="61"/>
      <c r="H32" s="61"/>
      <c r="I32" s="61"/>
      <c r="J32" s="61"/>
      <c r="K32" s="3" t="str">
        <f t="shared" si="0"/>
        <v>pass</v>
      </c>
      <c r="L32" s="19" t="str">
        <f>IFERROR(IF(AND(MATCH(A32,Projection_classes,0),YEAR(current_date)='Example - Projections'!B32),"pass","fail"),"")</f>
        <v/>
      </c>
    </row>
    <row r="33" spans="1:12" x14ac:dyDescent="0.25">
      <c r="A33" s="64" t="str">
        <f t="shared" si="3"/>
        <v>Liability</v>
      </c>
      <c r="B33" s="63">
        <f t="shared" si="4"/>
        <v>2012</v>
      </c>
      <c r="C33" s="65"/>
      <c r="D33" s="65"/>
      <c r="E33" s="65"/>
      <c r="F33" s="61"/>
      <c r="G33" s="61"/>
      <c r="H33" s="61"/>
      <c r="I33" s="61"/>
      <c r="J33" s="61"/>
      <c r="K33" s="3" t="str">
        <f t="shared" si="0"/>
        <v>pass</v>
      </c>
      <c r="L33" s="19" t="str">
        <f>IFERROR(IF(AND(MATCH(A33,Projection_classes,0),YEAR(current_date)='Example - Projections'!B33),"pass","fail"),"")</f>
        <v/>
      </c>
    </row>
    <row r="34" spans="1:12" x14ac:dyDescent="0.25">
      <c r="A34" s="64" t="str">
        <f t="shared" si="3"/>
        <v>Liability</v>
      </c>
      <c r="B34" s="63">
        <f t="shared" si="4"/>
        <v>2013</v>
      </c>
      <c r="C34" s="65"/>
      <c r="D34" s="65"/>
      <c r="E34" s="65"/>
      <c r="F34" s="61"/>
      <c r="G34" s="61"/>
      <c r="H34" s="61"/>
      <c r="I34" s="61"/>
      <c r="J34" s="61"/>
      <c r="K34" s="3" t="str">
        <f t="shared" si="0"/>
        <v>pass</v>
      </c>
      <c r="L34" s="19" t="str">
        <f>IFERROR(IF(AND(MATCH(A34,Projection_classes,0),YEAR(current_date)='Example - Projections'!B34),"pass","fail"),"")</f>
        <v/>
      </c>
    </row>
    <row r="35" spans="1:12" x14ac:dyDescent="0.25">
      <c r="A35" s="64" t="str">
        <f t="shared" si="3"/>
        <v>Liability</v>
      </c>
      <c r="B35" s="63">
        <f t="shared" si="4"/>
        <v>2014</v>
      </c>
      <c r="C35" s="65"/>
      <c r="D35" s="65"/>
      <c r="E35" s="65"/>
      <c r="F35" s="61"/>
      <c r="G35" s="61"/>
      <c r="H35" s="61"/>
      <c r="I35" s="61"/>
      <c r="J35" s="61"/>
      <c r="K35" s="3" t="str">
        <f t="shared" si="0"/>
        <v>pass</v>
      </c>
      <c r="L35" s="19" t="str">
        <f>IFERROR(IF(AND(MATCH(A35,Projection_classes,0),YEAR(current_date)='Example - Projections'!B35),"pass","fail"),"")</f>
        <v/>
      </c>
    </row>
    <row r="36" spans="1:12" x14ac:dyDescent="0.25">
      <c r="A36" s="64" t="str">
        <f t="shared" si="3"/>
        <v>Liability</v>
      </c>
      <c r="B36" s="63">
        <f t="shared" si="4"/>
        <v>2015</v>
      </c>
      <c r="C36" s="65"/>
      <c r="D36" s="65"/>
      <c r="E36" s="65"/>
      <c r="F36" s="61"/>
      <c r="G36" s="61"/>
      <c r="H36" s="61"/>
      <c r="I36" s="61"/>
      <c r="J36" s="61"/>
      <c r="K36" s="3" t="str">
        <f t="shared" si="0"/>
        <v>pass</v>
      </c>
      <c r="L36" s="19" t="str">
        <f>IFERROR(IF(AND(MATCH(A36,Projection_classes,0),YEAR(current_date)='Example - Projections'!B36),"pass","fail"),"")</f>
        <v/>
      </c>
    </row>
    <row r="37" spans="1:12" x14ac:dyDescent="0.25">
      <c r="A37" s="64" t="str">
        <f t="shared" si="3"/>
        <v>Liability</v>
      </c>
      <c r="B37" s="63">
        <f t="shared" si="4"/>
        <v>2016</v>
      </c>
      <c r="C37" s="65"/>
      <c r="D37" s="65"/>
      <c r="E37" s="65"/>
      <c r="F37" s="61"/>
      <c r="G37" s="61"/>
      <c r="H37" s="61"/>
      <c r="I37" s="61"/>
      <c r="J37" s="61"/>
      <c r="K37" s="3" t="str">
        <f t="shared" si="0"/>
        <v>pass</v>
      </c>
      <c r="L37" s="19" t="str">
        <f>IFERROR(IF(AND(MATCH(A37,Projection_classes,0),YEAR(current_date)='Example - Projections'!B37),"pass","fail"),"")</f>
        <v/>
      </c>
    </row>
    <row r="38" spans="1:12" x14ac:dyDescent="0.25">
      <c r="A38" s="64" t="str">
        <f t="shared" si="3"/>
        <v>Liability</v>
      </c>
      <c r="B38" s="63">
        <f t="shared" si="4"/>
        <v>2017</v>
      </c>
      <c r="C38" s="65"/>
      <c r="D38" s="65"/>
      <c r="E38" s="65"/>
      <c r="F38" s="61"/>
      <c r="G38" s="61"/>
      <c r="H38" s="61"/>
      <c r="I38" s="61"/>
      <c r="J38" s="61"/>
      <c r="K38" s="3" t="str">
        <f t="shared" si="0"/>
        <v>pass</v>
      </c>
      <c r="L38" s="19" t="str">
        <f>IFERROR(IF(AND(MATCH(A38,Projection_classes,0),YEAR(current_date)='Example - Projections'!B38),"pass","fail"),"")</f>
        <v/>
      </c>
    </row>
    <row r="39" spans="1:12" x14ac:dyDescent="0.25">
      <c r="A39" s="64" t="str">
        <f t="shared" si="3"/>
        <v>Liability</v>
      </c>
      <c r="B39" s="63">
        <f t="shared" si="4"/>
        <v>2018</v>
      </c>
      <c r="C39" s="65"/>
      <c r="D39" s="65"/>
      <c r="E39" s="65"/>
      <c r="F39" s="61"/>
      <c r="G39" s="61"/>
      <c r="H39" s="61"/>
      <c r="I39" s="61"/>
      <c r="J39" s="61"/>
      <c r="K39" s="3" t="str">
        <f t="shared" si="0"/>
        <v>pass</v>
      </c>
      <c r="L39" s="19" t="str">
        <f>IFERROR(IF(AND(MATCH(A39,Projection_classes,0),YEAR(current_date)='Example - Projections'!B39),"pass","fail"),"")</f>
        <v/>
      </c>
    </row>
    <row r="40" spans="1:12" x14ac:dyDescent="0.25">
      <c r="A40" s="64" t="str">
        <f t="shared" si="3"/>
        <v>Liability</v>
      </c>
      <c r="B40" s="63">
        <f t="shared" si="4"/>
        <v>2019</v>
      </c>
      <c r="C40" s="65"/>
      <c r="D40" s="65"/>
      <c r="E40" s="65"/>
      <c r="F40" s="61"/>
      <c r="G40" s="61"/>
      <c r="H40" s="61"/>
      <c r="I40" s="61"/>
      <c r="J40" s="61"/>
      <c r="K40" s="3" t="str">
        <f t="shared" si="0"/>
        <v>pass</v>
      </c>
      <c r="L40" s="19" t="str">
        <f>IFERROR(IF(AND(MATCH(A40,Projection_classes,0),YEAR(current_date)='Example - Projections'!B40),"pass","fail"),"")</f>
        <v/>
      </c>
    </row>
    <row r="41" spans="1:12" x14ac:dyDescent="0.25">
      <c r="A41" s="64" t="str">
        <f t="shared" si="3"/>
        <v>Liability</v>
      </c>
      <c r="B41" s="63">
        <f t="shared" si="4"/>
        <v>2020</v>
      </c>
      <c r="C41" s="65"/>
      <c r="D41" s="65"/>
      <c r="E41" s="65"/>
      <c r="F41" s="61"/>
      <c r="G41" s="61"/>
      <c r="H41" s="61"/>
      <c r="I41" s="61"/>
      <c r="J41" s="61"/>
      <c r="K41" s="3" t="str">
        <f t="shared" si="0"/>
        <v>pass</v>
      </c>
      <c r="L41" s="19" t="str">
        <f>IFERROR(IF(AND(MATCH(A41,Projection_classes,0),YEAR(current_date)='Example - Projections'!B41),"pass","fail"),"")</f>
        <v/>
      </c>
    </row>
    <row r="42" spans="1:12" x14ac:dyDescent="0.25">
      <c r="A42" s="64" t="str">
        <f>'Example - Parameters'!C221</f>
        <v>Credit &amp; Surety</v>
      </c>
      <c r="B42" s="63">
        <f>YEAR(triangle_start_date)</f>
        <v>2001</v>
      </c>
      <c r="C42" s="65"/>
      <c r="D42" s="65"/>
      <c r="E42" s="65"/>
      <c r="F42" s="61"/>
      <c r="G42" s="61"/>
      <c r="H42" s="61"/>
      <c r="I42" s="61"/>
      <c r="J42" s="61"/>
      <c r="K42" s="3" t="str">
        <f t="shared" si="0"/>
        <v>pass</v>
      </c>
      <c r="L42" s="19" t="str">
        <f>IFERROR(IF(AND(MATCH(A42,Projection_classes,0),YEAR(current_date)='Example - Projections'!B42),"pass","fail"),"")</f>
        <v/>
      </c>
    </row>
    <row r="43" spans="1:12" x14ac:dyDescent="0.25">
      <c r="A43" s="64" t="str">
        <f t="shared" ref="A43:A61" si="5">A42</f>
        <v>Credit &amp; Surety</v>
      </c>
      <c r="B43" s="63">
        <f t="shared" ref="B43:B61" si="6">B42+1</f>
        <v>2002</v>
      </c>
      <c r="C43" s="65"/>
      <c r="D43" s="65"/>
      <c r="E43" s="65"/>
      <c r="F43" s="61"/>
      <c r="G43" s="61"/>
      <c r="H43" s="61"/>
      <c r="I43" s="61"/>
      <c r="J43" s="61"/>
      <c r="K43" s="3" t="str">
        <f t="shared" si="0"/>
        <v>pass</v>
      </c>
      <c r="L43" s="19" t="str">
        <f>IFERROR(IF(AND(MATCH(A43,Projection_classes,0),YEAR(current_date)='Example - Projections'!B43),"pass","fail"),"")</f>
        <v/>
      </c>
    </row>
    <row r="44" spans="1:12" x14ac:dyDescent="0.25">
      <c r="A44" s="64" t="str">
        <f t="shared" si="5"/>
        <v>Credit &amp; Surety</v>
      </c>
      <c r="B44" s="63">
        <f t="shared" si="6"/>
        <v>2003</v>
      </c>
      <c r="C44" s="65"/>
      <c r="D44" s="65"/>
      <c r="E44" s="65"/>
      <c r="F44" s="61"/>
      <c r="G44" s="61"/>
      <c r="H44" s="61"/>
      <c r="I44" s="61"/>
      <c r="J44" s="61"/>
      <c r="K44" s="3" t="str">
        <f t="shared" si="0"/>
        <v>pass</v>
      </c>
      <c r="L44" s="19" t="str">
        <f>IFERROR(IF(AND(MATCH(A44,Projection_classes,0),YEAR(current_date)='Example - Projections'!B44),"pass","fail"),"")</f>
        <v/>
      </c>
    </row>
    <row r="45" spans="1:12" x14ac:dyDescent="0.25">
      <c r="A45" s="64" t="str">
        <f t="shared" si="5"/>
        <v>Credit &amp; Surety</v>
      </c>
      <c r="B45" s="63">
        <f t="shared" si="6"/>
        <v>2004</v>
      </c>
      <c r="C45" s="65"/>
      <c r="D45" s="65"/>
      <c r="E45" s="65"/>
      <c r="F45" s="61"/>
      <c r="G45" s="61"/>
      <c r="H45" s="61"/>
      <c r="I45" s="61"/>
      <c r="J45" s="61"/>
      <c r="K45" s="3" t="str">
        <f t="shared" si="0"/>
        <v>pass</v>
      </c>
      <c r="L45" s="19" t="str">
        <f>IFERROR(IF(AND(MATCH(A45,Projection_classes,0),YEAR(current_date)='Example - Projections'!B45),"pass","fail"),"")</f>
        <v/>
      </c>
    </row>
    <row r="46" spans="1:12" x14ac:dyDescent="0.25">
      <c r="A46" s="64" t="str">
        <f t="shared" si="5"/>
        <v>Credit &amp; Surety</v>
      </c>
      <c r="B46" s="63">
        <f t="shared" si="6"/>
        <v>2005</v>
      </c>
      <c r="C46" s="65"/>
      <c r="D46" s="65"/>
      <c r="E46" s="65"/>
      <c r="F46" s="61"/>
      <c r="G46" s="61"/>
      <c r="H46" s="61"/>
      <c r="I46" s="61"/>
      <c r="J46" s="61"/>
      <c r="K46" s="3" t="str">
        <f t="shared" si="0"/>
        <v>pass</v>
      </c>
      <c r="L46" s="19" t="str">
        <f>IFERROR(IF(AND(MATCH(A46,Projection_classes,0),YEAR(current_date)='Example - Projections'!B46),"pass","fail"),"")</f>
        <v/>
      </c>
    </row>
    <row r="47" spans="1:12" x14ac:dyDescent="0.25">
      <c r="A47" s="64" t="str">
        <f t="shared" si="5"/>
        <v>Credit &amp; Surety</v>
      </c>
      <c r="B47" s="63">
        <f t="shared" si="6"/>
        <v>2006</v>
      </c>
      <c r="C47" s="65"/>
      <c r="D47" s="65"/>
      <c r="E47" s="65"/>
      <c r="F47" s="61"/>
      <c r="G47" s="61"/>
      <c r="H47" s="61"/>
      <c r="I47" s="61"/>
      <c r="J47" s="61"/>
      <c r="K47" s="3" t="str">
        <f t="shared" si="0"/>
        <v>pass</v>
      </c>
      <c r="L47" s="19" t="str">
        <f>IFERROR(IF(AND(MATCH(A47,Projection_classes,0),YEAR(current_date)='Example - Projections'!B47),"pass","fail"),"")</f>
        <v/>
      </c>
    </row>
    <row r="48" spans="1:12" x14ac:dyDescent="0.25">
      <c r="A48" s="64" t="str">
        <f t="shared" si="5"/>
        <v>Credit &amp; Surety</v>
      </c>
      <c r="B48" s="63">
        <f t="shared" si="6"/>
        <v>2007</v>
      </c>
      <c r="C48" s="65"/>
      <c r="D48" s="65"/>
      <c r="E48" s="65"/>
      <c r="F48" s="61"/>
      <c r="G48" s="61"/>
      <c r="H48" s="61"/>
      <c r="I48" s="61"/>
      <c r="J48" s="61"/>
      <c r="K48" s="3" t="str">
        <f t="shared" si="0"/>
        <v>pass</v>
      </c>
      <c r="L48" s="19" t="str">
        <f>IFERROR(IF(AND(MATCH(A48,Projection_classes,0),YEAR(current_date)='Example - Projections'!B48),"pass","fail"),"")</f>
        <v/>
      </c>
    </row>
    <row r="49" spans="1:12" x14ac:dyDescent="0.25">
      <c r="A49" s="64" t="str">
        <f t="shared" si="5"/>
        <v>Credit &amp; Surety</v>
      </c>
      <c r="B49" s="63">
        <f t="shared" si="6"/>
        <v>2008</v>
      </c>
      <c r="C49" s="65"/>
      <c r="D49" s="65"/>
      <c r="E49" s="65"/>
      <c r="F49" s="61"/>
      <c r="G49" s="61"/>
      <c r="H49" s="61"/>
      <c r="I49" s="61"/>
      <c r="J49" s="61"/>
      <c r="K49" s="3" t="str">
        <f t="shared" si="0"/>
        <v>pass</v>
      </c>
      <c r="L49" s="19" t="str">
        <f>IFERROR(IF(AND(MATCH(A49,Projection_classes,0),YEAR(current_date)='Example - Projections'!B49),"pass","fail"),"")</f>
        <v/>
      </c>
    </row>
    <row r="50" spans="1:12" x14ac:dyDescent="0.25">
      <c r="A50" s="64" t="str">
        <f t="shared" si="5"/>
        <v>Credit &amp; Surety</v>
      </c>
      <c r="B50" s="63">
        <f t="shared" si="6"/>
        <v>2009</v>
      </c>
      <c r="C50" s="65"/>
      <c r="D50" s="65"/>
      <c r="E50" s="65"/>
      <c r="F50" s="61"/>
      <c r="G50" s="61"/>
      <c r="H50" s="61"/>
      <c r="I50" s="61"/>
      <c r="J50" s="61"/>
      <c r="K50" s="3" t="str">
        <f t="shared" si="0"/>
        <v>pass</v>
      </c>
      <c r="L50" s="19" t="str">
        <f>IFERROR(IF(AND(MATCH(A50,Projection_classes,0),YEAR(current_date)='Example - Projections'!B50),"pass","fail"),"")</f>
        <v/>
      </c>
    </row>
    <row r="51" spans="1:12" x14ac:dyDescent="0.25">
      <c r="A51" s="64" t="str">
        <f t="shared" si="5"/>
        <v>Credit &amp; Surety</v>
      </c>
      <c r="B51" s="63">
        <f t="shared" si="6"/>
        <v>2010</v>
      </c>
      <c r="C51" s="65"/>
      <c r="D51" s="65"/>
      <c r="E51" s="65"/>
      <c r="F51" s="61"/>
      <c r="G51" s="61"/>
      <c r="H51" s="61"/>
      <c r="I51" s="61"/>
      <c r="J51" s="61"/>
      <c r="K51" s="3" t="str">
        <f t="shared" si="0"/>
        <v>pass</v>
      </c>
      <c r="L51" s="19" t="str">
        <f>IFERROR(IF(AND(MATCH(A51,Projection_classes,0),YEAR(current_date)='Example - Projections'!B51),"pass","fail"),"")</f>
        <v/>
      </c>
    </row>
    <row r="52" spans="1:12" x14ac:dyDescent="0.25">
      <c r="A52" s="64" t="str">
        <f t="shared" si="5"/>
        <v>Credit &amp; Surety</v>
      </c>
      <c r="B52" s="63">
        <f t="shared" si="6"/>
        <v>2011</v>
      </c>
      <c r="C52" s="65"/>
      <c r="D52" s="65"/>
      <c r="E52" s="65"/>
      <c r="F52" s="61"/>
      <c r="G52" s="61"/>
      <c r="H52" s="61"/>
      <c r="I52" s="61"/>
      <c r="J52" s="61"/>
      <c r="K52" s="3" t="str">
        <f t="shared" si="0"/>
        <v>pass</v>
      </c>
      <c r="L52" s="19" t="str">
        <f>IFERROR(IF(AND(MATCH(A52,Projection_classes,0),YEAR(current_date)='Example - Projections'!B52),"pass","fail"),"")</f>
        <v/>
      </c>
    </row>
    <row r="53" spans="1:12" x14ac:dyDescent="0.25">
      <c r="A53" s="64" t="str">
        <f t="shared" si="5"/>
        <v>Credit &amp; Surety</v>
      </c>
      <c r="B53" s="63">
        <f t="shared" si="6"/>
        <v>2012</v>
      </c>
      <c r="C53" s="65"/>
      <c r="D53" s="65"/>
      <c r="E53" s="65"/>
      <c r="F53" s="61"/>
      <c r="G53" s="61"/>
      <c r="H53" s="61"/>
      <c r="I53" s="61"/>
      <c r="J53" s="61"/>
      <c r="K53" s="3" t="str">
        <f t="shared" si="0"/>
        <v>pass</v>
      </c>
      <c r="L53" s="19" t="str">
        <f>IFERROR(IF(AND(MATCH(A53,Projection_classes,0),YEAR(current_date)='Example - Projections'!B53),"pass","fail"),"")</f>
        <v/>
      </c>
    </row>
    <row r="54" spans="1:12" x14ac:dyDescent="0.25">
      <c r="A54" s="64" t="str">
        <f t="shared" si="5"/>
        <v>Credit &amp; Surety</v>
      </c>
      <c r="B54" s="63">
        <f t="shared" si="6"/>
        <v>2013</v>
      </c>
      <c r="C54" s="65"/>
      <c r="D54" s="65"/>
      <c r="E54" s="65"/>
      <c r="F54" s="61"/>
      <c r="G54" s="61"/>
      <c r="H54" s="61"/>
      <c r="I54" s="61"/>
      <c r="J54" s="61"/>
      <c r="K54" s="3" t="str">
        <f t="shared" si="0"/>
        <v>pass</v>
      </c>
      <c r="L54" s="19" t="str">
        <f>IFERROR(IF(AND(MATCH(A54,Projection_classes,0),YEAR(current_date)='Example - Projections'!B54),"pass","fail"),"")</f>
        <v/>
      </c>
    </row>
    <row r="55" spans="1:12" x14ac:dyDescent="0.25">
      <c r="A55" s="64" t="str">
        <f t="shared" si="5"/>
        <v>Credit &amp; Surety</v>
      </c>
      <c r="B55" s="63">
        <f t="shared" si="6"/>
        <v>2014</v>
      </c>
      <c r="C55" s="65"/>
      <c r="D55" s="65"/>
      <c r="E55" s="65"/>
      <c r="F55" s="61"/>
      <c r="G55" s="61"/>
      <c r="H55" s="61"/>
      <c r="I55" s="61"/>
      <c r="J55" s="61"/>
      <c r="K55" s="3" t="str">
        <f t="shared" si="0"/>
        <v>pass</v>
      </c>
      <c r="L55" s="19" t="str">
        <f>IFERROR(IF(AND(MATCH(A55,Projection_classes,0),YEAR(current_date)='Example - Projections'!B55),"pass","fail"),"")</f>
        <v/>
      </c>
    </row>
    <row r="56" spans="1:12" x14ac:dyDescent="0.25">
      <c r="A56" s="64" t="str">
        <f t="shared" si="5"/>
        <v>Credit &amp; Surety</v>
      </c>
      <c r="B56" s="63">
        <f t="shared" si="6"/>
        <v>2015</v>
      </c>
      <c r="C56" s="65"/>
      <c r="D56" s="65"/>
      <c r="E56" s="65"/>
      <c r="F56" s="61"/>
      <c r="G56" s="61"/>
      <c r="H56" s="61"/>
      <c r="I56" s="61"/>
      <c r="J56" s="61"/>
      <c r="K56" s="3" t="str">
        <f t="shared" si="0"/>
        <v>pass</v>
      </c>
      <c r="L56" s="19" t="str">
        <f>IFERROR(IF(AND(MATCH(A56,Projection_classes,0),YEAR(current_date)='Example - Projections'!B56),"pass","fail"),"")</f>
        <v/>
      </c>
    </row>
    <row r="57" spans="1:12" x14ac:dyDescent="0.25">
      <c r="A57" s="64" t="str">
        <f t="shared" si="5"/>
        <v>Credit &amp; Surety</v>
      </c>
      <c r="B57" s="63">
        <f t="shared" si="6"/>
        <v>2016</v>
      </c>
      <c r="C57" s="65"/>
      <c r="D57" s="65"/>
      <c r="E57" s="65"/>
      <c r="F57" s="61"/>
      <c r="G57" s="61"/>
      <c r="H57" s="61"/>
      <c r="I57" s="61"/>
      <c r="J57" s="61"/>
      <c r="K57" s="3" t="str">
        <f t="shared" si="0"/>
        <v>pass</v>
      </c>
      <c r="L57" s="19" t="str">
        <f>IFERROR(IF(AND(MATCH(A57,Projection_classes,0),YEAR(current_date)='Example - Projections'!B57),"pass","fail"),"")</f>
        <v/>
      </c>
    </row>
    <row r="58" spans="1:12" x14ac:dyDescent="0.25">
      <c r="A58" s="64" t="str">
        <f t="shared" si="5"/>
        <v>Credit &amp; Surety</v>
      </c>
      <c r="B58" s="63">
        <f t="shared" si="6"/>
        <v>2017</v>
      </c>
      <c r="C58" s="65"/>
      <c r="D58" s="65"/>
      <c r="E58" s="65"/>
      <c r="F58" s="61"/>
      <c r="G58" s="61"/>
      <c r="H58" s="61"/>
      <c r="I58" s="61"/>
      <c r="J58" s="61"/>
      <c r="K58" s="3" t="str">
        <f t="shared" si="0"/>
        <v>pass</v>
      </c>
      <c r="L58" s="19" t="str">
        <f>IFERROR(IF(AND(MATCH(A58,Projection_classes,0),YEAR(current_date)='Example - Projections'!B58),"pass","fail"),"")</f>
        <v/>
      </c>
    </row>
    <row r="59" spans="1:12" x14ac:dyDescent="0.25">
      <c r="A59" s="64" t="str">
        <f t="shared" si="5"/>
        <v>Credit &amp; Surety</v>
      </c>
      <c r="B59" s="63">
        <f t="shared" si="6"/>
        <v>2018</v>
      </c>
      <c r="C59" s="65"/>
      <c r="D59" s="65"/>
      <c r="E59" s="65"/>
      <c r="F59" s="61"/>
      <c r="G59" s="61"/>
      <c r="H59" s="61"/>
      <c r="I59" s="61"/>
      <c r="J59" s="61"/>
      <c r="K59" s="3" t="str">
        <f t="shared" si="0"/>
        <v>pass</v>
      </c>
      <c r="L59" s="19" t="str">
        <f>IFERROR(IF(AND(MATCH(A59,Projection_classes,0),YEAR(current_date)='Example - Projections'!B59),"pass","fail"),"")</f>
        <v/>
      </c>
    </row>
    <row r="60" spans="1:12" x14ac:dyDescent="0.25">
      <c r="A60" s="64" t="str">
        <f t="shared" si="5"/>
        <v>Credit &amp; Surety</v>
      </c>
      <c r="B60" s="63">
        <f t="shared" si="6"/>
        <v>2019</v>
      </c>
      <c r="C60" s="65"/>
      <c r="D60" s="65"/>
      <c r="E60" s="65"/>
      <c r="F60" s="61"/>
      <c r="G60" s="61"/>
      <c r="H60" s="61"/>
      <c r="I60" s="61"/>
      <c r="J60" s="61"/>
      <c r="K60" s="3" t="str">
        <f t="shared" si="0"/>
        <v>pass</v>
      </c>
      <c r="L60" s="19" t="str">
        <f>IFERROR(IF(AND(MATCH(A60,Projection_classes,0),YEAR(current_date)='Example - Projections'!B60),"pass","fail"),"")</f>
        <v/>
      </c>
    </row>
    <row r="61" spans="1:12" x14ac:dyDescent="0.25">
      <c r="A61" s="64" t="str">
        <f t="shared" si="5"/>
        <v>Credit &amp; Surety</v>
      </c>
      <c r="B61" s="63">
        <f t="shared" si="6"/>
        <v>2020</v>
      </c>
      <c r="C61" s="65"/>
      <c r="D61" s="65"/>
      <c r="E61" s="65"/>
      <c r="F61" s="61"/>
      <c r="G61" s="61"/>
      <c r="H61" s="61"/>
      <c r="I61" s="61"/>
      <c r="J61" s="61"/>
      <c r="K61" s="3" t="str">
        <f t="shared" si="0"/>
        <v>pass</v>
      </c>
      <c r="L61" s="19" t="str">
        <f>IFERROR(IF(AND(MATCH(A61,Projection_classes,0),YEAR(current_date)='Example - Projections'!B61),"pass","fail"),"")</f>
        <v/>
      </c>
    </row>
    <row r="62" spans="1:12" x14ac:dyDescent="0.25">
      <c r="A62" s="64" t="str">
        <f>'Example - Parameters'!C222</f>
        <v>Motor NP</v>
      </c>
      <c r="B62" s="63">
        <f>YEAR(triangle_start_date)</f>
        <v>2001</v>
      </c>
      <c r="C62" s="65"/>
      <c r="D62" s="65"/>
      <c r="E62" s="65"/>
      <c r="F62" s="61"/>
      <c r="G62" s="61"/>
      <c r="H62" s="61"/>
      <c r="I62" s="61"/>
      <c r="J62" s="61"/>
      <c r="K62" s="3" t="str">
        <f t="shared" si="0"/>
        <v>pass</v>
      </c>
      <c r="L62" s="19" t="str">
        <f>IFERROR(IF(AND(MATCH(A62,Projection_classes,0),YEAR(current_date)='Example - Projections'!B62),"pass","fail"),"")</f>
        <v/>
      </c>
    </row>
    <row r="63" spans="1:12" x14ac:dyDescent="0.25">
      <c r="A63" s="64" t="str">
        <f t="shared" ref="A63:A81" si="7">A62</f>
        <v>Motor NP</v>
      </c>
      <c r="B63" s="63">
        <f t="shared" ref="B63:B81" si="8">B62+1</f>
        <v>2002</v>
      </c>
      <c r="C63" s="65"/>
      <c r="D63" s="65"/>
      <c r="E63" s="65"/>
      <c r="F63" s="61"/>
      <c r="G63" s="61"/>
      <c r="H63" s="61"/>
      <c r="I63" s="61"/>
      <c r="J63" s="61"/>
      <c r="K63" s="3" t="str">
        <f t="shared" si="0"/>
        <v>pass</v>
      </c>
      <c r="L63" s="19" t="str">
        <f>IFERROR(IF(AND(MATCH(A63,Projection_classes,0),YEAR(current_date)='Example - Projections'!B63),"pass","fail"),"")</f>
        <v/>
      </c>
    </row>
    <row r="64" spans="1:12" x14ac:dyDescent="0.25">
      <c r="A64" s="64" t="str">
        <f t="shared" si="7"/>
        <v>Motor NP</v>
      </c>
      <c r="B64" s="63">
        <f t="shared" si="8"/>
        <v>2003</v>
      </c>
      <c r="C64" s="65"/>
      <c r="D64" s="65"/>
      <c r="E64" s="65"/>
      <c r="F64" s="61"/>
      <c r="G64" s="61"/>
      <c r="H64" s="61"/>
      <c r="I64" s="61"/>
      <c r="J64" s="61"/>
      <c r="K64" s="3" t="str">
        <f t="shared" si="0"/>
        <v>pass</v>
      </c>
      <c r="L64" s="19" t="str">
        <f>IFERROR(IF(AND(MATCH(A64,Projection_classes,0),YEAR(current_date)='Example - Projections'!B64),"pass","fail"),"")</f>
        <v/>
      </c>
    </row>
    <row r="65" spans="1:12" x14ac:dyDescent="0.25">
      <c r="A65" s="64" t="str">
        <f t="shared" si="7"/>
        <v>Motor NP</v>
      </c>
      <c r="B65" s="63">
        <f t="shared" si="8"/>
        <v>2004</v>
      </c>
      <c r="C65" s="65"/>
      <c r="D65" s="65"/>
      <c r="E65" s="65"/>
      <c r="F65" s="61"/>
      <c r="G65" s="61"/>
      <c r="H65" s="61"/>
      <c r="I65" s="61"/>
      <c r="J65" s="61"/>
      <c r="K65" s="3" t="str">
        <f t="shared" si="0"/>
        <v>pass</v>
      </c>
      <c r="L65" s="19" t="str">
        <f>IFERROR(IF(AND(MATCH(A65,Projection_classes,0),YEAR(current_date)='Example - Projections'!B65),"pass","fail"),"")</f>
        <v/>
      </c>
    </row>
    <row r="66" spans="1:12" x14ac:dyDescent="0.25">
      <c r="A66" s="64" t="str">
        <f t="shared" si="7"/>
        <v>Motor NP</v>
      </c>
      <c r="B66" s="63">
        <f t="shared" si="8"/>
        <v>2005</v>
      </c>
      <c r="C66" s="65"/>
      <c r="D66" s="65"/>
      <c r="E66" s="65"/>
      <c r="F66" s="61"/>
      <c r="G66" s="61"/>
      <c r="H66" s="61"/>
      <c r="I66" s="61"/>
      <c r="J66" s="61"/>
      <c r="K66" s="3" t="str">
        <f t="shared" ref="K66:K129" si="9">IF(OR(B66&lt;$N$1,B66&gt;$P$1),"fail","pass")</f>
        <v>pass</v>
      </c>
      <c r="L66" s="19" t="str">
        <f>IFERROR(IF(AND(MATCH(A66,Projection_classes,0),YEAR(current_date)='Example - Projections'!B66),"pass","fail"),"")</f>
        <v/>
      </c>
    </row>
    <row r="67" spans="1:12" x14ac:dyDescent="0.25">
      <c r="A67" s="64" t="str">
        <f t="shared" si="7"/>
        <v>Motor NP</v>
      </c>
      <c r="B67" s="63">
        <f t="shared" si="8"/>
        <v>2006</v>
      </c>
      <c r="C67" s="65"/>
      <c r="D67" s="65"/>
      <c r="E67" s="65"/>
      <c r="F67" s="61"/>
      <c r="G67" s="61"/>
      <c r="H67" s="61"/>
      <c r="I67" s="61"/>
      <c r="J67" s="61"/>
      <c r="K67" s="3" t="str">
        <f t="shared" si="9"/>
        <v>pass</v>
      </c>
      <c r="L67" s="19" t="str">
        <f>IFERROR(IF(AND(MATCH(A67,Projection_classes,0),YEAR(current_date)='Example - Projections'!B67),"pass","fail"),"")</f>
        <v/>
      </c>
    </row>
    <row r="68" spans="1:12" x14ac:dyDescent="0.25">
      <c r="A68" s="64" t="str">
        <f t="shared" si="7"/>
        <v>Motor NP</v>
      </c>
      <c r="B68" s="63">
        <f t="shared" si="8"/>
        <v>2007</v>
      </c>
      <c r="C68" s="65"/>
      <c r="D68" s="65"/>
      <c r="E68" s="65"/>
      <c r="F68" s="61"/>
      <c r="G68" s="61"/>
      <c r="H68" s="61"/>
      <c r="I68" s="61"/>
      <c r="J68" s="61"/>
      <c r="K68" s="3" t="str">
        <f t="shared" si="9"/>
        <v>pass</v>
      </c>
      <c r="L68" s="19" t="str">
        <f>IFERROR(IF(AND(MATCH(A68,Projection_classes,0),YEAR(current_date)='Example - Projections'!B68),"pass","fail"),"")</f>
        <v/>
      </c>
    </row>
    <row r="69" spans="1:12" x14ac:dyDescent="0.25">
      <c r="A69" s="64" t="str">
        <f t="shared" si="7"/>
        <v>Motor NP</v>
      </c>
      <c r="B69" s="63">
        <f t="shared" si="8"/>
        <v>2008</v>
      </c>
      <c r="C69" s="65"/>
      <c r="D69" s="65"/>
      <c r="E69" s="65"/>
      <c r="F69" s="61"/>
      <c r="G69" s="61"/>
      <c r="H69" s="61"/>
      <c r="I69" s="61"/>
      <c r="J69" s="61"/>
      <c r="K69" s="3" t="str">
        <f t="shared" si="9"/>
        <v>pass</v>
      </c>
      <c r="L69" s="19" t="str">
        <f>IFERROR(IF(AND(MATCH(A69,Projection_classes,0),YEAR(current_date)='Example - Projections'!B69),"pass","fail"),"")</f>
        <v/>
      </c>
    </row>
    <row r="70" spans="1:12" x14ac:dyDescent="0.25">
      <c r="A70" s="64" t="str">
        <f t="shared" si="7"/>
        <v>Motor NP</v>
      </c>
      <c r="B70" s="63">
        <f t="shared" si="8"/>
        <v>2009</v>
      </c>
      <c r="C70" s="65"/>
      <c r="D70" s="65"/>
      <c r="E70" s="65"/>
      <c r="F70" s="61"/>
      <c r="G70" s="61"/>
      <c r="H70" s="61"/>
      <c r="I70" s="61"/>
      <c r="J70" s="61"/>
      <c r="K70" s="3" t="str">
        <f t="shared" si="9"/>
        <v>pass</v>
      </c>
      <c r="L70" s="19" t="str">
        <f>IFERROR(IF(AND(MATCH(A70,Projection_classes,0),YEAR(current_date)='Example - Projections'!B70),"pass","fail"),"")</f>
        <v/>
      </c>
    </row>
    <row r="71" spans="1:12" x14ac:dyDescent="0.25">
      <c r="A71" s="64" t="str">
        <f t="shared" si="7"/>
        <v>Motor NP</v>
      </c>
      <c r="B71" s="63">
        <f t="shared" si="8"/>
        <v>2010</v>
      </c>
      <c r="C71" s="65"/>
      <c r="D71" s="65"/>
      <c r="E71" s="65"/>
      <c r="F71" s="61"/>
      <c r="G71" s="61"/>
      <c r="H71" s="61"/>
      <c r="I71" s="61"/>
      <c r="J71" s="61"/>
      <c r="K71" s="3" t="str">
        <f t="shared" si="9"/>
        <v>pass</v>
      </c>
      <c r="L71" s="19" t="str">
        <f>IFERROR(IF(AND(MATCH(A71,Projection_classes,0),YEAR(current_date)='Example - Projections'!B71),"pass","fail"),"")</f>
        <v/>
      </c>
    </row>
    <row r="72" spans="1:12" x14ac:dyDescent="0.25">
      <c r="A72" s="64" t="str">
        <f t="shared" si="7"/>
        <v>Motor NP</v>
      </c>
      <c r="B72" s="63">
        <f t="shared" si="8"/>
        <v>2011</v>
      </c>
      <c r="C72" s="65"/>
      <c r="D72" s="65"/>
      <c r="E72" s="65"/>
      <c r="F72" s="61"/>
      <c r="G72" s="61"/>
      <c r="H72" s="61"/>
      <c r="I72" s="61"/>
      <c r="J72" s="61"/>
      <c r="K72" s="3" t="str">
        <f t="shared" si="9"/>
        <v>pass</v>
      </c>
      <c r="L72" s="19" t="str">
        <f>IFERROR(IF(AND(MATCH(A72,Projection_classes,0),YEAR(current_date)='Example - Projections'!B72),"pass","fail"),"")</f>
        <v/>
      </c>
    </row>
    <row r="73" spans="1:12" x14ac:dyDescent="0.25">
      <c r="A73" s="64" t="str">
        <f t="shared" si="7"/>
        <v>Motor NP</v>
      </c>
      <c r="B73" s="63">
        <f t="shared" si="8"/>
        <v>2012</v>
      </c>
      <c r="C73" s="65"/>
      <c r="D73" s="65"/>
      <c r="E73" s="65"/>
      <c r="F73" s="61"/>
      <c r="G73" s="61"/>
      <c r="H73" s="61"/>
      <c r="I73" s="61"/>
      <c r="J73" s="61"/>
      <c r="K73" s="3" t="str">
        <f t="shared" si="9"/>
        <v>pass</v>
      </c>
      <c r="L73" s="19" t="str">
        <f>IFERROR(IF(AND(MATCH(A73,Projection_classes,0),YEAR(current_date)='Example - Projections'!B73),"pass","fail"),"")</f>
        <v/>
      </c>
    </row>
    <row r="74" spans="1:12" x14ac:dyDescent="0.25">
      <c r="A74" s="64" t="str">
        <f t="shared" si="7"/>
        <v>Motor NP</v>
      </c>
      <c r="B74" s="63">
        <f t="shared" si="8"/>
        <v>2013</v>
      </c>
      <c r="C74" s="65"/>
      <c r="D74" s="65"/>
      <c r="E74" s="65"/>
      <c r="F74" s="61"/>
      <c r="G74" s="61"/>
      <c r="H74" s="61"/>
      <c r="I74" s="61"/>
      <c r="J74" s="61"/>
      <c r="K74" s="3" t="str">
        <f t="shared" si="9"/>
        <v>pass</v>
      </c>
      <c r="L74" s="19" t="str">
        <f>IFERROR(IF(AND(MATCH(A74,Projection_classes,0),YEAR(current_date)='Example - Projections'!B74),"pass","fail"),"")</f>
        <v/>
      </c>
    </row>
    <row r="75" spans="1:12" x14ac:dyDescent="0.25">
      <c r="A75" s="64" t="str">
        <f t="shared" si="7"/>
        <v>Motor NP</v>
      </c>
      <c r="B75" s="63">
        <f t="shared" si="8"/>
        <v>2014</v>
      </c>
      <c r="C75" s="65"/>
      <c r="D75" s="65"/>
      <c r="E75" s="65"/>
      <c r="F75" s="61"/>
      <c r="G75" s="61"/>
      <c r="H75" s="61"/>
      <c r="I75" s="61"/>
      <c r="J75" s="61"/>
      <c r="K75" s="3" t="str">
        <f t="shared" si="9"/>
        <v>pass</v>
      </c>
      <c r="L75" s="19" t="str">
        <f>IFERROR(IF(AND(MATCH(A75,Projection_classes,0),YEAR(current_date)='Example - Projections'!B75),"pass","fail"),"")</f>
        <v/>
      </c>
    </row>
    <row r="76" spans="1:12" x14ac:dyDescent="0.25">
      <c r="A76" s="64" t="str">
        <f t="shared" si="7"/>
        <v>Motor NP</v>
      </c>
      <c r="B76" s="63">
        <f t="shared" si="8"/>
        <v>2015</v>
      </c>
      <c r="C76" s="65"/>
      <c r="D76" s="65"/>
      <c r="E76" s="65"/>
      <c r="F76" s="61"/>
      <c r="G76" s="61"/>
      <c r="H76" s="61"/>
      <c r="I76" s="61"/>
      <c r="J76" s="61"/>
      <c r="K76" s="3" t="str">
        <f t="shared" si="9"/>
        <v>pass</v>
      </c>
      <c r="L76" s="19" t="str">
        <f>IFERROR(IF(AND(MATCH(A76,Projection_classes,0),YEAR(current_date)='Example - Projections'!B76),"pass","fail"),"")</f>
        <v/>
      </c>
    </row>
    <row r="77" spans="1:12" x14ac:dyDescent="0.25">
      <c r="A77" s="64" t="str">
        <f t="shared" si="7"/>
        <v>Motor NP</v>
      </c>
      <c r="B77" s="63">
        <f t="shared" si="8"/>
        <v>2016</v>
      </c>
      <c r="C77" s="65"/>
      <c r="D77" s="65"/>
      <c r="E77" s="65"/>
      <c r="F77" s="61"/>
      <c r="G77" s="61"/>
      <c r="H77" s="61"/>
      <c r="I77" s="61"/>
      <c r="J77" s="61"/>
      <c r="K77" s="3" t="str">
        <f t="shared" si="9"/>
        <v>pass</v>
      </c>
      <c r="L77" s="19" t="str">
        <f>IFERROR(IF(AND(MATCH(A77,Projection_classes,0),YEAR(current_date)='Example - Projections'!B77),"pass","fail"),"")</f>
        <v/>
      </c>
    </row>
    <row r="78" spans="1:12" x14ac:dyDescent="0.25">
      <c r="A78" s="64" t="str">
        <f t="shared" si="7"/>
        <v>Motor NP</v>
      </c>
      <c r="B78" s="63">
        <f t="shared" si="8"/>
        <v>2017</v>
      </c>
      <c r="C78" s="65"/>
      <c r="D78" s="65"/>
      <c r="E78" s="65"/>
      <c r="F78" s="61"/>
      <c r="G78" s="61"/>
      <c r="H78" s="61"/>
      <c r="I78" s="61"/>
      <c r="J78" s="61"/>
      <c r="K78" s="3" t="str">
        <f t="shared" si="9"/>
        <v>pass</v>
      </c>
      <c r="L78" s="19" t="str">
        <f>IFERROR(IF(AND(MATCH(A78,Projection_classes,0),YEAR(current_date)='Example - Projections'!B78),"pass","fail"),"")</f>
        <v/>
      </c>
    </row>
    <row r="79" spans="1:12" x14ac:dyDescent="0.25">
      <c r="A79" s="64" t="str">
        <f t="shared" si="7"/>
        <v>Motor NP</v>
      </c>
      <c r="B79" s="63">
        <f t="shared" si="8"/>
        <v>2018</v>
      </c>
      <c r="C79" s="65"/>
      <c r="D79" s="65"/>
      <c r="E79" s="65"/>
      <c r="F79" s="61"/>
      <c r="G79" s="61"/>
      <c r="H79" s="61"/>
      <c r="I79" s="61"/>
      <c r="J79" s="61"/>
      <c r="K79" s="3" t="str">
        <f t="shared" si="9"/>
        <v>pass</v>
      </c>
      <c r="L79" s="19" t="str">
        <f>IFERROR(IF(AND(MATCH(A79,Projection_classes,0),YEAR(current_date)='Example - Projections'!B79),"pass","fail"),"")</f>
        <v/>
      </c>
    </row>
    <row r="80" spans="1:12" x14ac:dyDescent="0.25">
      <c r="A80" s="64" t="str">
        <f t="shared" si="7"/>
        <v>Motor NP</v>
      </c>
      <c r="B80" s="63">
        <f t="shared" si="8"/>
        <v>2019</v>
      </c>
      <c r="C80" s="65"/>
      <c r="D80" s="65"/>
      <c r="E80" s="65"/>
      <c r="F80" s="61"/>
      <c r="G80" s="61"/>
      <c r="H80" s="61"/>
      <c r="I80" s="61"/>
      <c r="J80" s="61"/>
      <c r="K80" s="3" t="str">
        <f t="shared" si="9"/>
        <v>pass</v>
      </c>
      <c r="L80" s="19" t="str">
        <f>IFERROR(IF(AND(MATCH(A80,Projection_classes,0),YEAR(current_date)='Example - Projections'!B80),"pass","fail"),"")</f>
        <v/>
      </c>
    </row>
    <row r="81" spans="1:12" x14ac:dyDescent="0.25">
      <c r="A81" s="64" t="str">
        <f t="shared" si="7"/>
        <v>Motor NP</v>
      </c>
      <c r="B81" s="63">
        <f t="shared" si="8"/>
        <v>2020</v>
      </c>
      <c r="C81" s="65"/>
      <c r="D81" s="65"/>
      <c r="E81" s="65"/>
      <c r="F81" s="61"/>
      <c r="G81" s="61"/>
      <c r="H81" s="61"/>
      <c r="I81" s="61"/>
      <c r="J81" s="61"/>
      <c r="K81" s="3" t="str">
        <f t="shared" si="9"/>
        <v>pass</v>
      </c>
      <c r="L81" s="19" t="str">
        <f>IFERROR(IF(AND(MATCH(A81,Projection_classes,0),YEAR(current_date)='Example - Projections'!B81),"pass","fail"),"")</f>
        <v/>
      </c>
    </row>
    <row r="82" spans="1:12" x14ac:dyDescent="0.25">
      <c r="A82" s="64" t="str">
        <f>'Example - Parameters'!C223</f>
        <v>Motor PR</v>
      </c>
      <c r="B82" s="63">
        <f>YEAR(triangle_start_date)</f>
        <v>2001</v>
      </c>
      <c r="C82" s="65"/>
      <c r="D82" s="65"/>
      <c r="E82" s="65"/>
      <c r="F82" s="61"/>
      <c r="G82" s="61"/>
      <c r="H82" s="61"/>
      <c r="I82" s="61"/>
      <c r="J82" s="61"/>
      <c r="K82" s="3" t="str">
        <f t="shared" si="9"/>
        <v>pass</v>
      </c>
      <c r="L82" s="19" t="str">
        <f>IFERROR(IF(AND(MATCH(A82,Projection_classes,0),YEAR(current_date)='Example - Projections'!B82),"pass","fail"),"")</f>
        <v/>
      </c>
    </row>
    <row r="83" spans="1:12" x14ac:dyDescent="0.25">
      <c r="A83" s="64" t="str">
        <f t="shared" ref="A83:A101" si="10">A82</f>
        <v>Motor PR</v>
      </c>
      <c r="B83" s="63">
        <f t="shared" ref="B83:B101" si="11">B82+1</f>
        <v>2002</v>
      </c>
      <c r="C83" s="65"/>
      <c r="D83" s="65"/>
      <c r="E83" s="65"/>
      <c r="F83" s="61"/>
      <c r="G83" s="61"/>
      <c r="H83" s="61"/>
      <c r="I83" s="61"/>
      <c r="J83" s="61"/>
      <c r="K83" s="3" t="str">
        <f t="shared" si="9"/>
        <v>pass</v>
      </c>
      <c r="L83" s="19" t="str">
        <f>IFERROR(IF(AND(MATCH(A83,Projection_classes,0),YEAR(current_date)='Example - Projections'!B83),"pass","fail"),"")</f>
        <v/>
      </c>
    </row>
    <row r="84" spans="1:12" x14ac:dyDescent="0.25">
      <c r="A84" s="64" t="str">
        <f t="shared" si="10"/>
        <v>Motor PR</v>
      </c>
      <c r="B84" s="63">
        <f t="shared" si="11"/>
        <v>2003</v>
      </c>
      <c r="C84" s="65"/>
      <c r="D84" s="65"/>
      <c r="E84" s="65"/>
      <c r="F84" s="61"/>
      <c r="G84" s="61"/>
      <c r="H84" s="61"/>
      <c r="I84" s="61"/>
      <c r="J84" s="61"/>
      <c r="K84" s="3" t="str">
        <f t="shared" si="9"/>
        <v>pass</v>
      </c>
      <c r="L84" s="19" t="str">
        <f>IFERROR(IF(AND(MATCH(A84,Projection_classes,0),YEAR(current_date)='Example - Projections'!B84),"pass","fail"),"")</f>
        <v/>
      </c>
    </row>
    <row r="85" spans="1:12" x14ac:dyDescent="0.25">
      <c r="A85" s="64" t="str">
        <f t="shared" si="10"/>
        <v>Motor PR</v>
      </c>
      <c r="B85" s="63">
        <f t="shared" si="11"/>
        <v>2004</v>
      </c>
      <c r="C85" s="65"/>
      <c r="D85" s="65"/>
      <c r="E85" s="65"/>
      <c r="F85" s="61"/>
      <c r="G85" s="61"/>
      <c r="H85" s="61"/>
      <c r="I85" s="61"/>
      <c r="J85" s="61"/>
      <c r="K85" s="3" t="str">
        <f t="shared" si="9"/>
        <v>pass</v>
      </c>
      <c r="L85" s="19" t="str">
        <f>IFERROR(IF(AND(MATCH(A85,Projection_classes,0),YEAR(current_date)='Example - Projections'!B85),"pass","fail"),"")</f>
        <v/>
      </c>
    </row>
    <row r="86" spans="1:12" x14ac:dyDescent="0.25">
      <c r="A86" s="64" t="str">
        <f t="shared" si="10"/>
        <v>Motor PR</v>
      </c>
      <c r="B86" s="63">
        <f t="shared" si="11"/>
        <v>2005</v>
      </c>
      <c r="C86" s="65"/>
      <c r="D86" s="65"/>
      <c r="E86" s="65"/>
      <c r="F86" s="61"/>
      <c r="G86" s="61"/>
      <c r="H86" s="61"/>
      <c r="I86" s="61"/>
      <c r="J86" s="61"/>
      <c r="K86" s="3" t="str">
        <f t="shared" si="9"/>
        <v>pass</v>
      </c>
      <c r="L86" s="19" t="str">
        <f>IFERROR(IF(AND(MATCH(A86,Projection_classes,0),YEAR(current_date)='Example - Projections'!B86),"pass","fail"),"")</f>
        <v/>
      </c>
    </row>
    <row r="87" spans="1:12" x14ac:dyDescent="0.25">
      <c r="A87" s="64" t="str">
        <f t="shared" si="10"/>
        <v>Motor PR</v>
      </c>
      <c r="B87" s="63">
        <f t="shared" si="11"/>
        <v>2006</v>
      </c>
      <c r="C87" s="65"/>
      <c r="D87" s="65"/>
      <c r="E87" s="65"/>
      <c r="F87" s="61"/>
      <c r="G87" s="61"/>
      <c r="H87" s="61"/>
      <c r="I87" s="61"/>
      <c r="J87" s="61"/>
      <c r="K87" s="3" t="str">
        <f t="shared" si="9"/>
        <v>pass</v>
      </c>
      <c r="L87" s="19" t="str">
        <f>IFERROR(IF(AND(MATCH(A87,Projection_classes,0),YEAR(current_date)='Example - Projections'!B87),"pass","fail"),"")</f>
        <v/>
      </c>
    </row>
    <row r="88" spans="1:12" x14ac:dyDescent="0.25">
      <c r="A88" s="64" t="str">
        <f t="shared" si="10"/>
        <v>Motor PR</v>
      </c>
      <c r="B88" s="63">
        <f t="shared" si="11"/>
        <v>2007</v>
      </c>
      <c r="C88" s="65"/>
      <c r="D88" s="65"/>
      <c r="E88" s="65"/>
      <c r="F88" s="61"/>
      <c r="G88" s="61"/>
      <c r="H88" s="61"/>
      <c r="I88" s="61"/>
      <c r="J88" s="61"/>
      <c r="K88" s="3" t="str">
        <f t="shared" si="9"/>
        <v>pass</v>
      </c>
      <c r="L88" s="19" t="str">
        <f>IFERROR(IF(AND(MATCH(A88,Projection_classes,0),YEAR(current_date)='Example - Projections'!B88),"pass","fail"),"")</f>
        <v/>
      </c>
    </row>
    <row r="89" spans="1:12" x14ac:dyDescent="0.25">
      <c r="A89" s="64" t="str">
        <f t="shared" si="10"/>
        <v>Motor PR</v>
      </c>
      <c r="B89" s="63">
        <f t="shared" si="11"/>
        <v>2008</v>
      </c>
      <c r="C89" s="65"/>
      <c r="D89" s="65"/>
      <c r="E89" s="65"/>
      <c r="F89" s="61"/>
      <c r="G89" s="61"/>
      <c r="H89" s="61"/>
      <c r="I89" s="61"/>
      <c r="J89" s="61"/>
      <c r="K89" s="3" t="str">
        <f t="shared" si="9"/>
        <v>pass</v>
      </c>
      <c r="L89" s="19" t="str">
        <f>IFERROR(IF(AND(MATCH(A89,Projection_classes,0),YEAR(current_date)='Example - Projections'!B89),"pass","fail"),"")</f>
        <v/>
      </c>
    </row>
    <row r="90" spans="1:12" x14ac:dyDescent="0.25">
      <c r="A90" s="64" t="str">
        <f t="shared" si="10"/>
        <v>Motor PR</v>
      </c>
      <c r="B90" s="63">
        <f t="shared" si="11"/>
        <v>2009</v>
      </c>
      <c r="C90" s="65"/>
      <c r="D90" s="65"/>
      <c r="E90" s="65"/>
      <c r="F90" s="61"/>
      <c r="G90" s="61"/>
      <c r="H90" s="61"/>
      <c r="I90" s="61"/>
      <c r="J90" s="61"/>
      <c r="K90" s="3" t="str">
        <f t="shared" si="9"/>
        <v>pass</v>
      </c>
      <c r="L90" s="19" t="str">
        <f>IFERROR(IF(AND(MATCH(A90,Projection_classes,0),YEAR(current_date)='Example - Projections'!B90),"pass","fail"),"")</f>
        <v/>
      </c>
    </row>
    <row r="91" spans="1:12" x14ac:dyDescent="0.25">
      <c r="A91" s="64" t="str">
        <f t="shared" si="10"/>
        <v>Motor PR</v>
      </c>
      <c r="B91" s="63">
        <f t="shared" si="11"/>
        <v>2010</v>
      </c>
      <c r="C91" s="65"/>
      <c r="D91" s="65"/>
      <c r="E91" s="65"/>
      <c r="F91" s="61"/>
      <c r="G91" s="61"/>
      <c r="H91" s="61"/>
      <c r="I91" s="61"/>
      <c r="J91" s="61"/>
      <c r="K91" s="3" t="str">
        <f t="shared" si="9"/>
        <v>pass</v>
      </c>
      <c r="L91" s="19" t="str">
        <f>IFERROR(IF(AND(MATCH(A91,Projection_classes,0),YEAR(current_date)='Example - Projections'!B91),"pass","fail"),"")</f>
        <v/>
      </c>
    </row>
    <row r="92" spans="1:12" x14ac:dyDescent="0.25">
      <c r="A92" s="64" t="str">
        <f t="shared" si="10"/>
        <v>Motor PR</v>
      </c>
      <c r="B92" s="63">
        <f t="shared" si="11"/>
        <v>2011</v>
      </c>
      <c r="C92" s="65"/>
      <c r="D92" s="65"/>
      <c r="E92" s="65"/>
      <c r="F92" s="61"/>
      <c r="G92" s="61"/>
      <c r="H92" s="61"/>
      <c r="I92" s="61"/>
      <c r="J92" s="61"/>
      <c r="K92" s="3" t="str">
        <f t="shared" si="9"/>
        <v>pass</v>
      </c>
      <c r="L92" s="19" t="str">
        <f>IFERROR(IF(AND(MATCH(A92,Projection_classes,0),YEAR(current_date)='Example - Projections'!B92),"pass","fail"),"")</f>
        <v/>
      </c>
    </row>
    <row r="93" spans="1:12" x14ac:dyDescent="0.25">
      <c r="A93" s="64" t="str">
        <f t="shared" si="10"/>
        <v>Motor PR</v>
      </c>
      <c r="B93" s="63">
        <f t="shared" si="11"/>
        <v>2012</v>
      </c>
      <c r="C93" s="65"/>
      <c r="D93" s="65"/>
      <c r="E93" s="65"/>
      <c r="F93" s="61"/>
      <c r="G93" s="61"/>
      <c r="H93" s="61"/>
      <c r="I93" s="61"/>
      <c r="J93" s="61"/>
      <c r="K93" s="3" t="str">
        <f t="shared" si="9"/>
        <v>pass</v>
      </c>
      <c r="L93" s="19" t="str">
        <f>IFERROR(IF(AND(MATCH(A93,Projection_classes,0),YEAR(current_date)='Example - Projections'!B93),"pass","fail"),"")</f>
        <v/>
      </c>
    </row>
    <row r="94" spans="1:12" x14ac:dyDescent="0.25">
      <c r="A94" s="64" t="str">
        <f t="shared" si="10"/>
        <v>Motor PR</v>
      </c>
      <c r="B94" s="63">
        <f t="shared" si="11"/>
        <v>2013</v>
      </c>
      <c r="C94" s="65"/>
      <c r="D94" s="65"/>
      <c r="E94" s="65"/>
      <c r="F94" s="61"/>
      <c r="G94" s="61"/>
      <c r="H94" s="61"/>
      <c r="I94" s="61"/>
      <c r="J94" s="61"/>
      <c r="K94" s="3" t="str">
        <f t="shared" si="9"/>
        <v>pass</v>
      </c>
      <c r="L94" s="19" t="str">
        <f>IFERROR(IF(AND(MATCH(A94,Projection_classes,0),YEAR(current_date)='Example - Projections'!B94),"pass","fail"),"")</f>
        <v/>
      </c>
    </row>
    <row r="95" spans="1:12" x14ac:dyDescent="0.25">
      <c r="A95" s="64" t="str">
        <f t="shared" si="10"/>
        <v>Motor PR</v>
      </c>
      <c r="B95" s="63">
        <f t="shared" si="11"/>
        <v>2014</v>
      </c>
      <c r="C95" s="65"/>
      <c r="D95" s="65"/>
      <c r="E95" s="65"/>
      <c r="F95" s="61"/>
      <c r="G95" s="61"/>
      <c r="H95" s="61"/>
      <c r="I95" s="61"/>
      <c r="J95" s="61"/>
      <c r="K95" s="3" t="str">
        <f t="shared" si="9"/>
        <v>pass</v>
      </c>
      <c r="L95" s="19" t="str">
        <f>IFERROR(IF(AND(MATCH(A95,Projection_classes,0),YEAR(current_date)='Example - Projections'!B95),"pass","fail"),"")</f>
        <v/>
      </c>
    </row>
    <row r="96" spans="1:12" x14ac:dyDescent="0.25">
      <c r="A96" s="64" t="str">
        <f t="shared" si="10"/>
        <v>Motor PR</v>
      </c>
      <c r="B96" s="63">
        <f t="shared" si="11"/>
        <v>2015</v>
      </c>
      <c r="C96" s="65"/>
      <c r="D96" s="65"/>
      <c r="E96" s="65"/>
      <c r="F96" s="61"/>
      <c r="G96" s="61"/>
      <c r="H96" s="61"/>
      <c r="I96" s="61"/>
      <c r="J96" s="61"/>
      <c r="K96" s="3" t="str">
        <f t="shared" si="9"/>
        <v>pass</v>
      </c>
      <c r="L96" s="19" t="str">
        <f>IFERROR(IF(AND(MATCH(A96,Projection_classes,0),YEAR(current_date)='Example - Projections'!B96),"pass","fail"),"")</f>
        <v/>
      </c>
    </row>
    <row r="97" spans="1:12" x14ac:dyDescent="0.25">
      <c r="A97" s="64" t="str">
        <f t="shared" si="10"/>
        <v>Motor PR</v>
      </c>
      <c r="B97" s="63">
        <f t="shared" si="11"/>
        <v>2016</v>
      </c>
      <c r="C97" s="65"/>
      <c r="D97" s="65"/>
      <c r="E97" s="65"/>
      <c r="F97" s="61"/>
      <c r="G97" s="61"/>
      <c r="H97" s="61"/>
      <c r="I97" s="61"/>
      <c r="J97" s="61"/>
      <c r="K97" s="3" t="str">
        <f t="shared" si="9"/>
        <v>pass</v>
      </c>
      <c r="L97" s="19" t="str">
        <f>IFERROR(IF(AND(MATCH(A97,Projection_classes,0),YEAR(current_date)='Example - Projections'!B97),"pass","fail"),"")</f>
        <v/>
      </c>
    </row>
    <row r="98" spans="1:12" x14ac:dyDescent="0.25">
      <c r="A98" s="64" t="str">
        <f t="shared" si="10"/>
        <v>Motor PR</v>
      </c>
      <c r="B98" s="63">
        <f t="shared" si="11"/>
        <v>2017</v>
      </c>
      <c r="C98" s="65"/>
      <c r="D98" s="65"/>
      <c r="E98" s="65"/>
      <c r="F98" s="61"/>
      <c r="G98" s="61"/>
      <c r="H98" s="61"/>
      <c r="I98" s="61"/>
      <c r="J98" s="61"/>
      <c r="K98" s="3" t="str">
        <f t="shared" si="9"/>
        <v>pass</v>
      </c>
      <c r="L98" s="19" t="str">
        <f>IFERROR(IF(AND(MATCH(A98,Projection_classes,0),YEAR(current_date)='Example - Projections'!B98),"pass","fail"),"")</f>
        <v/>
      </c>
    </row>
    <row r="99" spans="1:12" x14ac:dyDescent="0.25">
      <c r="A99" s="64" t="str">
        <f t="shared" si="10"/>
        <v>Motor PR</v>
      </c>
      <c r="B99" s="63">
        <f t="shared" si="11"/>
        <v>2018</v>
      </c>
      <c r="C99" s="65"/>
      <c r="D99" s="65"/>
      <c r="E99" s="65"/>
      <c r="F99" s="61"/>
      <c r="G99" s="61"/>
      <c r="H99" s="61"/>
      <c r="I99" s="61"/>
      <c r="J99" s="61"/>
      <c r="K99" s="3" t="str">
        <f t="shared" si="9"/>
        <v>pass</v>
      </c>
      <c r="L99" s="19" t="str">
        <f>IFERROR(IF(AND(MATCH(A99,Projection_classes,0),YEAR(current_date)='Example - Projections'!B99),"pass","fail"),"")</f>
        <v/>
      </c>
    </row>
    <row r="100" spans="1:12" x14ac:dyDescent="0.25">
      <c r="A100" s="64" t="str">
        <f t="shared" si="10"/>
        <v>Motor PR</v>
      </c>
      <c r="B100" s="63">
        <f t="shared" si="11"/>
        <v>2019</v>
      </c>
      <c r="C100" s="65"/>
      <c r="D100" s="65"/>
      <c r="E100" s="65"/>
      <c r="F100" s="61"/>
      <c r="G100" s="61"/>
      <c r="H100" s="61"/>
      <c r="I100" s="61"/>
      <c r="J100" s="61"/>
      <c r="K100" s="3" t="str">
        <f t="shared" si="9"/>
        <v>pass</v>
      </c>
      <c r="L100" s="19" t="str">
        <f>IFERROR(IF(AND(MATCH(A100,Projection_classes,0),YEAR(current_date)='Example - Projections'!B100),"pass","fail"),"")</f>
        <v/>
      </c>
    </row>
    <row r="101" spans="1:12" x14ac:dyDescent="0.25">
      <c r="A101" s="64" t="str">
        <f t="shared" si="10"/>
        <v>Motor PR</v>
      </c>
      <c r="B101" s="63">
        <f t="shared" si="11"/>
        <v>2020</v>
      </c>
      <c r="C101" s="65"/>
      <c r="D101" s="65"/>
      <c r="E101" s="65"/>
      <c r="F101" s="61"/>
      <c r="G101" s="61"/>
      <c r="H101" s="61"/>
      <c r="I101" s="61"/>
      <c r="J101" s="61"/>
      <c r="K101" s="3" t="str">
        <f t="shared" si="9"/>
        <v>pass</v>
      </c>
      <c r="L101" s="19" t="str">
        <f>IFERROR(IF(AND(MATCH(A101,Projection_classes,0),YEAR(current_date)='Example - Projections'!B101),"pass","fail"),"")</f>
        <v/>
      </c>
    </row>
    <row r="102" spans="1:12" x14ac:dyDescent="0.25">
      <c r="A102" s="64" t="str">
        <f>'Example - Parameters'!C224</f>
        <v>Cyber</v>
      </c>
      <c r="B102" s="63">
        <f>YEAR(triangle_start_date)</f>
        <v>2001</v>
      </c>
      <c r="C102" s="65"/>
      <c r="D102" s="65"/>
      <c r="E102" s="65"/>
      <c r="F102" s="61"/>
      <c r="G102" s="61"/>
      <c r="H102" s="61"/>
      <c r="I102" s="61"/>
      <c r="J102" s="61"/>
      <c r="K102" s="3" t="str">
        <f t="shared" si="9"/>
        <v>pass</v>
      </c>
      <c r="L102" s="19" t="str">
        <f>IFERROR(IF(AND(MATCH(A102,Projection_classes,0),YEAR(current_date)='Example - Projections'!B102),"pass","fail"),"")</f>
        <v/>
      </c>
    </row>
    <row r="103" spans="1:12" x14ac:dyDescent="0.25">
      <c r="A103" s="64" t="str">
        <f t="shared" ref="A103:A121" si="12">A102</f>
        <v>Cyber</v>
      </c>
      <c r="B103" s="63">
        <f t="shared" ref="B103:B121" si="13">B102+1</f>
        <v>2002</v>
      </c>
      <c r="C103" s="65"/>
      <c r="D103" s="65"/>
      <c r="E103" s="65"/>
      <c r="F103" s="61"/>
      <c r="G103" s="61"/>
      <c r="H103" s="61"/>
      <c r="I103" s="61"/>
      <c r="J103" s="61"/>
      <c r="K103" s="3" t="str">
        <f t="shared" si="9"/>
        <v>pass</v>
      </c>
      <c r="L103" s="19" t="str">
        <f>IFERROR(IF(AND(MATCH(A103,Projection_classes,0),YEAR(current_date)='Example - Projections'!B103),"pass","fail"),"")</f>
        <v/>
      </c>
    </row>
    <row r="104" spans="1:12" x14ac:dyDescent="0.25">
      <c r="A104" s="64" t="str">
        <f t="shared" si="12"/>
        <v>Cyber</v>
      </c>
      <c r="B104" s="63">
        <f t="shared" si="13"/>
        <v>2003</v>
      </c>
      <c r="C104" s="65"/>
      <c r="D104" s="65"/>
      <c r="E104" s="65"/>
      <c r="F104" s="61"/>
      <c r="G104" s="61"/>
      <c r="H104" s="61"/>
      <c r="I104" s="61"/>
      <c r="J104" s="61"/>
      <c r="K104" s="3" t="str">
        <f t="shared" si="9"/>
        <v>pass</v>
      </c>
      <c r="L104" s="19" t="str">
        <f>IFERROR(IF(AND(MATCH(A104,Projection_classes,0),YEAR(current_date)='Example - Projections'!B104),"pass","fail"),"")</f>
        <v/>
      </c>
    </row>
    <row r="105" spans="1:12" x14ac:dyDescent="0.25">
      <c r="A105" s="64" t="str">
        <f t="shared" si="12"/>
        <v>Cyber</v>
      </c>
      <c r="B105" s="63">
        <f t="shared" si="13"/>
        <v>2004</v>
      </c>
      <c r="C105" s="65"/>
      <c r="D105" s="65"/>
      <c r="E105" s="65"/>
      <c r="F105" s="61"/>
      <c r="G105" s="61"/>
      <c r="H105" s="61"/>
      <c r="I105" s="61"/>
      <c r="J105" s="61"/>
      <c r="K105" s="3" t="str">
        <f t="shared" si="9"/>
        <v>pass</v>
      </c>
      <c r="L105" s="19" t="str">
        <f>IFERROR(IF(AND(MATCH(A105,Projection_classes,0),YEAR(current_date)='Example - Projections'!B105),"pass","fail"),"")</f>
        <v/>
      </c>
    </row>
    <row r="106" spans="1:12" x14ac:dyDescent="0.25">
      <c r="A106" s="64" t="str">
        <f t="shared" si="12"/>
        <v>Cyber</v>
      </c>
      <c r="B106" s="63">
        <f t="shared" si="13"/>
        <v>2005</v>
      </c>
      <c r="C106" s="65"/>
      <c r="D106" s="65"/>
      <c r="E106" s="65"/>
      <c r="F106" s="61"/>
      <c r="G106" s="61"/>
      <c r="H106" s="61"/>
      <c r="I106" s="61"/>
      <c r="J106" s="61"/>
      <c r="K106" s="3" t="str">
        <f t="shared" si="9"/>
        <v>pass</v>
      </c>
      <c r="L106" s="19" t="str">
        <f>IFERROR(IF(AND(MATCH(A106,Projection_classes,0),YEAR(current_date)='Example - Projections'!B106),"pass","fail"),"")</f>
        <v/>
      </c>
    </row>
    <row r="107" spans="1:12" x14ac:dyDescent="0.25">
      <c r="A107" s="64" t="str">
        <f t="shared" si="12"/>
        <v>Cyber</v>
      </c>
      <c r="B107" s="63">
        <f t="shared" si="13"/>
        <v>2006</v>
      </c>
      <c r="C107" s="65"/>
      <c r="D107" s="65"/>
      <c r="E107" s="65"/>
      <c r="F107" s="61"/>
      <c r="G107" s="61"/>
      <c r="H107" s="61"/>
      <c r="I107" s="61"/>
      <c r="J107" s="61"/>
      <c r="K107" s="3" t="str">
        <f t="shared" si="9"/>
        <v>pass</v>
      </c>
      <c r="L107" s="19" t="str">
        <f>IFERROR(IF(AND(MATCH(A107,Projection_classes,0),YEAR(current_date)='Example - Projections'!B107),"pass","fail"),"")</f>
        <v/>
      </c>
    </row>
    <row r="108" spans="1:12" x14ac:dyDescent="0.25">
      <c r="A108" s="64" t="str">
        <f t="shared" si="12"/>
        <v>Cyber</v>
      </c>
      <c r="B108" s="63">
        <f t="shared" si="13"/>
        <v>2007</v>
      </c>
      <c r="C108" s="65"/>
      <c r="D108" s="65"/>
      <c r="E108" s="65"/>
      <c r="F108" s="61"/>
      <c r="G108" s="61"/>
      <c r="H108" s="61"/>
      <c r="I108" s="61"/>
      <c r="J108" s="61"/>
      <c r="K108" s="3" t="str">
        <f t="shared" si="9"/>
        <v>pass</v>
      </c>
      <c r="L108" s="19" t="str">
        <f>IFERROR(IF(AND(MATCH(A108,Projection_classes,0),YEAR(current_date)='Example - Projections'!B108),"pass","fail"),"")</f>
        <v/>
      </c>
    </row>
    <row r="109" spans="1:12" x14ac:dyDescent="0.25">
      <c r="A109" s="64" t="str">
        <f t="shared" si="12"/>
        <v>Cyber</v>
      </c>
      <c r="B109" s="63">
        <f t="shared" si="13"/>
        <v>2008</v>
      </c>
      <c r="C109" s="65"/>
      <c r="D109" s="65"/>
      <c r="E109" s="65"/>
      <c r="F109" s="61"/>
      <c r="G109" s="61"/>
      <c r="H109" s="61"/>
      <c r="I109" s="61"/>
      <c r="J109" s="61"/>
      <c r="K109" s="3" t="str">
        <f t="shared" si="9"/>
        <v>pass</v>
      </c>
      <c r="L109" s="19" t="str">
        <f>IFERROR(IF(AND(MATCH(A109,Projection_classes,0),YEAR(current_date)='Example - Projections'!B109),"pass","fail"),"")</f>
        <v/>
      </c>
    </row>
    <row r="110" spans="1:12" x14ac:dyDescent="0.25">
      <c r="A110" s="64" t="str">
        <f t="shared" si="12"/>
        <v>Cyber</v>
      </c>
      <c r="B110" s="63">
        <f t="shared" si="13"/>
        <v>2009</v>
      </c>
      <c r="C110" s="65"/>
      <c r="D110" s="65"/>
      <c r="E110" s="65"/>
      <c r="F110" s="61"/>
      <c r="G110" s="61"/>
      <c r="H110" s="61"/>
      <c r="I110" s="61"/>
      <c r="J110" s="61"/>
      <c r="K110" s="3" t="str">
        <f t="shared" si="9"/>
        <v>pass</v>
      </c>
      <c r="L110" s="19" t="str">
        <f>IFERROR(IF(AND(MATCH(A110,Projection_classes,0),YEAR(current_date)='Example - Projections'!B110),"pass","fail"),"")</f>
        <v/>
      </c>
    </row>
    <row r="111" spans="1:12" x14ac:dyDescent="0.25">
      <c r="A111" s="64" t="str">
        <f t="shared" si="12"/>
        <v>Cyber</v>
      </c>
      <c r="B111" s="63">
        <f t="shared" si="13"/>
        <v>2010</v>
      </c>
      <c r="C111" s="65"/>
      <c r="D111" s="65"/>
      <c r="E111" s="65"/>
      <c r="F111" s="61"/>
      <c r="G111" s="61"/>
      <c r="H111" s="61"/>
      <c r="I111" s="61"/>
      <c r="J111" s="61"/>
      <c r="K111" s="3" t="str">
        <f t="shared" si="9"/>
        <v>pass</v>
      </c>
      <c r="L111" s="19" t="str">
        <f>IFERROR(IF(AND(MATCH(A111,Projection_classes,0),YEAR(current_date)='Example - Projections'!B111),"pass","fail"),"")</f>
        <v/>
      </c>
    </row>
    <row r="112" spans="1:12" x14ac:dyDescent="0.25">
      <c r="A112" s="64" t="str">
        <f t="shared" si="12"/>
        <v>Cyber</v>
      </c>
      <c r="B112" s="63">
        <f t="shared" si="13"/>
        <v>2011</v>
      </c>
      <c r="C112" s="65"/>
      <c r="D112" s="65"/>
      <c r="E112" s="65"/>
      <c r="F112" s="61"/>
      <c r="G112" s="61"/>
      <c r="H112" s="61"/>
      <c r="I112" s="61"/>
      <c r="J112" s="61"/>
      <c r="K112" s="3" t="str">
        <f t="shared" si="9"/>
        <v>pass</v>
      </c>
      <c r="L112" s="19" t="str">
        <f>IFERROR(IF(AND(MATCH(A112,Projection_classes,0),YEAR(current_date)='Example - Projections'!B112),"pass","fail"),"")</f>
        <v/>
      </c>
    </row>
    <row r="113" spans="1:12" x14ac:dyDescent="0.25">
      <c r="A113" s="64" t="str">
        <f t="shared" si="12"/>
        <v>Cyber</v>
      </c>
      <c r="B113" s="63">
        <f t="shared" si="13"/>
        <v>2012</v>
      </c>
      <c r="C113" s="65"/>
      <c r="D113" s="65"/>
      <c r="E113" s="65"/>
      <c r="F113" s="61"/>
      <c r="G113" s="61"/>
      <c r="H113" s="61"/>
      <c r="I113" s="61"/>
      <c r="J113" s="61"/>
      <c r="K113" s="3" t="str">
        <f t="shared" si="9"/>
        <v>pass</v>
      </c>
      <c r="L113" s="19" t="str">
        <f>IFERROR(IF(AND(MATCH(A113,Projection_classes,0),YEAR(current_date)='Example - Projections'!B113),"pass","fail"),"")</f>
        <v/>
      </c>
    </row>
    <row r="114" spans="1:12" x14ac:dyDescent="0.25">
      <c r="A114" s="64" t="str">
        <f t="shared" si="12"/>
        <v>Cyber</v>
      </c>
      <c r="B114" s="63">
        <f t="shared" si="13"/>
        <v>2013</v>
      </c>
      <c r="C114" s="65"/>
      <c r="D114" s="65"/>
      <c r="E114" s="65"/>
      <c r="F114" s="61"/>
      <c r="G114" s="61"/>
      <c r="H114" s="61"/>
      <c r="I114" s="61"/>
      <c r="J114" s="61"/>
      <c r="K114" s="3" t="str">
        <f t="shared" si="9"/>
        <v>pass</v>
      </c>
      <c r="L114" s="19" t="str">
        <f>IFERROR(IF(AND(MATCH(A114,Projection_classes,0),YEAR(current_date)='Example - Projections'!B114),"pass","fail"),"")</f>
        <v/>
      </c>
    </row>
    <row r="115" spans="1:12" x14ac:dyDescent="0.25">
      <c r="A115" s="64" t="str">
        <f t="shared" si="12"/>
        <v>Cyber</v>
      </c>
      <c r="B115" s="63">
        <f t="shared" si="13"/>
        <v>2014</v>
      </c>
      <c r="C115" s="65"/>
      <c r="D115" s="65"/>
      <c r="E115" s="65"/>
      <c r="F115" s="61"/>
      <c r="G115" s="61"/>
      <c r="H115" s="61"/>
      <c r="I115" s="61"/>
      <c r="J115" s="61"/>
      <c r="K115" s="3" t="str">
        <f t="shared" si="9"/>
        <v>pass</v>
      </c>
      <c r="L115" s="19" t="str">
        <f>IFERROR(IF(AND(MATCH(A115,Projection_classes,0),YEAR(current_date)='Example - Projections'!B115),"pass","fail"),"")</f>
        <v/>
      </c>
    </row>
    <row r="116" spans="1:12" x14ac:dyDescent="0.25">
      <c r="A116" s="64" t="str">
        <f t="shared" si="12"/>
        <v>Cyber</v>
      </c>
      <c r="B116" s="63">
        <f t="shared" si="13"/>
        <v>2015</v>
      </c>
      <c r="C116" s="65"/>
      <c r="D116" s="65"/>
      <c r="E116" s="65"/>
      <c r="F116" s="61"/>
      <c r="G116" s="61"/>
      <c r="H116" s="61"/>
      <c r="I116" s="61"/>
      <c r="J116" s="61"/>
      <c r="K116" s="3" t="str">
        <f t="shared" si="9"/>
        <v>pass</v>
      </c>
      <c r="L116" s="19" t="str">
        <f>IFERROR(IF(AND(MATCH(A116,Projection_classes,0),YEAR(current_date)='Example - Projections'!B116),"pass","fail"),"")</f>
        <v/>
      </c>
    </row>
    <row r="117" spans="1:12" x14ac:dyDescent="0.25">
      <c r="A117" s="64" t="str">
        <f t="shared" si="12"/>
        <v>Cyber</v>
      </c>
      <c r="B117" s="63">
        <f t="shared" si="13"/>
        <v>2016</v>
      </c>
      <c r="C117" s="65"/>
      <c r="D117" s="65"/>
      <c r="E117" s="65"/>
      <c r="F117" s="61"/>
      <c r="G117" s="61"/>
      <c r="H117" s="61"/>
      <c r="I117" s="61"/>
      <c r="J117" s="61"/>
      <c r="K117" s="3" t="str">
        <f t="shared" si="9"/>
        <v>pass</v>
      </c>
      <c r="L117" s="19" t="str">
        <f>IFERROR(IF(AND(MATCH(A117,Projection_classes,0),YEAR(current_date)='Example - Projections'!B117),"pass","fail"),"")</f>
        <v/>
      </c>
    </row>
    <row r="118" spans="1:12" x14ac:dyDescent="0.25">
      <c r="A118" s="64" t="str">
        <f t="shared" si="12"/>
        <v>Cyber</v>
      </c>
      <c r="B118" s="63">
        <f t="shared" si="13"/>
        <v>2017</v>
      </c>
      <c r="C118" s="65"/>
      <c r="D118" s="65"/>
      <c r="E118" s="65"/>
      <c r="F118" s="61"/>
      <c r="G118" s="61"/>
      <c r="H118" s="61"/>
      <c r="I118" s="61"/>
      <c r="J118" s="61"/>
      <c r="K118" s="3" t="str">
        <f t="shared" si="9"/>
        <v>pass</v>
      </c>
      <c r="L118" s="19" t="str">
        <f>IFERROR(IF(AND(MATCH(A118,Projection_classes,0),YEAR(current_date)='Example - Projections'!B118),"pass","fail"),"")</f>
        <v/>
      </c>
    </row>
    <row r="119" spans="1:12" x14ac:dyDescent="0.25">
      <c r="A119" s="64" t="str">
        <f t="shared" si="12"/>
        <v>Cyber</v>
      </c>
      <c r="B119" s="63">
        <f t="shared" si="13"/>
        <v>2018</v>
      </c>
      <c r="C119" s="65"/>
      <c r="D119" s="65"/>
      <c r="E119" s="65"/>
      <c r="F119" s="61"/>
      <c r="G119" s="61"/>
      <c r="H119" s="61"/>
      <c r="I119" s="61"/>
      <c r="J119" s="61"/>
      <c r="K119" s="3" t="str">
        <f t="shared" si="9"/>
        <v>pass</v>
      </c>
      <c r="L119" s="19" t="str">
        <f>IFERROR(IF(AND(MATCH(A119,Projection_classes,0),YEAR(current_date)='Example - Projections'!B119),"pass","fail"),"")</f>
        <v/>
      </c>
    </row>
    <row r="120" spans="1:12" x14ac:dyDescent="0.25">
      <c r="A120" s="64" t="str">
        <f t="shared" si="12"/>
        <v>Cyber</v>
      </c>
      <c r="B120" s="63">
        <f t="shared" si="13"/>
        <v>2019</v>
      </c>
      <c r="C120" s="65"/>
      <c r="D120" s="65"/>
      <c r="E120" s="65"/>
      <c r="F120" s="61"/>
      <c r="G120" s="61"/>
      <c r="H120" s="61"/>
      <c r="I120" s="61"/>
      <c r="J120" s="61"/>
      <c r="K120" s="3" t="str">
        <f t="shared" si="9"/>
        <v>pass</v>
      </c>
      <c r="L120" s="19" t="str">
        <f>IFERROR(IF(AND(MATCH(A120,Projection_classes,0),YEAR(current_date)='Example - Projections'!B120),"pass","fail"),"")</f>
        <v/>
      </c>
    </row>
    <row r="121" spans="1:12" x14ac:dyDescent="0.25">
      <c r="A121" s="64" t="str">
        <f t="shared" si="12"/>
        <v>Cyber</v>
      </c>
      <c r="B121" s="63">
        <f t="shared" si="13"/>
        <v>2020</v>
      </c>
      <c r="C121" s="65"/>
      <c r="D121" s="65"/>
      <c r="E121" s="65"/>
      <c r="F121" s="61"/>
      <c r="G121" s="61"/>
      <c r="H121" s="61"/>
      <c r="I121" s="61"/>
      <c r="J121" s="61"/>
      <c r="K121" s="3" t="str">
        <f t="shared" si="9"/>
        <v>pass</v>
      </c>
      <c r="L121" s="19" t="str">
        <f>IFERROR(IF(AND(MATCH(A121,Projection_classes,0),YEAR(current_date)='Example - Projections'!B121),"pass","fail"),"")</f>
        <v/>
      </c>
    </row>
    <row r="122" spans="1:12" x14ac:dyDescent="0.25">
      <c r="A122" s="64"/>
      <c r="B122" s="64"/>
      <c r="C122" s="65"/>
      <c r="D122" s="65"/>
      <c r="E122" s="65"/>
      <c r="F122" s="61"/>
      <c r="G122" s="61"/>
      <c r="H122" s="61"/>
      <c r="I122" s="61"/>
      <c r="J122" s="61"/>
      <c r="K122" s="3" t="str">
        <f t="shared" si="9"/>
        <v>fail</v>
      </c>
      <c r="L122" s="19" t="str">
        <f>IFERROR(IF(AND(MATCH(A122,Projection_classes,0),YEAR(current_date)='Example - Projections'!B122),"pass","fail"),"")</f>
        <v/>
      </c>
    </row>
    <row r="123" spans="1:12" x14ac:dyDescent="0.25">
      <c r="A123" s="64"/>
      <c r="B123" s="64"/>
      <c r="C123" s="65"/>
      <c r="D123" s="65"/>
      <c r="E123" s="65"/>
      <c r="F123" s="61"/>
      <c r="G123" s="61"/>
      <c r="H123" s="61"/>
      <c r="I123" s="61"/>
      <c r="J123" s="61"/>
      <c r="K123" s="3" t="str">
        <f t="shared" si="9"/>
        <v>fail</v>
      </c>
      <c r="L123" s="19" t="str">
        <f>IFERROR(IF(AND(MATCH(A123,Projection_classes,0),YEAR(current_date)='Example - Projections'!B123),"pass","fail"),"")</f>
        <v/>
      </c>
    </row>
    <row r="124" spans="1:12" x14ac:dyDescent="0.25">
      <c r="A124" s="64"/>
      <c r="B124" s="64"/>
      <c r="C124" s="65"/>
      <c r="D124" s="65"/>
      <c r="E124" s="65"/>
      <c r="F124" s="61"/>
      <c r="G124" s="61"/>
      <c r="H124" s="61"/>
      <c r="I124" s="61"/>
      <c r="J124" s="61"/>
      <c r="K124" s="3" t="str">
        <f t="shared" si="9"/>
        <v>fail</v>
      </c>
      <c r="L124" s="19" t="str">
        <f>IFERROR(IF(AND(MATCH(A124,Projection_classes,0),YEAR(current_date)='Example - Projections'!B124),"pass","fail"),"")</f>
        <v/>
      </c>
    </row>
    <row r="125" spans="1:12" x14ac:dyDescent="0.25">
      <c r="A125" s="64"/>
      <c r="B125" s="64"/>
      <c r="C125" s="65"/>
      <c r="D125" s="65"/>
      <c r="E125" s="65"/>
      <c r="F125" s="61"/>
      <c r="G125" s="61"/>
      <c r="H125" s="61"/>
      <c r="I125" s="61"/>
      <c r="J125" s="61"/>
      <c r="K125" s="3" t="str">
        <f t="shared" si="9"/>
        <v>fail</v>
      </c>
      <c r="L125" s="19" t="str">
        <f>IFERROR(IF(AND(MATCH(A125,Projection_classes,0),YEAR(current_date)='Example - Projections'!B125),"pass","fail"),"")</f>
        <v/>
      </c>
    </row>
    <row r="126" spans="1:12" x14ac:dyDescent="0.25">
      <c r="A126" s="64"/>
      <c r="B126" s="64"/>
      <c r="C126" s="65"/>
      <c r="D126" s="65"/>
      <c r="E126" s="65"/>
      <c r="F126" s="61"/>
      <c r="G126" s="61"/>
      <c r="H126" s="61"/>
      <c r="I126" s="61"/>
      <c r="J126" s="61"/>
      <c r="K126" s="3" t="str">
        <f t="shared" si="9"/>
        <v>fail</v>
      </c>
      <c r="L126" s="19" t="str">
        <f>IFERROR(IF(AND(MATCH(A126,Projection_classes,0),YEAR(current_date)='Example - Projections'!B126),"pass","fail"),"")</f>
        <v/>
      </c>
    </row>
    <row r="127" spans="1:12" x14ac:dyDescent="0.25">
      <c r="A127" s="64"/>
      <c r="B127" s="64"/>
      <c r="C127" s="65"/>
      <c r="D127" s="65"/>
      <c r="E127" s="65"/>
      <c r="F127" s="61"/>
      <c r="G127" s="61"/>
      <c r="H127" s="61"/>
      <c r="I127" s="61"/>
      <c r="J127" s="61"/>
      <c r="K127" s="3" t="str">
        <f t="shared" si="9"/>
        <v>fail</v>
      </c>
      <c r="L127" s="19" t="str">
        <f>IFERROR(IF(AND(MATCH(A127,Projection_classes,0),YEAR(current_date)='Example - Projections'!B127),"pass","fail"),"")</f>
        <v/>
      </c>
    </row>
    <row r="128" spans="1:12" x14ac:dyDescent="0.25">
      <c r="A128" s="64"/>
      <c r="B128" s="64"/>
      <c r="C128" s="65"/>
      <c r="D128" s="65"/>
      <c r="E128" s="65"/>
      <c r="F128" s="61"/>
      <c r="G128" s="61"/>
      <c r="H128" s="61"/>
      <c r="I128" s="61"/>
      <c r="J128" s="61"/>
      <c r="K128" s="3" t="str">
        <f t="shared" si="9"/>
        <v>fail</v>
      </c>
      <c r="L128" s="19" t="str">
        <f>IFERROR(IF(AND(MATCH(A128,Projection_classes,0),YEAR(current_date)='Example - Projections'!B128),"pass","fail"),"")</f>
        <v/>
      </c>
    </row>
    <row r="129" spans="1:12" x14ac:dyDescent="0.25">
      <c r="A129" s="64"/>
      <c r="B129" s="64"/>
      <c r="C129" s="65"/>
      <c r="D129" s="65"/>
      <c r="E129" s="65"/>
      <c r="F129" s="61"/>
      <c r="G129" s="61"/>
      <c r="H129" s="61"/>
      <c r="I129" s="61"/>
      <c r="J129" s="61"/>
      <c r="K129" s="3" t="str">
        <f t="shared" si="9"/>
        <v>fail</v>
      </c>
      <c r="L129" s="19" t="str">
        <f>IFERROR(IF(AND(MATCH(A129,Projection_classes,0),YEAR(current_date)='Example - Projections'!B129),"pass","fail"),"")</f>
        <v/>
      </c>
    </row>
    <row r="130" spans="1:12" x14ac:dyDescent="0.25">
      <c r="A130" s="64"/>
      <c r="B130" s="64"/>
      <c r="C130" s="65"/>
      <c r="D130" s="65"/>
      <c r="E130" s="65"/>
      <c r="F130" s="61"/>
      <c r="G130" s="61"/>
      <c r="H130" s="61"/>
      <c r="I130" s="61"/>
      <c r="J130" s="61"/>
      <c r="K130" s="3" t="str">
        <f t="shared" ref="K130:K193" si="14">IF(OR(B130&lt;$N$1,B130&gt;$P$1),"fail","pass")</f>
        <v>fail</v>
      </c>
      <c r="L130" s="19" t="str">
        <f>IFERROR(IF(AND(MATCH(A130,Projection_classes,0),YEAR(current_date)='Example - Projections'!B130),"pass","fail"),"")</f>
        <v/>
      </c>
    </row>
    <row r="131" spans="1:12" x14ac:dyDescent="0.25">
      <c r="A131" s="64"/>
      <c r="B131" s="64"/>
      <c r="C131" s="65"/>
      <c r="D131" s="65"/>
      <c r="E131" s="65"/>
      <c r="F131" s="61"/>
      <c r="G131" s="61"/>
      <c r="H131" s="61"/>
      <c r="I131" s="61"/>
      <c r="J131" s="61"/>
      <c r="K131" s="3" t="str">
        <f t="shared" si="14"/>
        <v>fail</v>
      </c>
      <c r="L131" s="19" t="str">
        <f>IFERROR(IF(AND(MATCH(A131,Projection_classes,0),YEAR(current_date)='Example - Projections'!B131),"pass","fail"),"")</f>
        <v/>
      </c>
    </row>
    <row r="132" spans="1:12" x14ac:dyDescent="0.25">
      <c r="A132" s="64"/>
      <c r="B132" s="64"/>
      <c r="C132" s="65"/>
      <c r="D132" s="65"/>
      <c r="E132" s="65"/>
      <c r="F132" s="61"/>
      <c r="G132" s="61"/>
      <c r="H132" s="61"/>
      <c r="I132" s="61"/>
      <c r="J132" s="61"/>
      <c r="K132" s="3" t="str">
        <f t="shared" si="14"/>
        <v>fail</v>
      </c>
      <c r="L132" s="19" t="str">
        <f>IFERROR(IF(AND(MATCH(A132,Projection_classes,0),YEAR(current_date)='Example - Projections'!B132),"pass","fail"),"")</f>
        <v/>
      </c>
    </row>
    <row r="133" spans="1:12" x14ac:dyDescent="0.25">
      <c r="A133" s="64"/>
      <c r="B133" s="64"/>
      <c r="C133" s="65"/>
      <c r="D133" s="65"/>
      <c r="E133" s="65"/>
      <c r="F133" s="61"/>
      <c r="G133" s="61"/>
      <c r="H133" s="61"/>
      <c r="I133" s="61"/>
      <c r="J133" s="61"/>
      <c r="K133" s="3" t="str">
        <f t="shared" si="14"/>
        <v>fail</v>
      </c>
      <c r="L133" s="19" t="str">
        <f>IFERROR(IF(AND(MATCH(A133,Projection_classes,0),YEAR(current_date)='Example - Projections'!B133),"pass","fail"),"")</f>
        <v/>
      </c>
    </row>
    <row r="134" spans="1:12" x14ac:dyDescent="0.25">
      <c r="A134" s="64"/>
      <c r="B134" s="64"/>
      <c r="C134" s="65"/>
      <c r="D134" s="65"/>
      <c r="E134" s="65"/>
      <c r="F134" s="61"/>
      <c r="G134" s="61"/>
      <c r="H134" s="61"/>
      <c r="I134" s="61"/>
      <c r="J134" s="61"/>
      <c r="K134" s="3" t="str">
        <f t="shared" si="14"/>
        <v>fail</v>
      </c>
      <c r="L134" s="19" t="str">
        <f>IFERROR(IF(AND(MATCH(A134,Projection_classes,0),YEAR(current_date)='Example - Projections'!B134),"pass","fail"),"")</f>
        <v/>
      </c>
    </row>
    <row r="135" spans="1:12" x14ac:dyDescent="0.25">
      <c r="A135" s="64"/>
      <c r="B135" s="64"/>
      <c r="C135" s="65"/>
      <c r="D135" s="65"/>
      <c r="E135" s="65"/>
      <c r="F135" s="61"/>
      <c r="G135" s="61"/>
      <c r="H135" s="61"/>
      <c r="I135" s="61"/>
      <c r="J135" s="61"/>
      <c r="K135" s="3" t="str">
        <f t="shared" si="14"/>
        <v>fail</v>
      </c>
      <c r="L135" s="19" t="str">
        <f>IFERROR(IF(AND(MATCH(A135,Projection_classes,0),YEAR(current_date)='Example - Projections'!B135),"pass","fail"),"")</f>
        <v/>
      </c>
    </row>
    <row r="136" spans="1:12" x14ac:dyDescent="0.25">
      <c r="A136" s="64"/>
      <c r="B136" s="64"/>
      <c r="C136" s="65"/>
      <c r="D136" s="65"/>
      <c r="E136" s="65"/>
      <c r="F136" s="61"/>
      <c r="G136" s="61"/>
      <c r="H136" s="61"/>
      <c r="I136" s="61"/>
      <c r="J136" s="61"/>
      <c r="K136" s="3" t="str">
        <f t="shared" si="14"/>
        <v>fail</v>
      </c>
      <c r="L136" s="19" t="str">
        <f>IFERROR(IF(AND(MATCH(A136,Projection_classes,0),YEAR(current_date)='Example - Projections'!B136),"pass","fail"),"")</f>
        <v/>
      </c>
    </row>
    <row r="137" spans="1:12" x14ac:dyDescent="0.25">
      <c r="A137" s="64"/>
      <c r="B137" s="64"/>
      <c r="C137" s="65"/>
      <c r="D137" s="65"/>
      <c r="E137" s="65"/>
      <c r="F137" s="61"/>
      <c r="G137" s="61"/>
      <c r="H137" s="61"/>
      <c r="I137" s="61"/>
      <c r="J137" s="61"/>
      <c r="K137" s="3" t="str">
        <f t="shared" si="14"/>
        <v>fail</v>
      </c>
      <c r="L137" s="19" t="str">
        <f>IFERROR(IF(AND(MATCH(A137,Projection_classes,0),YEAR(current_date)='Example - Projections'!B137),"pass","fail"),"")</f>
        <v/>
      </c>
    </row>
    <row r="138" spans="1:12" x14ac:dyDescent="0.25">
      <c r="A138" s="64"/>
      <c r="B138" s="64"/>
      <c r="C138" s="65"/>
      <c r="D138" s="65"/>
      <c r="E138" s="65"/>
      <c r="F138" s="61"/>
      <c r="G138" s="61"/>
      <c r="H138" s="61"/>
      <c r="I138" s="61"/>
      <c r="J138" s="61"/>
      <c r="K138" s="3" t="str">
        <f t="shared" si="14"/>
        <v>fail</v>
      </c>
      <c r="L138" s="19" t="str">
        <f>IFERROR(IF(AND(MATCH(A138,Projection_classes,0),YEAR(current_date)='Example - Projections'!B138),"pass","fail"),"")</f>
        <v/>
      </c>
    </row>
    <row r="139" spans="1:12" x14ac:dyDescent="0.25">
      <c r="A139" s="64"/>
      <c r="B139" s="64"/>
      <c r="C139" s="65"/>
      <c r="D139" s="65"/>
      <c r="E139" s="65"/>
      <c r="F139" s="61"/>
      <c r="G139" s="61"/>
      <c r="H139" s="61"/>
      <c r="I139" s="61"/>
      <c r="J139" s="61"/>
      <c r="K139" s="3" t="str">
        <f t="shared" si="14"/>
        <v>fail</v>
      </c>
      <c r="L139" s="19" t="str">
        <f>IFERROR(IF(AND(MATCH(A139,Projection_classes,0),YEAR(current_date)='Example - Projections'!B139),"pass","fail"),"")</f>
        <v/>
      </c>
    </row>
    <row r="140" spans="1:12" x14ac:dyDescent="0.25">
      <c r="A140" s="64"/>
      <c r="B140" s="64"/>
      <c r="C140" s="65"/>
      <c r="D140" s="65"/>
      <c r="E140" s="65"/>
      <c r="F140" s="61"/>
      <c r="G140" s="61"/>
      <c r="H140" s="61"/>
      <c r="I140" s="61"/>
      <c r="J140" s="61"/>
      <c r="K140" s="3" t="str">
        <f t="shared" si="14"/>
        <v>fail</v>
      </c>
      <c r="L140" s="19" t="str">
        <f>IFERROR(IF(AND(MATCH(A140,Projection_classes,0),YEAR(current_date)='Example - Projections'!B140),"pass","fail"),"")</f>
        <v/>
      </c>
    </row>
    <row r="141" spans="1:12" x14ac:dyDescent="0.25">
      <c r="A141" s="64"/>
      <c r="B141" s="64"/>
      <c r="C141" s="65"/>
      <c r="D141" s="65"/>
      <c r="E141" s="65"/>
      <c r="F141" s="61"/>
      <c r="G141" s="61"/>
      <c r="H141" s="61"/>
      <c r="I141" s="61"/>
      <c r="J141" s="61"/>
      <c r="K141" s="3" t="str">
        <f t="shared" si="14"/>
        <v>fail</v>
      </c>
      <c r="L141" s="19" t="str">
        <f>IFERROR(IF(AND(MATCH(A141,Projection_classes,0),YEAR(current_date)='Example - Projections'!B141),"pass","fail"),"")</f>
        <v/>
      </c>
    </row>
    <row r="142" spans="1:12" x14ac:dyDescent="0.25">
      <c r="A142" s="64"/>
      <c r="B142" s="64"/>
      <c r="C142" s="65"/>
      <c r="D142" s="65"/>
      <c r="E142" s="65"/>
      <c r="F142" s="61"/>
      <c r="G142" s="61"/>
      <c r="H142" s="61"/>
      <c r="I142" s="61"/>
      <c r="J142" s="61"/>
      <c r="K142" s="3" t="str">
        <f t="shared" si="14"/>
        <v>fail</v>
      </c>
      <c r="L142" s="19" t="str">
        <f>IFERROR(IF(AND(MATCH(A142,Projection_classes,0),YEAR(current_date)='Example - Projections'!B142),"pass","fail"),"")</f>
        <v/>
      </c>
    </row>
    <row r="143" spans="1:12" x14ac:dyDescent="0.25">
      <c r="A143" s="64"/>
      <c r="B143" s="64"/>
      <c r="C143" s="65"/>
      <c r="D143" s="65"/>
      <c r="E143" s="65"/>
      <c r="F143" s="61"/>
      <c r="G143" s="61"/>
      <c r="H143" s="61"/>
      <c r="I143" s="61"/>
      <c r="J143" s="61"/>
      <c r="K143" s="3" t="str">
        <f t="shared" si="14"/>
        <v>fail</v>
      </c>
      <c r="L143" s="19" t="str">
        <f>IFERROR(IF(AND(MATCH(A143,Projection_classes,0),YEAR(current_date)='Example - Projections'!B143),"pass","fail"),"")</f>
        <v/>
      </c>
    </row>
    <row r="144" spans="1:12" x14ac:dyDescent="0.25">
      <c r="A144" s="64"/>
      <c r="B144" s="64"/>
      <c r="C144" s="65"/>
      <c r="D144" s="65"/>
      <c r="E144" s="65"/>
      <c r="F144" s="61"/>
      <c r="G144" s="61"/>
      <c r="H144" s="61"/>
      <c r="I144" s="61"/>
      <c r="J144" s="61"/>
      <c r="K144" s="3" t="str">
        <f t="shared" si="14"/>
        <v>fail</v>
      </c>
      <c r="L144" s="19" t="str">
        <f>IFERROR(IF(AND(MATCH(A144,Projection_classes,0),YEAR(current_date)='Example - Projections'!B144),"pass","fail"),"")</f>
        <v/>
      </c>
    </row>
    <row r="145" spans="1:12" x14ac:dyDescent="0.25">
      <c r="A145" s="64"/>
      <c r="B145" s="64"/>
      <c r="C145" s="65"/>
      <c r="D145" s="65"/>
      <c r="E145" s="65"/>
      <c r="F145" s="61"/>
      <c r="G145" s="61"/>
      <c r="H145" s="61"/>
      <c r="I145" s="61"/>
      <c r="J145" s="61"/>
      <c r="K145" s="3" t="str">
        <f t="shared" si="14"/>
        <v>fail</v>
      </c>
      <c r="L145" s="19" t="str">
        <f>IFERROR(IF(AND(MATCH(A145,Projection_classes,0),YEAR(current_date)='Example - Projections'!B145),"pass","fail"),"")</f>
        <v/>
      </c>
    </row>
    <row r="146" spans="1:12" x14ac:dyDescent="0.25">
      <c r="A146" s="64"/>
      <c r="B146" s="64"/>
      <c r="C146" s="65"/>
      <c r="D146" s="65"/>
      <c r="E146" s="65"/>
      <c r="F146" s="61"/>
      <c r="G146" s="61"/>
      <c r="H146" s="61"/>
      <c r="I146" s="61"/>
      <c r="J146" s="61"/>
      <c r="K146" s="3" t="str">
        <f t="shared" si="14"/>
        <v>fail</v>
      </c>
      <c r="L146" s="19" t="str">
        <f>IFERROR(IF(AND(MATCH(A146,Projection_classes,0),YEAR(current_date)='Example - Projections'!B146),"pass","fail"),"")</f>
        <v/>
      </c>
    </row>
    <row r="147" spans="1:12" x14ac:dyDescent="0.25">
      <c r="A147" s="64"/>
      <c r="B147" s="64"/>
      <c r="C147" s="65"/>
      <c r="D147" s="65"/>
      <c r="E147" s="65"/>
      <c r="F147" s="61"/>
      <c r="G147" s="61"/>
      <c r="H147" s="61"/>
      <c r="I147" s="61"/>
      <c r="J147" s="61"/>
      <c r="K147" s="3" t="str">
        <f t="shared" si="14"/>
        <v>fail</v>
      </c>
      <c r="L147" s="19" t="str">
        <f>IFERROR(IF(AND(MATCH(A147,Projection_classes,0),YEAR(current_date)='Example - Projections'!B147),"pass","fail"),"")</f>
        <v/>
      </c>
    </row>
    <row r="148" spans="1:12" x14ac:dyDescent="0.25">
      <c r="A148" s="64"/>
      <c r="B148" s="64"/>
      <c r="C148" s="65"/>
      <c r="D148" s="65"/>
      <c r="E148" s="65"/>
      <c r="F148" s="61"/>
      <c r="G148" s="61"/>
      <c r="H148" s="61"/>
      <c r="I148" s="61"/>
      <c r="J148" s="61"/>
      <c r="K148" s="3" t="str">
        <f t="shared" si="14"/>
        <v>fail</v>
      </c>
      <c r="L148" s="19" t="str">
        <f>IFERROR(IF(AND(MATCH(A148,Projection_classes,0),YEAR(current_date)='Example - Projections'!B148),"pass","fail"),"")</f>
        <v/>
      </c>
    </row>
    <row r="149" spans="1:12" x14ac:dyDescent="0.25">
      <c r="A149" s="64"/>
      <c r="B149" s="64"/>
      <c r="C149" s="65"/>
      <c r="D149" s="65"/>
      <c r="E149" s="65"/>
      <c r="F149" s="61"/>
      <c r="G149" s="61"/>
      <c r="H149" s="61"/>
      <c r="I149" s="61"/>
      <c r="J149" s="61"/>
      <c r="K149" s="3" t="str">
        <f t="shared" si="14"/>
        <v>fail</v>
      </c>
      <c r="L149" s="19" t="str">
        <f>IFERROR(IF(AND(MATCH(A149,Projection_classes,0),YEAR(current_date)='Example - Projections'!B149),"pass","fail"),"")</f>
        <v/>
      </c>
    </row>
    <row r="150" spans="1:12" x14ac:dyDescent="0.25">
      <c r="A150" s="64"/>
      <c r="B150" s="64"/>
      <c r="C150" s="65"/>
      <c r="D150" s="65"/>
      <c r="E150" s="65"/>
      <c r="F150" s="61"/>
      <c r="G150" s="61"/>
      <c r="H150" s="61"/>
      <c r="I150" s="61"/>
      <c r="J150" s="61"/>
      <c r="K150" s="3" t="str">
        <f t="shared" si="14"/>
        <v>fail</v>
      </c>
      <c r="L150" s="19" t="str">
        <f>IFERROR(IF(AND(MATCH(A150,Projection_classes,0),YEAR(current_date)='Example - Projections'!B150),"pass","fail"),"")</f>
        <v/>
      </c>
    </row>
    <row r="151" spans="1:12" x14ac:dyDescent="0.25">
      <c r="A151" s="64"/>
      <c r="B151" s="64"/>
      <c r="C151" s="65"/>
      <c r="D151" s="65"/>
      <c r="E151" s="65"/>
      <c r="F151" s="61"/>
      <c r="G151" s="61"/>
      <c r="H151" s="61"/>
      <c r="I151" s="61"/>
      <c r="J151" s="61"/>
      <c r="K151" s="3" t="str">
        <f t="shared" si="14"/>
        <v>fail</v>
      </c>
      <c r="L151" s="19" t="str">
        <f>IFERROR(IF(AND(MATCH(A151,Projection_classes,0),YEAR(current_date)='Example - Projections'!B151),"pass","fail"),"")</f>
        <v/>
      </c>
    </row>
    <row r="152" spans="1:12" x14ac:dyDescent="0.25">
      <c r="A152" s="64"/>
      <c r="B152" s="64"/>
      <c r="C152" s="65"/>
      <c r="D152" s="65"/>
      <c r="E152" s="65"/>
      <c r="F152" s="61"/>
      <c r="G152" s="61"/>
      <c r="H152" s="61"/>
      <c r="I152" s="61"/>
      <c r="J152" s="61"/>
      <c r="K152" s="3" t="str">
        <f t="shared" si="14"/>
        <v>fail</v>
      </c>
      <c r="L152" s="19" t="str">
        <f>IFERROR(IF(AND(MATCH(A152,Projection_classes,0),YEAR(current_date)='Example - Projections'!B152),"pass","fail"),"")</f>
        <v/>
      </c>
    </row>
    <row r="153" spans="1:12" x14ac:dyDescent="0.25">
      <c r="A153" s="64"/>
      <c r="B153" s="64"/>
      <c r="C153" s="65"/>
      <c r="D153" s="65"/>
      <c r="E153" s="65"/>
      <c r="F153" s="61"/>
      <c r="G153" s="61"/>
      <c r="H153" s="61"/>
      <c r="I153" s="61"/>
      <c r="J153" s="61"/>
      <c r="K153" s="3" t="str">
        <f t="shared" si="14"/>
        <v>fail</v>
      </c>
      <c r="L153" s="19" t="str">
        <f>IFERROR(IF(AND(MATCH(A153,Projection_classes,0),YEAR(current_date)='Example - Projections'!B153),"pass","fail"),"")</f>
        <v/>
      </c>
    </row>
    <row r="154" spans="1:12" x14ac:dyDescent="0.25">
      <c r="A154" s="64"/>
      <c r="B154" s="64"/>
      <c r="C154" s="65"/>
      <c r="D154" s="65"/>
      <c r="E154" s="65"/>
      <c r="F154" s="61"/>
      <c r="G154" s="61"/>
      <c r="H154" s="61"/>
      <c r="I154" s="61"/>
      <c r="J154" s="61"/>
      <c r="K154" s="3" t="str">
        <f t="shared" si="14"/>
        <v>fail</v>
      </c>
      <c r="L154" s="19" t="str">
        <f>IFERROR(IF(AND(MATCH(A154,Projection_classes,0),YEAR(current_date)='Example - Projections'!B154),"pass","fail"),"")</f>
        <v/>
      </c>
    </row>
    <row r="155" spans="1:12" x14ac:dyDescent="0.25">
      <c r="A155" s="64"/>
      <c r="B155" s="64"/>
      <c r="C155" s="65"/>
      <c r="D155" s="65"/>
      <c r="E155" s="65"/>
      <c r="F155" s="61"/>
      <c r="G155" s="61"/>
      <c r="H155" s="61"/>
      <c r="I155" s="61"/>
      <c r="J155" s="61"/>
      <c r="K155" s="3" t="str">
        <f t="shared" si="14"/>
        <v>fail</v>
      </c>
      <c r="L155" s="19" t="str">
        <f>IFERROR(IF(AND(MATCH(A155,Projection_classes,0),YEAR(current_date)='Example - Projections'!B155),"pass","fail"),"")</f>
        <v/>
      </c>
    </row>
    <row r="156" spans="1:12" x14ac:dyDescent="0.25">
      <c r="A156" s="64"/>
      <c r="B156" s="64"/>
      <c r="C156" s="65"/>
      <c r="D156" s="65"/>
      <c r="E156" s="65"/>
      <c r="F156" s="61"/>
      <c r="G156" s="61"/>
      <c r="H156" s="61"/>
      <c r="I156" s="61"/>
      <c r="J156" s="61"/>
      <c r="K156" s="3" t="str">
        <f t="shared" si="14"/>
        <v>fail</v>
      </c>
      <c r="L156" s="19" t="str">
        <f>IFERROR(IF(AND(MATCH(A156,Projection_classes,0),YEAR(current_date)='Example - Projections'!B156),"pass","fail"),"")</f>
        <v/>
      </c>
    </row>
    <row r="157" spans="1:12" x14ac:dyDescent="0.25">
      <c r="A157" s="64"/>
      <c r="B157" s="64"/>
      <c r="C157" s="65"/>
      <c r="D157" s="65"/>
      <c r="E157" s="65"/>
      <c r="F157" s="61"/>
      <c r="G157" s="61"/>
      <c r="H157" s="61"/>
      <c r="I157" s="61"/>
      <c r="J157" s="61"/>
      <c r="K157" s="3" t="str">
        <f t="shared" si="14"/>
        <v>fail</v>
      </c>
      <c r="L157" s="19" t="str">
        <f>IFERROR(IF(AND(MATCH(A157,Projection_classes,0),YEAR(current_date)='Example - Projections'!B157),"pass","fail"),"")</f>
        <v/>
      </c>
    </row>
    <row r="158" spans="1:12" x14ac:dyDescent="0.25">
      <c r="A158" s="64"/>
      <c r="B158" s="64"/>
      <c r="C158" s="65"/>
      <c r="D158" s="65"/>
      <c r="E158" s="65"/>
      <c r="F158" s="61"/>
      <c r="G158" s="61"/>
      <c r="H158" s="61"/>
      <c r="I158" s="61"/>
      <c r="J158" s="61"/>
      <c r="K158" s="3" t="str">
        <f t="shared" si="14"/>
        <v>fail</v>
      </c>
      <c r="L158" s="19" t="str">
        <f>IFERROR(IF(AND(MATCH(A158,Projection_classes,0),YEAR(current_date)='Example - Projections'!B158),"pass","fail"),"")</f>
        <v/>
      </c>
    </row>
    <row r="159" spans="1:12" x14ac:dyDescent="0.25">
      <c r="A159" s="64"/>
      <c r="B159" s="64"/>
      <c r="C159" s="65"/>
      <c r="D159" s="65"/>
      <c r="E159" s="65"/>
      <c r="F159" s="61"/>
      <c r="G159" s="61"/>
      <c r="H159" s="61"/>
      <c r="I159" s="61"/>
      <c r="J159" s="61"/>
      <c r="K159" s="3" t="str">
        <f t="shared" si="14"/>
        <v>fail</v>
      </c>
      <c r="L159" s="19" t="str">
        <f>IFERROR(IF(AND(MATCH(A159,Projection_classes,0),YEAR(current_date)='Example - Projections'!B159),"pass","fail"),"")</f>
        <v/>
      </c>
    </row>
    <row r="160" spans="1:12" x14ac:dyDescent="0.25">
      <c r="A160" s="64"/>
      <c r="B160" s="64"/>
      <c r="C160" s="65"/>
      <c r="D160" s="65"/>
      <c r="E160" s="65"/>
      <c r="F160" s="61"/>
      <c r="G160" s="61"/>
      <c r="H160" s="61"/>
      <c r="I160" s="61"/>
      <c r="J160" s="61"/>
      <c r="K160" s="3" t="str">
        <f t="shared" si="14"/>
        <v>fail</v>
      </c>
      <c r="L160" s="19" t="str">
        <f>IFERROR(IF(AND(MATCH(A160,Projection_classes,0),YEAR(current_date)='Example - Projections'!B160),"pass","fail"),"")</f>
        <v/>
      </c>
    </row>
    <row r="161" spans="1:12" x14ac:dyDescent="0.25">
      <c r="A161" s="64"/>
      <c r="B161" s="64"/>
      <c r="C161" s="65"/>
      <c r="D161" s="65"/>
      <c r="E161" s="65"/>
      <c r="F161" s="61"/>
      <c r="G161" s="61"/>
      <c r="H161" s="61"/>
      <c r="I161" s="61"/>
      <c r="J161" s="61"/>
      <c r="K161" s="3" t="str">
        <f t="shared" si="14"/>
        <v>fail</v>
      </c>
      <c r="L161" s="19" t="str">
        <f>IFERROR(IF(AND(MATCH(A161,Projection_classes,0),YEAR(current_date)='Example - Projections'!B161),"pass","fail"),"")</f>
        <v/>
      </c>
    </row>
    <row r="162" spans="1:12" x14ac:dyDescent="0.25">
      <c r="A162" s="64"/>
      <c r="B162" s="64"/>
      <c r="C162" s="65"/>
      <c r="D162" s="65"/>
      <c r="E162" s="65"/>
      <c r="F162" s="61"/>
      <c r="G162" s="61"/>
      <c r="H162" s="61"/>
      <c r="I162" s="61"/>
      <c r="J162" s="61"/>
      <c r="K162" s="3" t="str">
        <f t="shared" si="14"/>
        <v>fail</v>
      </c>
      <c r="L162" s="19" t="str">
        <f>IFERROR(IF(AND(MATCH(A162,Projection_classes,0),YEAR(current_date)='Example - Projections'!B162),"pass","fail"),"")</f>
        <v/>
      </c>
    </row>
    <row r="163" spans="1:12" x14ac:dyDescent="0.25">
      <c r="A163" s="64"/>
      <c r="B163" s="64"/>
      <c r="C163" s="65"/>
      <c r="D163" s="65"/>
      <c r="E163" s="65"/>
      <c r="F163" s="61"/>
      <c r="G163" s="61"/>
      <c r="H163" s="61"/>
      <c r="I163" s="61"/>
      <c r="J163" s="61"/>
      <c r="K163" s="3" t="str">
        <f t="shared" si="14"/>
        <v>fail</v>
      </c>
      <c r="L163" s="19" t="str">
        <f>IFERROR(IF(AND(MATCH(A163,Projection_classes,0),YEAR(current_date)='Example - Projections'!B163),"pass","fail"),"")</f>
        <v/>
      </c>
    </row>
    <row r="164" spans="1:12" x14ac:dyDescent="0.25">
      <c r="A164" s="64"/>
      <c r="B164" s="64"/>
      <c r="C164" s="65"/>
      <c r="D164" s="65"/>
      <c r="E164" s="65"/>
      <c r="F164" s="61"/>
      <c r="G164" s="61"/>
      <c r="H164" s="61"/>
      <c r="I164" s="61"/>
      <c r="J164" s="61"/>
      <c r="K164" s="3" t="str">
        <f t="shared" si="14"/>
        <v>fail</v>
      </c>
      <c r="L164" s="19" t="str">
        <f>IFERROR(IF(AND(MATCH(A164,Projection_classes,0),YEAR(current_date)='Example - Projections'!B164),"pass","fail"),"")</f>
        <v/>
      </c>
    </row>
    <row r="165" spans="1:12" x14ac:dyDescent="0.25">
      <c r="A165" s="64"/>
      <c r="B165" s="64"/>
      <c r="C165" s="65"/>
      <c r="D165" s="65"/>
      <c r="E165" s="65"/>
      <c r="F165" s="61"/>
      <c r="G165" s="61"/>
      <c r="H165" s="61"/>
      <c r="I165" s="61"/>
      <c r="J165" s="61"/>
      <c r="K165" s="3" t="str">
        <f t="shared" si="14"/>
        <v>fail</v>
      </c>
      <c r="L165" s="19" t="str">
        <f>IFERROR(IF(AND(MATCH(A165,Projection_classes,0),YEAR(current_date)='Example - Projections'!B165),"pass","fail"),"")</f>
        <v/>
      </c>
    </row>
    <row r="166" spans="1:12" x14ac:dyDescent="0.25">
      <c r="A166" s="64"/>
      <c r="B166" s="64"/>
      <c r="C166" s="65"/>
      <c r="D166" s="65"/>
      <c r="E166" s="65"/>
      <c r="F166" s="61"/>
      <c r="G166" s="61"/>
      <c r="H166" s="61"/>
      <c r="I166" s="61"/>
      <c r="J166" s="61"/>
      <c r="K166" s="3" t="str">
        <f t="shared" si="14"/>
        <v>fail</v>
      </c>
      <c r="L166" s="19" t="str">
        <f>IFERROR(IF(AND(MATCH(A166,Projection_classes,0),YEAR(current_date)='Example - Projections'!B166),"pass","fail"),"")</f>
        <v/>
      </c>
    </row>
    <row r="167" spans="1:12" x14ac:dyDescent="0.25">
      <c r="A167" s="64"/>
      <c r="B167" s="64"/>
      <c r="C167" s="65"/>
      <c r="D167" s="65"/>
      <c r="E167" s="65"/>
      <c r="F167" s="61"/>
      <c r="G167" s="61"/>
      <c r="H167" s="61"/>
      <c r="I167" s="61"/>
      <c r="J167" s="61"/>
      <c r="K167" s="3" t="str">
        <f t="shared" si="14"/>
        <v>fail</v>
      </c>
      <c r="L167" s="19" t="str">
        <f>IFERROR(IF(AND(MATCH(A167,Projection_classes,0),YEAR(current_date)='Example - Projections'!B167),"pass","fail"),"")</f>
        <v/>
      </c>
    </row>
    <row r="168" spans="1:12" x14ac:dyDescent="0.25">
      <c r="A168" s="64"/>
      <c r="B168" s="64"/>
      <c r="C168" s="65"/>
      <c r="D168" s="65"/>
      <c r="E168" s="65"/>
      <c r="F168" s="61"/>
      <c r="G168" s="61"/>
      <c r="H168" s="61"/>
      <c r="I168" s="61"/>
      <c r="J168" s="61"/>
      <c r="K168" s="3" t="str">
        <f t="shared" si="14"/>
        <v>fail</v>
      </c>
      <c r="L168" s="19" t="str">
        <f>IFERROR(IF(AND(MATCH(A168,Projection_classes,0),YEAR(current_date)='Example - Projections'!B168),"pass","fail"),"")</f>
        <v/>
      </c>
    </row>
    <row r="169" spans="1:12" x14ac:dyDescent="0.25">
      <c r="A169" s="64"/>
      <c r="B169" s="64"/>
      <c r="C169" s="65"/>
      <c r="D169" s="65"/>
      <c r="E169" s="65"/>
      <c r="F169" s="61"/>
      <c r="G169" s="61"/>
      <c r="H169" s="61"/>
      <c r="I169" s="61"/>
      <c r="J169" s="61"/>
      <c r="K169" s="3" t="str">
        <f t="shared" si="14"/>
        <v>fail</v>
      </c>
      <c r="L169" s="19" t="str">
        <f>IFERROR(IF(AND(MATCH(A169,Projection_classes,0),YEAR(current_date)='Example - Projections'!B169),"pass","fail"),"")</f>
        <v/>
      </c>
    </row>
    <row r="170" spans="1:12" x14ac:dyDescent="0.25">
      <c r="A170" s="64"/>
      <c r="B170" s="64"/>
      <c r="C170" s="65"/>
      <c r="D170" s="65"/>
      <c r="E170" s="65"/>
      <c r="F170" s="61"/>
      <c r="G170" s="61"/>
      <c r="H170" s="61"/>
      <c r="I170" s="61"/>
      <c r="J170" s="61"/>
      <c r="K170" s="3" t="str">
        <f t="shared" si="14"/>
        <v>fail</v>
      </c>
      <c r="L170" s="19" t="str">
        <f>IFERROR(IF(AND(MATCH(A170,Projection_classes,0),YEAR(current_date)='Example - Projections'!B170),"pass","fail"),"")</f>
        <v/>
      </c>
    </row>
    <row r="171" spans="1:12" x14ac:dyDescent="0.25">
      <c r="A171" s="64"/>
      <c r="B171" s="64"/>
      <c r="C171" s="65"/>
      <c r="D171" s="65"/>
      <c r="E171" s="65"/>
      <c r="F171" s="61"/>
      <c r="G171" s="61"/>
      <c r="H171" s="61"/>
      <c r="I171" s="61"/>
      <c r="J171" s="61"/>
      <c r="K171" s="3" t="str">
        <f t="shared" si="14"/>
        <v>fail</v>
      </c>
      <c r="L171" s="19" t="str">
        <f>IFERROR(IF(AND(MATCH(A171,Projection_classes,0),YEAR(current_date)='Example - Projections'!B171),"pass","fail"),"")</f>
        <v/>
      </c>
    </row>
    <row r="172" spans="1:12" x14ac:dyDescent="0.25">
      <c r="A172" s="64"/>
      <c r="B172" s="64"/>
      <c r="C172" s="65"/>
      <c r="D172" s="65"/>
      <c r="E172" s="65"/>
      <c r="F172" s="61"/>
      <c r="G172" s="61"/>
      <c r="H172" s="61"/>
      <c r="I172" s="61"/>
      <c r="J172" s="61"/>
      <c r="K172" s="3" t="str">
        <f t="shared" si="14"/>
        <v>fail</v>
      </c>
      <c r="L172" s="19" t="str">
        <f>IFERROR(IF(AND(MATCH(A172,Projection_classes,0),YEAR(current_date)='Example - Projections'!B172),"pass","fail"),"")</f>
        <v/>
      </c>
    </row>
    <row r="173" spans="1:12" x14ac:dyDescent="0.25">
      <c r="A173" s="64"/>
      <c r="B173" s="64"/>
      <c r="C173" s="65"/>
      <c r="D173" s="65"/>
      <c r="E173" s="65"/>
      <c r="F173" s="61"/>
      <c r="G173" s="61"/>
      <c r="H173" s="61"/>
      <c r="I173" s="61"/>
      <c r="J173" s="61"/>
      <c r="K173" s="3" t="str">
        <f t="shared" si="14"/>
        <v>fail</v>
      </c>
      <c r="L173" s="19" t="str">
        <f>IFERROR(IF(AND(MATCH(A173,Projection_classes,0),YEAR(current_date)='Example - Projections'!B173),"pass","fail"),"")</f>
        <v/>
      </c>
    </row>
    <row r="174" spans="1:12" x14ac:dyDescent="0.25">
      <c r="A174" s="64"/>
      <c r="B174" s="64"/>
      <c r="C174" s="65"/>
      <c r="D174" s="65"/>
      <c r="E174" s="65"/>
      <c r="F174" s="61"/>
      <c r="G174" s="61"/>
      <c r="H174" s="61"/>
      <c r="I174" s="61"/>
      <c r="J174" s="61"/>
      <c r="K174" s="3" t="str">
        <f t="shared" si="14"/>
        <v>fail</v>
      </c>
      <c r="L174" s="19" t="str">
        <f>IFERROR(IF(AND(MATCH(A174,Projection_classes,0),YEAR(current_date)='Example - Projections'!B174),"pass","fail"),"")</f>
        <v/>
      </c>
    </row>
    <row r="175" spans="1:12" x14ac:dyDescent="0.25">
      <c r="A175" s="64"/>
      <c r="B175" s="64"/>
      <c r="C175" s="65"/>
      <c r="D175" s="65"/>
      <c r="E175" s="65"/>
      <c r="F175" s="61"/>
      <c r="G175" s="61"/>
      <c r="H175" s="61"/>
      <c r="I175" s="61"/>
      <c r="J175" s="61"/>
      <c r="K175" s="3" t="str">
        <f t="shared" si="14"/>
        <v>fail</v>
      </c>
      <c r="L175" s="19" t="str">
        <f>IFERROR(IF(AND(MATCH(A175,Projection_classes,0),YEAR(current_date)='Example - Projections'!B175),"pass","fail"),"")</f>
        <v/>
      </c>
    </row>
    <row r="176" spans="1:12" x14ac:dyDescent="0.25">
      <c r="A176" s="64"/>
      <c r="B176" s="64"/>
      <c r="C176" s="65"/>
      <c r="D176" s="65"/>
      <c r="E176" s="65"/>
      <c r="F176" s="61"/>
      <c r="G176" s="61"/>
      <c r="H176" s="61"/>
      <c r="I176" s="61"/>
      <c r="J176" s="61"/>
      <c r="K176" s="3" t="str">
        <f t="shared" si="14"/>
        <v>fail</v>
      </c>
      <c r="L176" s="19" t="str">
        <f>IFERROR(IF(AND(MATCH(A176,Projection_classes,0),YEAR(current_date)='Example - Projections'!B176),"pass","fail"),"")</f>
        <v/>
      </c>
    </row>
    <row r="177" spans="1:12" x14ac:dyDescent="0.25">
      <c r="A177" s="64"/>
      <c r="B177" s="64"/>
      <c r="C177" s="65"/>
      <c r="D177" s="65"/>
      <c r="E177" s="65"/>
      <c r="F177" s="61"/>
      <c r="G177" s="61"/>
      <c r="H177" s="61"/>
      <c r="I177" s="61"/>
      <c r="J177" s="61"/>
      <c r="K177" s="3" t="str">
        <f t="shared" si="14"/>
        <v>fail</v>
      </c>
      <c r="L177" s="19" t="str">
        <f>IFERROR(IF(AND(MATCH(A177,Projection_classes,0),YEAR(current_date)='Example - Projections'!B177),"pass","fail"),"")</f>
        <v/>
      </c>
    </row>
    <row r="178" spans="1:12" x14ac:dyDescent="0.25">
      <c r="A178" s="64"/>
      <c r="B178" s="64"/>
      <c r="C178" s="65"/>
      <c r="D178" s="65"/>
      <c r="E178" s="65"/>
      <c r="F178" s="61"/>
      <c r="G178" s="61"/>
      <c r="H178" s="61"/>
      <c r="I178" s="61"/>
      <c r="J178" s="61"/>
      <c r="K178" s="3" t="str">
        <f t="shared" si="14"/>
        <v>fail</v>
      </c>
      <c r="L178" s="19" t="str">
        <f>IFERROR(IF(AND(MATCH(A178,Projection_classes,0),YEAR(current_date)='Example - Projections'!B178),"pass","fail"),"")</f>
        <v/>
      </c>
    </row>
    <row r="179" spans="1:12" x14ac:dyDescent="0.25">
      <c r="A179" s="64"/>
      <c r="B179" s="64"/>
      <c r="C179" s="65"/>
      <c r="D179" s="65"/>
      <c r="E179" s="65"/>
      <c r="F179" s="61"/>
      <c r="G179" s="61"/>
      <c r="H179" s="61"/>
      <c r="I179" s="61"/>
      <c r="J179" s="61"/>
      <c r="K179" s="3" t="str">
        <f t="shared" si="14"/>
        <v>fail</v>
      </c>
      <c r="L179" s="19" t="str">
        <f>IFERROR(IF(AND(MATCH(A179,Projection_classes,0),YEAR(current_date)='Example - Projections'!B179),"pass","fail"),"")</f>
        <v/>
      </c>
    </row>
    <row r="180" spans="1:12" x14ac:dyDescent="0.25">
      <c r="A180" s="64"/>
      <c r="B180" s="64"/>
      <c r="C180" s="65"/>
      <c r="D180" s="65"/>
      <c r="E180" s="65"/>
      <c r="F180" s="61"/>
      <c r="G180" s="61"/>
      <c r="H180" s="61"/>
      <c r="I180" s="61"/>
      <c r="J180" s="61"/>
      <c r="K180" s="3" t="str">
        <f t="shared" si="14"/>
        <v>fail</v>
      </c>
      <c r="L180" s="19" t="str">
        <f>IFERROR(IF(AND(MATCH(A180,Projection_classes,0),YEAR(current_date)='Example - Projections'!B180),"pass","fail"),"")</f>
        <v/>
      </c>
    </row>
    <row r="181" spans="1:12" x14ac:dyDescent="0.25">
      <c r="A181" s="64"/>
      <c r="B181" s="64"/>
      <c r="C181" s="65"/>
      <c r="D181" s="65"/>
      <c r="E181" s="65"/>
      <c r="F181" s="61"/>
      <c r="G181" s="61"/>
      <c r="H181" s="61"/>
      <c r="I181" s="61"/>
      <c r="J181" s="61"/>
      <c r="K181" s="3" t="str">
        <f t="shared" si="14"/>
        <v>fail</v>
      </c>
      <c r="L181" s="19" t="str">
        <f>IFERROR(IF(AND(MATCH(A181,Projection_classes,0),YEAR(current_date)='Example - Projections'!B181),"pass","fail"),"")</f>
        <v/>
      </c>
    </row>
    <row r="182" spans="1:12" x14ac:dyDescent="0.25">
      <c r="A182" s="64"/>
      <c r="B182" s="64"/>
      <c r="C182" s="65"/>
      <c r="D182" s="65"/>
      <c r="E182" s="65"/>
      <c r="F182" s="61"/>
      <c r="G182" s="61"/>
      <c r="H182" s="61"/>
      <c r="I182" s="61"/>
      <c r="J182" s="61"/>
      <c r="K182" s="3" t="str">
        <f t="shared" si="14"/>
        <v>fail</v>
      </c>
      <c r="L182" s="19" t="str">
        <f>IFERROR(IF(AND(MATCH(A182,Projection_classes,0),YEAR(current_date)='Example - Projections'!B182),"pass","fail"),"")</f>
        <v/>
      </c>
    </row>
    <row r="183" spans="1:12" x14ac:dyDescent="0.25">
      <c r="A183" s="64"/>
      <c r="B183" s="64"/>
      <c r="C183" s="65"/>
      <c r="D183" s="65"/>
      <c r="E183" s="65"/>
      <c r="F183" s="61"/>
      <c r="G183" s="61"/>
      <c r="H183" s="61"/>
      <c r="I183" s="61"/>
      <c r="J183" s="61"/>
      <c r="K183" s="3" t="str">
        <f t="shared" si="14"/>
        <v>fail</v>
      </c>
      <c r="L183" s="19" t="str">
        <f>IFERROR(IF(AND(MATCH(A183,Projection_classes,0),YEAR(current_date)='Example - Projections'!B183),"pass","fail"),"")</f>
        <v/>
      </c>
    </row>
    <row r="184" spans="1:12" x14ac:dyDescent="0.25">
      <c r="A184" s="64"/>
      <c r="B184" s="64"/>
      <c r="C184" s="65"/>
      <c r="D184" s="65"/>
      <c r="E184" s="65"/>
      <c r="F184" s="61"/>
      <c r="G184" s="61"/>
      <c r="H184" s="61"/>
      <c r="I184" s="61"/>
      <c r="J184" s="61"/>
      <c r="K184" s="3" t="str">
        <f t="shared" si="14"/>
        <v>fail</v>
      </c>
      <c r="L184" s="19" t="str">
        <f>IFERROR(IF(AND(MATCH(A184,Projection_classes,0),YEAR(current_date)='Example - Projections'!B184),"pass","fail"),"")</f>
        <v/>
      </c>
    </row>
    <row r="185" spans="1:12" x14ac:dyDescent="0.25">
      <c r="A185" s="64"/>
      <c r="B185" s="64"/>
      <c r="C185" s="65"/>
      <c r="D185" s="65"/>
      <c r="E185" s="65"/>
      <c r="F185" s="61"/>
      <c r="G185" s="61"/>
      <c r="H185" s="61"/>
      <c r="I185" s="61"/>
      <c r="J185" s="61"/>
      <c r="K185" s="3" t="str">
        <f t="shared" si="14"/>
        <v>fail</v>
      </c>
      <c r="L185" s="19" t="str">
        <f>IFERROR(IF(AND(MATCH(A185,Projection_classes,0),YEAR(current_date)='Example - Projections'!B185),"pass","fail"),"")</f>
        <v/>
      </c>
    </row>
    <row r="186" spans="1:12" x14ac:dyDescent="0.25">
      <c r="A186" s="64"/>
      <c r="B186" s="64"/>
      <c r="C186" s="65"/>
      <c r="D186" s="65"/>
      <c r="E186" s="65"/>
      <c r="F186" s="61"/>
      <c r="G186" s="61"/>
      <c r="H186" s="61"/>
      <c r="I186" s="61"/>
      <c r="J186" s="61"/>
      <c r="K186" s="3" t="str">
        <f t="shared" si="14"/>
        <v>fail</v>
      </c>
      <c r="L186" s="19" t="str">
        <f>IFERROR(IF(AND(MATCH(A186,Projection_classes,0),YEAR(current_date)='Example - Projections'!B186),"pass","fail"),"")</f>
        <v/>
      </c>
    </row>
    <row r="187" spans="1:12" x14ac:dyDescent="0.25">
      <c r="A187" s="64"/>
      <c r="B187" s="64"/>
      <c r="C187" s="65"/>
      <c r="D187" s="65"/>
      <c r="E187" s="65"/>
      <c r="F187" s="61"/>
      <c r="G187" s="61"/>
      <c r="H187" s="61"/>
      <c r="I187" s="61"/>
      <c r="J187" s="61"/>
      <c r="K187" s="3" t="str">
        <f t="shared" si="14"/>
        <v>fail</v>
      </c>
      <c r="L187" s="19" t="str">
        <f>IFERROR(IF(AND(MATCH(A187,Projection_classes,0),YEAR(current_date)='Example - Projections'!B187),"pass","fail"),"")</f>
        <v/>
      </c>
    </row>
    <row r="188" spans="1:12" x14ac:dyDescent="0.25">
      <c r="A188" s="64"/>
      <c r="B188" s="64"/>
      <c r="C188" s="65"/>
      <c r="D188" s="65"/>
      <c r="E188" s="65"/>
      <c r="F188" s="61"/>
      <c r="G188" s="61"/>
      <c r="H188" s="61"/>
      <c r="I188" s="61"/>
      <c r="J188" s="61"/>
      <c r="K188" s="3" t="str">
        <f t="shared" si="14"/>
        <v>fail</v>
      </c>
      <c r="L188" s="19" t="str">
        <f>IFERROR(IF(AND(MATCH(A188,Projection_classes,0),YEAR(current_date)='Example - Projections'!B188),"pass","fail"),"")</f>
        <v/>
      </c>
    </row>
    <row r="189" spans="1:12" x14ac:dyDescent="0.25">
      <c r="A189" s="64"/>
      <c r="B189" s="64"/>
      <c r="C189" s="65"/>
      <c r="D189" s="65"/>
      <c r="E189" s="65"/>
      <c r="F189" s="61"/>
      <c r="G189" s="61"/>
      <c r="H189" s="61"/>
      <c r="I189" s="61"/>
      <c r="J189" s="61"/>
      <c r="K189" s="3" t="str">
        <f t="shared" si="14"/>
        <v>fail</v>
      </c>
      <c r="L189" s="19" t="str">
        <f>IFERROR(IF(AND(MATCH(A189,Projection_classes,0),YEAR(current_date)='Example - Projections'!B189),"pass","fail"),"")</f>
        <v/>
      </c>
    </row>
    <row r="190" spans="1:12" x14ac:dyDescent="0.25">
      <c r="A190" s="64"/>
      <c r="B190" s="64"/>
      <c r="C190" s="65"/>
      <c r="D190" s="65"/>
      <c r="E190" s="65"/>
      <c r="F190" s="61"/>
      <c r="G190" s="61"/>
      <c r="H190" s="61"/>
      <c r="I190" s="61"/>
      <c r="J190" s="61"/>
      <c r="K190" s="3" t="str">
        <f t="shared" si="14"/>
        <v>fail</v>
      </c>
      <c r="L190" s="19" t="str">
        <f>IFERROR(IF(AND(MATCH(A190,Projection_classes,0),YEAR(current_date)='Example - Projections'!B190),"pass","fail"),"")</f>
        <v/>
      </c>
    </row>
    <row r="191" spans="1:12" x14ac:dyDescent="0.25">
      <c r="A191" s="64"/>
      <c r="B191" s="64"/>
      <c r="C191" s="65"/>
      <c r="D191" s="65"/>
      <c r="E191" s="65"/>
      <c r="F191" s="61"/>
      <c r="G191" s="61"/>
      <c r="H191" s="61"/>
      <c r="I191" s="61"/>
      <c r="J191" s="61"/>
      <c r="K191" s="3" t="str">
        <f t="shared" si="14"/>
        <v>fail</v>
      </c>
      <c r="L191" s="19" t="str">
        <f>IFERROR(IF(AND(MATCH(A191,Projection_classes,0),YEAR(current_date)='Example - Projections'!B191),"pass","fail"),"")</f>
        <v/>
      </c>
    </row>
    <row r="192" spans="1:12" x14ac:dyDescent="0.25">
      <c r="A192" s="64"/>
      <c r="B192" s="64"/>
      <c r="C192" s="65"/>
      <c r="D192" s="65"/>
      <c r="E192" s="65"/>
      <c r="F192" s="61"/>
      <c r="G192" s="61"/>
      <c r="H192" s="61"/>
      <c r="I192" s="61"/>
      <c r="J192" s="61"/>
      <c r="K192" s="3" t="str">
        <f t="shared" si="14"/>
        <v>fail</v>
      </c>
      <c r="L192" s="19" t="str">
        <f>IFERROR(IF(AND(MATCH(A192,Projection_classes,0),YEAR(current_date)='Example - Projections'!B192),"pass","fail"),"")</f>
        <v/>
      </c>
    </row>
    <row r="193" spans="1:12" x14ac:dyDescent="0.25">
      <c r="A193" s="64"/>
      <c r="B193" s="64"/>
      <c r="C193" s="65"/>
      <c r="D193" s="65"/>
      <c r="E193" s="65"/>
      <c r="F193" s="61"/>
      <c r="G193" s="61"/>
      <c r="H193" s="61"/>
      <c r="I193" s="61"/>
      <c r="J193" s="61"/>
      <c r="K193" s="3" t="str">
        <f t="shared" si="14"/>
        <v>fail</v>
      </c>
      <c r="L193" s="19" t="str">
        <f>IFERROR(IF(AND(MATCH(A193,Projection_classes,0),YEAR(current_date)='Example - Projections'!B193),"pass","fail"),"")</f>
        <v/>
      </c>
    </row>
    <row r="194" spans="1:12" x14ac:dyDescent="0.25">
      <c r="A194" s="64"/>
      <c r="B194" s="64"/>
      <c r="C194" s="65"/>
      <c r="D194" s="65"/>
      <c r="E194" s="65"/>
      <c r="F194" s="61"/>
      <c r="G194" s="61"/>
      <c r="H194" s="61"/>
      <c r="I194" s="61"/>
      <c r="J194" s="61"/>
      <c r="K194" s="3" t="str">
        <f t="shared" ref="K194:K257" si="15">IF(OR(B194&lt;$N$1,B194&gt;$P$1),"fail","pass")</f>
        <v>fail</v>
      </c>
      <c r="L194" s="19" t="str">
        <f>IFERROR(IF(AND(MATCH(A194,Projection_classes,0),YEAR(current_date)='Example - Projections'!B194),"pass","fail"),"")</f>
        <v/>
      </c>
    </row>
    <row r="195" spans="1:12" x14ac:dyDescent="0.25">
      <c r="A195" s="64"/>
      <c r="B195" s="64"/>
      <c r="C195" s="65"/>
      <c r="D195" s="65"/>
      <c r="E195" s="65"/>
      <c r="F195" s="61"/>
      <c r="G195" s="61"/>
      <c r="H195" s="61"/>
      <c r="I195" s="61"/>
      <c r="J195" s="61"/>
      <c r="K195" s="3" t="str">
        <f t="shared" si="15"/>
        <v>fail</v>
      </c>
      <c r="L195" s="19" t="str">
        <f>IFERROR(IF(AND(MATCH(A195,Projection_classes,0),YEAR(current_date)='Example - Projections'!B195),"pass","fail"),"")</f>
        <v/>
      </c>
    </row>
    <row r="196" spans="1:12" x14ac:dyDescent="0.25">
      <c r="A196" s="64"/>
      <c r="B196" s="64"/>
      <c r="C196" s="65"/>
      <c r="D196" s="65"/>
      <c r="E196" s="65"/>
      <c r="F196" s="61"/>
      <c r="G196" s="61"/>
      <c r="H196" s="61"/>
      <c r="I196" s="61"/>
      <c r="J196" s="61"/>
      <c r="K196" s="3" t="str">
        <f t="shared" si="15"/>
        <v>fail</v>
      </c>
      <c r="L196" s="19" t="str">
        <f>IFERROR(IF(AND(MATCH(A196,Projection_classes,0),YEAR(current_date)='Example - Projections'!B196),"pass","fail"),"")</f>
        <v/>
      </c>
    </row>
    <row r="197" spans="1:12" x14ac:dyDescent="0.25">
      <c r="A197" s="64"/>
      <c r="B197" s="64"/>
      <c r="C197" s="65"/>
      <c r="D197" s="65"/>
      <c r="E197" s="65"/>
      <c r="F197" s="61"/>
      <c r="G197" s="61"/>
      <c r="H197" s="61"/>
      <c r="I197" s="61"/>
      <c r="J197" s="61"/>
      <c r="K197" s="3" t="str">
        <f t="shared" si="15"/>
        <v>fail</v>
      </c>
      <c r="L197" s="19" t="str">
        <f>IFERROR(IF(AND(MATCH(A197,Projection_classes,0),YEAR(current_date)='Example - Projections'!B197),"pass","fail"),"")</f>
        <v/>
      </c>
    </row>
    <row r="198" spans="1:12" x14ac:dyDescent="0.25">
      <c r="A198" s="64"/>
      <c r="B198" s="64"/>
      <c r="C198" s="65"/>
      <c r="D198" s="65"/>
      <c r="E198" s="65"/>
      <c r="F198" s="61"/>
      <c r="G198" s="61"/>
      <c r="H198" s="61"/>
      <c r="I198" s="61"/>
      <c r="J198" s="61"/>
      <c r="K198" s="3" t="str">
        <f t="shared" si="15"/>
        <v>fail</v>
      </c>
      <c r="L198" s="19" t="str">
        <f>IFERROR(IF(AND(MATCH(A198,Projection_classes,0),YEAR(current_date)='Example - Projections'!B198),"pass","fail"),"")</f>
        <v/>
      </c>
    </row>
    <row r="199" spans="1:12" x14ac:dyDescent="0.25">
      <c r="A199" s="64"/>
      <c r="B199" s="64"/>
      <c r="C199" s="65"/>
      <c r="D199" s="65"/>
      <c r="E199" s="65"/>
      <c r="F199" s="61"/>
      <c r="G199" s="61"/>
      <c r="H199" s="61"/>
      <c r="I199" s="61"/>
      <c r="J199" s="61"/>
      <c r="K199" s="3" t="str">
        <f t="shared" si="15"/>
        <v>fail</v>
      </c>
      <c r="L199" s="19" t="str">
        <f>IFERROR(IF(AND(MATCH(A199,Projection_classes,0),YEAR(current_date)='Example - Projections'!B199),"pass","fail"),"")</f>
        <v/>
      </c>
    </row>
    <row r="200" spans="1:12" x14ac:dyDescent="0.25">
      <c r="A200" s="64"/>
      <c r="B200" s="64"/>
      <c r="C200" s="65"/>
      <c r="D200" s="65"/>
      <c r="E200" s="65"/>
      <c r="F200" s="61"/>
      <c r="G200" s="61"/>
      <c r="H200" s="61"/>
      <c r="I200" s="61"/>
      <c r="J200" s="61"/>
      <c r="K200" s="3" t="str">
        <f t="shared" si="15"/>
        <v>fail</v>
      </c>
      <c r="L200" s="19" t="str">
        <f>IFERROR(IF(AND(MATCH(A200,Projection_classes,0),YEAR(current_date)='Example - Projections'!B200),"pass","fail"),"")</f>
        <v/>
      </c>
    </row>
    <row r="201" spans="1:12" x14ac:dyDescent="0.25">
      <c r="A201" s="64"/>
      <c r="B201" s="64"/>
      <c r="C201" s="65"/>
      <c r="D201" s="65"/>
      <c r="E201" s="65"/>
      <c r="F201" s="61"/>
      <c r="G201" s="61"/>
      <c r="H201" s="61"/>
      <c r="I201" s="61"/>
      <c r="J201" s="61"/>
      <c r="K201" s="3" t="str">
        <f t="shared" si="15"/>
        <v>fail</v>
      </c>
      <c r="L201" s="19" t="str">
        <f>IFERROR(IF(AND(MATCH(A201,Projection_classes,0),YEAR(current_date)='Example - Projections'!B201),"pass","fail"),"")</f>
        <v/>
      </c>
    </row>
    <row r="202" spans="1:12" x14ac:dyDescent="0.25">
      <c r="A202" s="64"/>
      <c r="B202" s="64"/>
      <c r="C202" s="65"/>
      <c r="D202" s="65"/>
      <c r="E202" s="65"/>
      <c r="F202" s="61"/>
      <c r="G202" s="61"/>
      <c r="H202" s="61"/>
      <c r="I202" s="61"/>
      <c r="J202" s="61"/>
      <c r="K202" s="3" t="str">
        <f t="shared" si="15"/>
        <v>fail</v>
      </c>
      <c r="L202" s="19" t="str">
        <f>IFERROR(IF(AND(MATCH(A202,Projection_classes,0),YEAR(current_date)='Example - Projections'!B202),"pass","fail"),"")</f>
        <v/>
      </c>
    </row>
    <row r="203" spans="1:12" x14ac:dyDescent="0.25">
      <c r="A203" s="64"/>
      <c r="B203" s="64"/>
      <c r="C203" s="65"/>
      <c r="D203" s="65"/>
      <c r="E203" s="65"/>
      <c r="F203" s="61"/>
      <c r="G203" s="61"/>
      <c r="H203" s="61"/>
      <c r="I203" s="61"/>
      <c r="J203" s="61"/>
      <c r="K203" s="3" t="str">
        <f t="shared" si="15"/>
        <v>fail</v>
      </c>
      <c r="L203" s="19" t="str">
        <f>IFERROR(IF(AND(MATCH(A203,Projection_classes,0),YEAR(current_date)='Example - Projections'!B203),"pass","fail"),"")</f>
        <v/>
      </c>
    </row>
    <row r="204" spans="1:12" x14ac:dyDescent="0.25">
      <c r="A204" s="64"/>
      <c r="B204" s="64"/>
      <c r="C204" s="65"/>
      <c r="D204" s="65"/>
      <c r="E204" s="65"/>
      <c r="F204" s="61"/>
      <c r="G204" s="61"/>
      <c r="H204" s="61"/>
      <c r="I204" s="61"/>
      <c r="J204" s="61"/>
      <c r="K204" s="3" t="str">
        <f t="shared" si="15"/>
        <v>fail</v>
      </c>
      <c r="L204" s="19" t="str">
        <f>IFERROR(IF(AND(MATCH(A204,Projection_classes,0),YEAR(current_date)='Example - Projections'!B204),"pass","fail"),"")</f>
        <v/>
      </c>
    </row>
    <row r="205" spans="1:12" x14ac:dyDescent="0.25">
      <c r="A205" s="64"/>
      <c r="B205" s="64"/>
      <c r="C205" s="65"/>
      <c r="D205" s="65"/>
      <c r="E205" s="65"/>
      <c r="F205" s="61"/>
      <c r="G205" s="61"/>
      <c r="H205" s="61"/>
      <c r="I205" s="61"/>
      <c r="J205" s="61"/>
      <c r="K205" s="3" t="str">
        <f t="shared" si="15"/>
        <v>fail</v>
      </c>
      <c r="L205" s="19" t="str">
        <f>IFERROR(IF(AND(MATCH(A205,Projection_classes,0),YEAR(current_date)='Example - Projections'!B205),"pass","fail"),"")</f>
        <v/>
      </c>
    </row>
    <row r="206" spans="1:12" x14ac:dyDescent="0.25">
      <c r="A206" s="64"/>
      <c r="B206" s="64"/>
      <c r="C206" s="65"/>
      <c r="D206" s="65"/>
      <c r="E206" s="65"/>
      <c r="F206" s="61"/>
      <c r="G206" s="61"/>
      <c r="H206" s="61"/>
      <c r="I206" s="61"/>
      <c r="J206" s="61"/>
      <c r="K206" s="3" t="str">
        <f t="shared" si="15"/>
        <v>fail</v>
      </c>
      <c r="L206" s="19" t="str">
        <f>IFERROR(IF(AND(MATCH(A206,Projection_classes,0),YEAR(current_date)='Example - Projections'!B206),"pass","fail"),"")</f>
        <v/>
      </c>
    </row>
    <row r="207" spans="1:12" x14ac:dyDescent="0.25">
      <c r="A207" s="64"/>
      <c r="B207" s="64"/>
      <c r="C207" s="65"/>
      <c r="D207" s="65"/>
      <c r="E207" s="65"/>
      <c r="F207" s="61"/>
      <c r="G207" s="61"/>
      <c r="H207" s="61"/>
      <c r="I207" s="61"/>
      <c r="J207" s="61"/>
      <c r="K207" s="3" t="str">
        <f t="shared" si="15"/>
        <v>fail</v>
      </c>
      <c r="L207" s="19" t="str">
        <f>IFERROR(IF(AND(MATCH(A207,Projection_classes,0),YEAR(current_date)='Example - Projections'!B207),"pass","fail"),"")</f>
        <v/>
      </c>
    </row>
    <row r="208" spans="1:12" x14ac:dyDescent="0.25">
      <c r="A208" s="64"/>
      <c r="B208" s="64"/>
      <c r="C208" s="65"/>
      <c r="D208" s="65"/>
      <c r="E208" s="65"/>
      <c r="F208" s="61"/>
      <c r="G208" s="61"/>
      <c r="H208" s="61"/>
      <c r="I208" s="61"/>
      <c r="J208" s="61"/>
      <c r="K208" s="3" t="str">
        <f t="shared" si="15"/>
        <v>fail</v>
      </c>
      <c r="L208" s="19" t="str">
        <f>IFERROR(IF(AND(MATCH(A208,Projection_classes,0),YEAR(current_date)='Example - Projections'!B208),"pass","fail"),"")</f>
        <v/>
      </c>
    </row>
    <row r="209" spans="1:12" x14ac:dyDescent="0.25">
      <c r="A209" s="64"/>
      <c r="B209" s="64"/>
      <c r="C209" s="65"/>
      <c r="D209" s="65"/>
      <c r="E209" s="65"/>
      <c r="F209" s="61"/>
      <c r="G209" s="61"/>
      <c r="H209" s="61"/>
      <c r="I209" s="61"/>
      <c r="J209" s="61"/>
      <c r="K209" s="3" t="str">
        <f t="shared" si="15"/>
        <v>fail</v>
      </c>
      <c r="L209" s="19" t="str">
        <f>IFERROR(IF(AND(MATCH(A209,Projection_classes,0),YEAR(current_date)='Example - Projections'!B209),"pass","fail"),"")</f>
        <v/>
      </c>
    </row>
    <row r="210" spans="1:12" x14ac:dyDescent="0.25">
      <c r="A210" s="64"/>
      <c r="B210" s="64"/>
      <c r="C210" s="65"/>
      <c r="D210" s="65"/>
      <c r="E210" s="65"/>
      <c r="F210" s="61"/>
      <c r="G210" s="61"/>
      <c r="H210" s="61"/>
      <c r="I210" s="61"/>
      <c r="J210" s="61"/>
      <c r="K210" s="3" t="str">
        <f t="shared" si="15"/>
        <v>fail</v>
      </c>
      <c r="L210" s="19" t="str">
        <f>IFERROR(IF(AND(MATCH(A210,Projection_classes,0),YEAR(current_date)='Example - Projections'!B210),"pass","fail"),"")</f>
        <v/>
      </c>
    </row>
    <row r="211" spans="1:12" x14ac:dyDescent="0.25">
      <c r="A211" s="64"/>
      <c r="B211" s="64"/>
      <c r="C211" s="65"/>
      <c r="D211" s="65"/>
      <c r="E211" s="65"/>
      <c r="F211" s="61"/>
      <c r="G211" s="61"/>
      <c r="H211" s="61"/>
      <c r="I211" s="61"/>
      <c r="J211" s="61"/>
      <c r="K211" s="3" t="str">
        <f t="shared" si="15"/>
        <v>fail</v>
      </c>
      <c r="L211" s="19" t="str">
        <f>IFERROR(IF(AND(MATCH(A211,Projection_classes,0),YEAR(current_date)='Example - Projections'!B211),"pass","fail"),"")</f>
        <v/>
      </c>
    </row>
    <row r="212" spans="1:12" x14ac:dyDescent="0.25">
      <c r="A212" s="64"/>
      <c r="B212" s="64"/>
      <c r="C212" s="65"/>
      <c r="D212" s="65"/>
      <c r="E212" s="65"/>
      <c r="F212" s="61"/>
      <c r="G212" s="61"/>
      <c r="H212" s="61"/>
      <c r="I212" s="61"/>
      <c r="J212" s="61"/>
      <c r="K212" s="3" t="str">
        <f t="shared" si="15"/>
        <v>fail</v>
      </c>
      <c r="L212" s="19" t="str">
        <f>IFERROR(IF(AND(MATCH(A212,Projection_classes,0),YEAR(current_date)='Example - Projections'!B212),"pass","fail"),"")</f>
        <v/>
      </c>
    </row>
    <row r="213" spans="1:12" x14ac:dyDescent="0.25">
      <c r="A213" s="64"/>
      <c r="B213" s="64"/>
      <c r="C213" s="65"/>
      <c r="D213" s="65"/>
      <c r="E213" s="65"/>
      <c r="F213" s="61"/>
      <c r="G213" s="61"/>
      <c r="H213" s="61"/>
      <c r="I213" s="61"/>
      <c r="J213" s="61"/>
      <c r="K213" s="3" t="str">
        <f t="shared" si="15"/>
        <v>fail</v>
      </c>
      <c r="L213" s="19" t="str">
        <f>IFERROR(IF(AND(MATCH(A213,Projection_classes,0),YEAR(current_date)='Example - Projections'!B213),"pass","fail"),"")</f>
        <v/>
      </c>
    </row>
    <row r="214" spans="1:12" x14ac:dyDescent="0.25">
      <c r="A214" s="64"/>
      <c r="B214" s="64"/>
      <c r="C214" s="65"/>
      <c r="D214" s="65"/>
      <c r="E214" s="65"/>
      <c r="F214" s="61"/>
      <c r="G214" s="61"/>
      <c r="H214" s="61"/>
      <c r="I214" s="61"/>
      <c r="J214" s="61"/>
      <c r="K214" s="3" t="str">
        <f t="shared" si="15"/>
        <v>fail</v>
      </c>
      <c r="L214" s="19" t="str">
        <f>IFERROR(IF(AND(MATCH(A214,Projection_classes,0),YEAR(current_date)='Example - Projections'!B214),"pass","fail"),"")</f>
        <v/>
      </c>
    </row>
    <row r="215" spans="1:12" x14ac:dyDescent="0.25">
      <c r="A215" s="64"/>
      <c r="B215" s="64"/>
      <c r="C215" s="65"/>
      <c r="D215" s="65"/>
      <c r="E215" s="65"/>
      <c r="F215" s="61"/>
      <c r="G215" s="61"/>
      <c r="H215" s="61"/>
      <c r="I215" s="61"/>
      <c r="J215" s="61"/>
      <c r="K215" s="3" t="str">
        <f t="shared" si="15"/>
        <v>fail</v>
      </c>
      <c r="L215" s="19" t="str">
        <f>IFERROR(IF(AND(MATCH(A215,Projection_classes,0),YEAR(current_date)='Example - Projections'!B215),"pass","fail"),"")</f>
        <v/>
      </c>
    </row>
    <row r="216" spans="1:12" x14ac:dyDescent="0.25">
      <c r="A216" s="64"/>
      <c r="B216" s="64"/>
      <c r="C216" s="65"/>
      <c r="D216" s="65"/>
      <c r="E216" s="65"/>
      <c r="F216" s="61"/>
      <c r="G216" s="61"/>
      <c r="H216" s="61"/>
      <c r="I216" s="61"/>
      <c r="J216" s="61"/>
      <c r="K216" s="3" t="str">
        <f t="shared" si="15"/>
        <v>fail</v>
      </c>
      <c r="L216" s="19" t="str">
        <f>IFERROR(IF(AND(MATCH(A216,Projection_classes,0),YEAR(current_date)='Example - Projections'!B216),"pass","fail"),"")</f>
        <v/>
      </c>
    </row>
    <row r="217" spans="1:12" x14ac:dyDescent="0.25">
      <c r="A217" s="64"/>
      <c r="B217" s="64"/>
      <c r="C217" s="65"/>
      <c r="D217" s="65"/>
      <c r="E217" s="65"/>
      <c r="F217" s="61"/>
      <c r="G217" s="61"/>
      <c r="H217" s="61"/>
      <c r="I217" s="61"/>
      <c r="J217" s="61"/>
      <c r="K217" s="3" t="str">
        <f t="shared" si="15"/>
        <v>fail</v>
      </c>
      <c r="L217" s="19" t="str">
        <f>IFERROR(IF(AND(MATCH(A217,Projection_classes,0),YEAR(current_date)='Example - Projections'!B217),"pass","fail"),"")</f>
        <v/>
      </c>
    </row>
    <row r="218" spans="1:12" x14ac:dyDescent="0.25">
      <c r="A218" s="64"/>
      <c r="B218" s="64"/>
      <c r="C218" s="65"/>
      <c r="D218" s="65"/>
      <c r="E218" s="65"/>
      <c r="F218" s="61"/>
      <c r="G218" s="61"/>
      <c r="H218" s="61"/>
      <c r="I218" s="61"/>
      <c r="J218" s="61"/>
      <c r="K218" s="3" t="str">
        <f t="shared" si="15"/>
        <v>fail</v>
      </c>
      <c r="L218" s="19" t="str">
        <f>IFERROR(IF(AND(MATCH(A218,Projection_classes,0),YEAR(current_date)='Example - Projections'!B218),"pass","fail"),"")</f>
        <v/>
      </c>
    </row>
    <row r="219" spans="1:12" x14ac:dyDescent="0.25">
      <c r="A219" s="64"/>
      <c r="B219" s="64"/>
      <c r="C219" s="65"/>
      <c r="D219" s="65"/>
      <c r="E219" s="65"/>
      <c r="F219" s="61"/>
      <c r="G219" s="61"/>
      <c r="H219" s="61"/>
      <c r="I219" s="61"/>
      <c r="J219" s="61"/>
      <c r="K219" s="3" t="str">
        <f t="shared" si="15"/>
        <v>fail</v>
      </c>
      <c r="L219" s="19" t="str">
        <f>IFERROR(IF(AND(MATCH(A219,Projection_classes,0),YEAR(current_date)='Example - Projections'!B219),"pass","fail"),"")</f>
        <v/>
      </c>
    </row>
    <row r="220" spans="1:12" x14ac:dyDescent="0.25">
      <c r="A220" s="64"/>
      <c r="B220" s="64"/>
      <c r="C220" s="65"/>
      <c r="D220" s="65"/>
      <c r="E220" s="65"/>
      <c r="F220" s="61"/>
      <c r="G220" s="61"/>
      <c r="H220" s="61"/>
      <c r="I220" s="61"/>
      <c r="J220" s="61"/>
      <c r="K220" s="3" t="str">
        <f t="shared" si="15"/>
        <v>fail</v>
      </c>
      <c r="L220" s="19" t="str">
        <f>IFERROR(IF(AND(MATCH(A220,Projection_classes,0),YEAR(current_date)='Example - Projections'!B220),"pass","fail"),"")</f>
        <v/>
      </c>
    </row>
    <row r="221" spans="1:12" x14ac:dyDescent="0.25">
      <c r="A221" s="64"/>
      <c r="B221" s="64"/>
      <c r="C221" s="65"/>
      <c r="D221" s="65"/>
      <c r="E221" s="65"/>
      <c r="F221" s="61"/>
      <c r="G221" s="61"/>
      <c r="H221" s="61"/>
      <c r="I221" s="61"/>
      <c r="J221" s="61"/>
      <c r="K221" s="3" t="str">
        <f t="shared" si="15"/>
        <v>fail</v>
      </c>
      <c r="L221" s="19" t="str">
        <f>IFERROR(IF(AND(MATCH(A221,Projection_classes,0),YEAR(current_date)='Example - Projections'!B221),"pass","fail"),"")</f>
        <v/>
      </c>
    </row>
    <row r="222" spans="1:12" x14ac:dyDescent="0.25">
      <c r="A222" s="64"/>
      <c r="B222" s="64"/>
      <c r="C222" s="65"/>
      <c r="D222" s="65"/>
      <c r="E222" s="65"/>
      <c r="F222" s="61"/>
      <c r="G222" s="61"/>
      <c r="H222" s="61"/>
      <c r="I222" s="61"/>
      <c r="J222" s="61"/>
      <c r="K222" s="3" t="str">
        <f t="shared" si="15"/>
        <v>fail</v>
      </c>
      <c r="L222" s="19" t="str">
        <f>IFERROR(IF(AND(MATCH(A222,Projection_classes,0),YEAR(current_date)='Example - Projections'!B222),"pass","fail"),"")</f>
        <v/>
      </c>
    </row>
    <row r="223" spans="1:12" x14ac:dyDescent="0.25">
      <c r="A223" s="64"/>
      <c r="B223" s="64"/>
      <c r="C223" s="65"/>
      <c r="D223" s="65"/>
      <c r="E223" s="65"/>
      <c r="F223" s="61"/>
      <c r="G223" s="61"/>
      <c r="H223" s="61"/>
      <c r="I223" s="61"/>
      <c r="J223" s="61"/>
      <c r="K223" s="3" t="str">
        <f t="shared" si="15"/>
        <v>fail</v>
      </c>
      <c r="L223" s="19" t="str">
        <f>IFERROR(IF(AND(MATCH(A223,Projection_classes,0),YEAR(current_date)='Example - Projections'!B223),"pass","fail"),"")</f>
        <v/>
      </c>
    </row>
    <row r="224" spans="1:12" x14ac:dyDescent="0.25">
      <c r="A224" s="64"/>
      <c r="B224" s="64"/>
      <c r="C224" s="65"/>
      <c r="D224" s="65"/>
      <c r="E224" s="65"/>
      <c r="F224" s="61"/>
      <c r="G224" s="61"/>
      <c r="H224" s="61"/>
      <c r="I224" s="61"/>
      <c r="J224" s="61"/>
      <c r="K224" s="3" t="str">
        <f t="shared" si="15"/>
        <v>fail</v>
      </c>
      <c r="L224" s="19" t="str">
        <f>IFERROR(IF(AND(MATCH(A224,Projection_classes,0),YEAR(current_date)='Example - Projections'!B224),"pass","fail"),"")</f>
        <v/>
      </c>
    </row>
    <row r="225" spans="1:12" x14ac:dyDescent="0.25">
      <c r="A225" s="64"/>
      <c r="B225" s="64"/>
      <c r="C225" s="65"/>
      <c r="D225" s="65"/>
      <c r="E225" s="65"/>
      <c r="F225" s="61"/>
      <c r="G225" s="61"/>
      <c r="H225" s="61"/>
      <c r="I225" s="61"/>
      <c r="J225" s="61"/>
      <c r="K225" s="3" t="str">
        <f t="shared" si="15"/>
        <v>fail</v>
      </c>
      <c r="L225" s="19" t="str">
        <f>IFERROR(IF(AND(MATCH(A225,Projection_classes,0),YEAR(current_date)='Example - Projections'!B225),"pass","fail"),"")</f>
        <v/>
      </c>
    </row>
    <row r="226" spans="1:12" x14ac:dyDescent="0.25">
      <c r="A226" s="64"/>
      <c r="B226" s="64"/>
      <c r="C226" s="65"/>
      <c r="D226" s="65"/>
      <c r="E226" s="65"/>
      <c r="F226" s="61"/>
      <c r="G226" s="61"/>
      <c r="H226" s="61"/>
      <c r="I226" s="61"/>
      <c r="J226" s="61"/>
      <c r="K226" s="3" t="str">
        <f t="shared" si="15"/>
        <v>fail</v>
      </c>
      <c r="L226" s="19" t="str">
        <f>IFERROR(IF(AND(MATCH(A226,Projection_classes,0),YEAR(current_date)='Example - Projections'!B226),"pass","fail"),"")</f>
        <v/>
      </c>
    </row>
    <row r="227" spans="1:12" x14ac:dyDescent="0.25">
      <c r="A227" s="64"/>
      <c r="B227" s="64"/>
      <c r="C227" s="65"/>
      <c r="D227" s="65"/>
      <c r="E227" s="65"/>
      <c r="F227" s="61"/>
      <c r="G227" s="61"/>
      <c r="H227" s="61"/>
      <c r="I227" s="61"/>
      <c r="J227" s="61"/>
      <c r="K227" s="3" t="str">
        <f t="shared" si="15"/>
        <v>fail</v>
      </c>
      <c r="L227" s="19" t="str">
        <f>IFERROR(IF(AND(MATCH(A227,Projection_classes,0),YEAR(current_date)='Example - Projections'!B227),"pass","fail"),"")</f>
        <v/>
      </c>
    </row>
    <row r="228" spans="1:12" x14ac:dyDescent="0.25">
      <c r="A228" s="64"/>
      <c r="B228" s="64"/>
      <c r="C228" s="65"/>
      <c r="D228" s="65"/>
      <c r="E228" s="65"/>
      <c r="F228" s="61"/>
      <c r="G228" s="61"/>
      <c r="H228" s="61"/>
      <c r="I228" s="61"/>
      <c r="J228" s="61"/>
      <c r="K228" s="3" t="str">
        <f t="shared" si="15"/>
        <v>fail</v>
      </c>
      <c r="L228" s="19" t="str">
        <f>IFERROR(IF(AND(MATCH(A228,Projection_classes,0),YEAR(current_date)='Example - Projections'!B228),"pass","fail"),"")</f>
        <v/>
      </c>
    </row>
    <row r="229" spans="1:12" x14ac:dyDescent="0.25">
      <c r="A229" s="64"/>
      <c r="B229" s="64"/>
      <c r="C229" s="65"/>
      <c r="D229" s="65"/>
      <c r="E229" s="65"/>
      <c r="F229" s="61"/>
      <c r="G229" s="61"/>
      <c r="H229" s="61"/>
      <c r="I229" s="61"/>
      <c r="J229" s="61"/>
      <c r="K229" s="3" t="str">
        <f t="shared" si="15"/>
        <v>fail</v>
      </c>
      <c r="L229" s="19" t="str">
        <f>IFERROR(IF(AND(MATCH(A229,Projection_classes,0),YEAR(current_date)='Example - Projections'!B229),"pass","fail"),"")</f>
        <v/>
      </c>
    </row>
    <row r="230" spans="1:12" x14ac:dyDescent="0.25">
      <c r="A230" s="64"/>
      <c r="B230" s="64"/>
      <c r="C230" s="65"/>
      <c r="D230" s="65"/>
      <c r="E230" s="65"/>
      <c r="F230" s="61"/>
      <c r="G230" s="61"/>
      <c r="H230" s="61"/>
      <c r="I230" s="61"/>
      <c r="J230" s="61"/>
      <c r="K230" s="3" t="str">
        <f t="shared" si="15"/>
        <v>fail</v>
      </c>
      <c r="L230" s="19" t="str">
        <f>IFERROR(IF(AND(MATCH(A230,Projection_classes,0),YEAR(current_date)='Example - Projections'!B230),"pass","fail"),"")</f>
        <v/>
      </c>
    </row>
    <row r="231" spans="1:12" x14ac:dyDescent="0.25">
      <c r="A231" s="64"/>
      <c r="B231" s="64"/>
      <c r="C231" s="65"/>
      <c r="D231" s="65"/>
      <c r="E231" s="65"/>
      <c r="F231" s="61"/>
      <c r="G231" s="61"/>
      <c r="H231" s="61"/>
      <c r="I231" s="61"/>
      <c r="J231" s="61"/>
      <c r="K231" s="3" t="str">
        <f t="shared" si="15"/>
        <v>fail</v>
      </c>
      <c r="L231" s="19" t="str">
        <f>IFERROR(IF(AND(MATCH(A231,Projection_classes,0),YEAR(current_date)='Example - Projections'!B231),"pass","fail"),"")</f>
        <v/>
      </c>
    </row>
    <row r="232" spans="1:12" x14ac:dyDescent="0.25">
      <c r="A232" s="64"/>
      <c r="B232" s="64"/>
      <c r="C232" s="65"/>
      <c r="D232" s="65"/>
      <c r="E232" s="65"/>
      <c r="F232" s="61"/>
      <c r="G232" s="61"/>
      <c r="H232" s="61"/>
      <c r="I232" s="61"/>
      <c r="J232" s="61"/>
      <c r="K232" s="3" t="str">
        <f t="shared" si="15"/>
        <v>fail</v>
      </c>
      <c r="L232" s="19" t="str">
        <f>IFERROR(IF(AND(MATCH(A232,Projection_classes,0),YEAR(current_date)='Example - Projections'!B232),"pass","fail"),"")</f>
        <v/>
      </c>
    </row>
    <row r="233" spans="1:12" x14ac:dyDescent="0.25">
      <c r="A233" s="64"/>
      <c r="B233" s="64"/>
      <c r="C233" s="65"/>
      <c r="D233" s="65"/>
      <c r="E233" s="65"/>
      <c r="F233" s="61"/>
      <c r="G233" s="61"/>
      <c r="H233" s="61"/>
      <c r="I233" s="61"/>
      <c r="J233" s="61"/>
      <c r="K233" s="3" t="str">
        <f t="shared" si="15"/>
        <v>fail</v>
      </c>
      <c r="L233" s="19" t="str">
        <f>IFERROR(IF(AND(MATCH(A233,Projection_classes,0),YEAR(current_date)='Example - Projections'!B233),"pass","fail"),"")</f>
        <v/>
      </c>
    </row>
    <row r="234" spans="1:12" x14ac:dyDescent="0.25">
      <c r="A234" s="64"/>
      <c r="B234" s="64"/>
      <c r="C234" s="65"/>
      <c r="D234" s="65"/>
      <c r="E234" s="65"/>
      <c r="F234" s="61"/>
      <c r="G234" s="61"/>
      <c r="H234" s="61"/>
      <c r="I234" s="61"/>
      <c r="J234" s="61"/>
      <c r="K234" s="3" t="str">
        <f t="shared" si="15"/>
        <v>fail</v>
      </c>
      <c r="L234" s="19" t="str">
        <f>IFERROR(IF(AND(MATCH(A234,Projection_classes,0),YEAR(current_date)='Example - Projections'!B234),"pass","fail"),"")</f>
        <v/>
      </c>
    </row>
    <row r="235" spans="1:12" x14ac:dyDescent="0.25">
      <c r="A235" s="64"/>
      <c r="B235" s="64"/>
      <c r="C235" s="65"/>
      <c r="D235" s="65"/>
      <c r="E235" s="65"/>
      <c r="F235" s="61"/>
      <c r="G235" s="61"/>
      <c r="H235" s="61"/>
      <c r="I235" s="61"/>
      <c r="J235" s="61"/>
      <c r="K235" s="3" t="str">
        <f t="shared" si="15"/>
        <v>fail</v>
      </c>
      <c r="L235" s="19" t="str">
        <f>IFERROR(IF(AND(MATCH(A235,Projection_classes,0),YEAR(current_date)='Example - Projections'!B235),"pass","fail"),"")</f>
        <v/>
      </c>
    </row>
    <row r="236" spans="1:12" x14ac:dyDescent="0.25">
      <c r="A236" s="64"/>
      <c r="B236" s="64"/>
      <c r="C236" s="65"/>
      <c r="D236" s="65"/>
      <c r="E236" s="65"/>
      <c r="F236" s="61"/>
      <c r="G236" s="61"/>
      <c r="H236" s="61"/>
      <c r="I236" s="61"/>
      <c r="J236" s="61"/>
      <c r="K236" s="3" t="str">
        <f t="shared" si="15"/>
        <v>fail</v>
      </c>
      <c r="L236" s="19" t="str">
        <f>IFERROR(IF(AND(MATCH(A236,Projection_classes,0),YEAR(current_date)='Example - Projections'!B236),"pass","fail"),"")</f>
        <v/>
      </c>
    </row>
    <row r="237" spans="1:12" x14ac:dyDescent="0.25">
      <c r="A237" s="64"/>
      <c r="B237" s="64"/>
      <c r="C237" s="65"/>
      <c r="D237" s="65"/>
      <c r="E237" s="65"/>
      <c r="F237" s="61"/>
      <c r="G237" s="61"/>
      <c r="H237" s="61"/>
      <c r="I237" s="61"/>
      <c r="J237" s="61"/>
      <c r="K237" s="3" t="str">
        <f t="shared" si="15"/>
        <v>fail</v>
      </c>
      <c r="L237" s="19" t="str">
        <f>IFERROR(IF(AND(MATCH(A237,Projection_classes,0),YEAR(current_date)='Example - Projections'!B237),"pass","fail"),"")</f>
        <v/>
      </c>
    </row>
    <row r="238" spans="1:12" x14ac:dyDescent="0.25">
      <c r="A238" s="64"/>
      <c r="B238" s="64"/>
      <c r="C238" s="65"/>
      <c r="D238" s="65"/>
      <c r="E238" s="65"/>
      <c r="F238" s="61"/>
      <c r="G238" s="61"/>
      <c r="H238" s="61"/>
      <c r="I238" s="61"/>
      <c r="J238" s="61"/>
      <c r="K238" s="3" t="str">
        <f t="shared" si="15"/>
        <v>fail</v>
      </c>
      <c r="L238" s="19" t="str">
        <f>IFERROR(IF(AND(MATCH(A238,Projection_classes,0),YEAR(current_date)='Example - Projections'!B238),"pass","fail"),"")</f>
        <v/>
      </c>
    </row>
    <row r="239" spans="1:12" x14ac:dyDescent="0.25">
      <c r="A239" s="64"/>
      <c r="B239" s="64"/>
      <c r="C239" s="65"/>
      <c r="D239" s="65"/>
      <c r="E239" s="65"/>
      <c r="F239" s="61"/>
      <c r="G239" s="61"/>
      <c r="H239" s="61"/>
      <c r="I239" s="61"/>
      <c r="J239" s="61"/>
      <c r="K239" s="3" t="str">
        <f t="shared" si="15"/>
        <v>fail</v>
      </c>
      <c r="L239" s="19" t="str">
        <f>IFERROR(IF(AND(MATCH(A239,Projection_classes,0),YEAR(current_date)='Example - Projections'!B239),"pass","fail"),"")</f>
        <v/>
      </c>
    </row>
    <row r="240" spans="1:12" x14ac:dyDescent="0.25">
      <c r="A240" s="64"/>
      <c r="B240" s="64"/>
      <c r="C240" s="65"/>
      <c r="D240" s="65"/>
      <c r="E240" s="65"/>
      <c r="F240" s="61"/>
      <c r="G240" s="61"/>
      <c r="H240" s="61"/>
      <c r="I240" s="61"/>
      <c r="J240" s="61"/>
      <c r="K240" s="3" t="str">
        <f t="shared" si="15"/>
        <v>fail</v>
      </c>
      <c r="L240" s="19" t="str">
        <f>IFERROR(IF(AND(MATCH(A240,Projection_classes,0),YEAR(current_date)='Example - Projections'!B240),"pass","fail"),"")</f>
        <v/>
      </c>
    </row>
    <row r="241" spans="1:12" x14ac:dyDescent="0.25">
      <c r="A241" s="64"/>
      <c r="B241" s="64"/>
      <c r="C241" s="65"/>
      <c r="D241" s="65"/>
      <c r="E241" s="65"/>
      <c r="F241" s="61"/>
      <c r="G241" s="61"/>
      <c r="H241" s="61"/>
      <c r="I241" s="61"/>
      <c r="J241" s="61"/>
      <c r="K241" s="3" t="str">
        <f t="shared" si="15"/>
        <v>fail</v>
      </c>
      <c r="L241" s="19" t="str">
        <f>IFERROR(IF(AND(MATCH(A241,Projection_classes,0),YEAR(current_date)='Example - Projections'!B241),"pass","fail"),"")</f>
        <v/>
      </c>
    </row>
    <row r="242" spans="1:12" x14ac:dyDescent="0.25">
      <c r="A242" s="64"/>
      <c r="B242" s="64"/>
      <c r="C242" s="65"/>
      <c r="D242" s="65"/>
      <c r="E242" s="65"/>
      <c r="F242" s="61"/>
      <c r="G242" s="61"/>
      <c r="H242" s="61"/>
      <c r="I242" s="61"/>
      <c r="J242" s="61"/>
      <c r="K242" s="3" t="str">
        <f t="shared" si="15"/>
        <v>fail</v>
      </c>
      <c r="L242" s="19" t="str">
        <f>IFERROR(IF(AND(MATCH(A242,Projection_classes,0),YEAR(current_date)='Example - Projections'!B242),"pass","fail"),"")</f>
        <v/>
      </c>
    </row>
    <row r="243" spans="1:12" x14ac:dyDescent="0.25">
      <c r="A243" s="64"/>
      <c r="B243" s="64"/>
      <c r="C243" s="65"/>
      <c r="D243" s="65"/>
      <c r="E243" s="65"/>
      <c r="F243" s="61"/>
      <c r="G243" s="61"/>
      <c r="H243" s="61"/>
      <c r="I243" s="61"/>
      <c r="J243" s="61"/>
      <c r="K243" s="3" t="str">
        <f t="shared" si="15"/>
        <v>fail</v>
      </c>
      <c r="L243" s="19" t="str">
        <f>IFERROR(IF(AND(MATCH(A243,Projection_classes,0),YEAR(current_date)='Example - Projections'!B243),"pass","fail"),"")</f>
        <v/>
      </c>
    </row>
    <row r="244" spans="1:12" x14ac:dyDescent="0.25">
      <c r="A244" s="64"/>
      <c r="B244" s="64"/>
      <c r="C244" s="65"/>
      <c r="D244" s="65"/>
      <c r="E244" s="65"/>
      <c r="F244" s="61"/>
      <c r="G244" s="61"/>
      <c r="H244" s="61"/>
      <c r="I244" s="61"/>
      <c r="J244" s="61"/>
      <c r="K244" s="3" t="str">
        <f t="shared" si="15"/>
        <v>fail</v>
      </c>
      <c r="L244" s="19" t="str">
        <f>IFERROR(IF(AND(MATCH(A244,Projection_classes,0),YEAR(current_date)='Example - Projections'!B244),"pass","fail"),"")</f>
        <v/>
      </c>
    </row>
    <row r="245" spans="1:12" x14ac:dyDescent="0.25">
      <c r="A245" s="64"/>
      <c r="B245" s="64"/>
      <c r="C245" s="65"/>
      <c r="D245" s="65"/>
      <c r="E245" s="65"/>
      <c r="F245" s="61"/>
      <c r="G245" s="61"/>
      <c r="H245" s="61"/>
      <c r="I245" s="61"/>
      <c r="J245" s="61"/>
      <c r="K245" s="3" t="str">
        <f t="shared" si="15"/>
        <v>fail</v>
      </c>
      <c r="L245" s="19" t="str">
        <f>IFERROR(IF(AND(MATCH(A245,Projection_classes,0),YEAR(current_date)='Example - Projections'!B245),"pass","fail"),"")</f>
        <v/>
      </c>
    </row>
    <row r="246" spans="1:12" x14ac:dyDescent="0.25">
      <c r="A246" s="64"/>
      <c r="B246" s="64"/>
      <c r="C246" s="65"/>
      <c r="D246" s="65"/>
      <c r="E246" s="65"/>
      <c r="F246" s="61"/>
      <c r="G246" s="61"/>
      <c r="H246" s="61"/>
      <c r="I246" s="61"/>
      <c r="J246" s="61"/>
      <c r="K246" s="3" t="str">
        <f t="shared" si="15"/>
        <v>fail</v>
      </c>
      <c r="L246" s="19" t="str">
        <f>IFERROR(IF(AND(MATCH(A246,Projection_classes,0),YEAR(current_date)='Example - Projections'!B246),"pass","fail"),"")</f>
        <v/>
      </c>
    </row>
    <row r="247" spans="1:12" x14ac:dyDescent="0.25">
      <c r="A247" s="64"/>
      <c r="B247" s="64"/>
      <c r="C247" s="65"/>
      <c r="D247" s="65"/>
      <c r="E247" s="65"/>
      <c r="F247" s="61"/>
      <c r="G247" s="61"/>
      <c r="H247" s="61"/>
      <c r="I247" s="61"/>
      <c r="J247" s="61"/>
      <c r="K247" s="3" t="str">
        <f t="shared" si="15"/>
        <v>fail</v>
      </c>
      <c r="L247" s="19" t="str">
        <f>IFERROR(IF(AND(MATCH(A247,Projection_classes,0),YEAR(current_date)='Example - Projections'!B247),"pass","fail"),"")</f>
        <v/>
      </c>
    </row>
    <row r="248" spans="1:12" x14ac:dyDescent="0.25">
      <c r="A248" s="64"/>
      <c r="B248" s="64"/>
      <c r="C248" s="65"/>
      <c r="D248" s="65"/>
      <c r="E248" s="65"/>
      <c r="F248" s="61"/>
      <c r="G248" s="61"/>
      <c r="H248" s="61"/>
      <c r="I248" s="61"/>
      <c r="J248" s="61"/>
      <c r="K248" s="3" t="str">
        <f t="shared" si="15"/>
        <v>fail</v>
      </c>
      <c r="L248" s="19" t="str">
        <f>IFERROR(IF(AND(MATCH(A248,Projection_classes,0),YEAR(current_date)='Example - Projections'!B248),"pass","fail"),"")</f>
        <v/>
      </c>
    </row>
    <row r="249" spans="1:12" x14ac:dyDescent="0.25">
      <c r="A249" s="64"/>
      <c r="B249" s="64"/>
      <c r="C249" s="65"/>
      <c r="D249" s="65"/>
      <c r="E249" s="65"/>
      <c r="F249" s="61"/>
      <c r="G249" s="61"/>
      <c r="H249" s="61"/>
      <c r="I249" s="61"/>
      <c r="J249" s="61"/>
      <c r="K249" s="3" t="str">
        <f t="shared" si="15"/>
        <v>fail</v>
      </c>
      <c r="L249" s="19" t="str">
        <f>IFERROR(IF(AND(MATCH(A249,Projection_classes,0),YEAR(current_date)='Example - Projections'!B249),"pass","fail"),"")</f>
        <v/>
      </c>
    </row>
    <row r="250" spans="1:12" x14ac:dyDescent="0.25">
      <c r="A250" s="64"/>
      <c r="B250" s="64"/>
      <c r="C250" s="65"/>
      <c r="D250" s="65"/>
      <c r="E250" s="65"/>
      <c r="F250" s="61"/>
      <c r="G250" s="61"/>
      <c r="H250" s="61"/>
      <c r="I250" s="61"/>
      <c r="J250" s="61"/>
      <c r="K250" s="3" t="str">
        <f t="shared" si="15"/>
        <v>fail</v>
      </c>
      <c r="L250" s="19" t="str">
        <f>IFERROR(IF(AND(MATCH(A250,Projection_classes,0),YEAR(current_date)='Example - Projections'!B250),"pass","fail"),"")</f>
        <v/>
      </c>
    </row>
    <row r="251" spans="1:12" x14ac:dyDescent="0.25">
      <c r="A251" s="64"/>
      <c r="B251" s="64"/>
      <c r="C251" s="65"/>
      <c r="D251" s="65"/>
      <c r="E251" s="65"/>
      <c r="F251" s="61"/>
      <c r="G251" s="61"/>
      <c r="H251" s="61"/>
      <c r="I251" s="61"/>
      <c r="J251" s="61"/>
      <c r="K251" s="3" t="str">
        <f t="shared" si="15"/>
        <v>fail</v>
      </c>
      <c r="L251" s="19" t="str">
        <f>IFERROR(IF(AND(MATCH(A251,Projection_classes,0),YEAR(current_date)='Example - Projections'!B251),"pass","fail"),"")</f>
        <v/>
      </c>
    </row>
    <row r="252" spans="1:12" x14ac:dyDescent="0.25">
      <c r="A252" s="64"/>
      <c r="B252" s="64"/>
      <c r="C252" s="65"/>
      <c r="D252" s="65"/>
      <c r="E252" s="65"/>
      <c r="F252" s="61"/>
      <c r="G252" s="61"/>
      <c r="H252" s="61"/>
      <c r="I252" s="61"/>
      <c r="J252" s="61"/>
      <c r="K252" s="3" t="str">
        <f t="shared" si="15"/>
        <v>fail</v>
      </c>
      <c r="L252" s="19" t="str">
        <f>IFERROR(IF(AND(MATCH(A252,Projection_classes,0),YEAR(current_date)='Example - Projections'!B252),"pass","fail"),"")</f>
        <v/>
      </c>
    </row>
    <row r="253" spans="1:12" x14ac:dyDescent="0.25">
      <c r="A253" s="64"/>
      <c r="B253" s="64"/>
      <c r="C253" s="65"/>
      <c r="D253" s="65"/>
      <c r="E253" s="65"/>
      <c r="F253" s="61"/>
      <c r="G253" s="61"/>
      <c r="H253" s="61"/>
      <c r="I253" s="61"/>
      <c r="J253" s="61"/>
      <c r="K253" s="3" t="str">
        <f t="shared" si="15"/>
        <v>fail</v>
      </c>
      <c r="L253" s="19" t="str">
        <f>IFERROR(IF(AND(MATCH(A253,Projection_classes,0),YEAR(current_date)='Example - Projections'!B253),"pass","fail"),"")</f>
        <v/>
      </c>
    </row>
    <row r="254" spans="1:12" x14ac:dyDescent="0.25">
      <c r="A254" s="64"/>
      <c r="B254" s="64"/>
      <c r="C254" s="65"/>
      <c r="D254" s="65"/>
      <c r="E254" s="65"/>
      <c r="F254" s="61"/>
      <c r="G254" s="61"/>
      <c r="H254" s="61"/>
      <c r="I254" s="61"/>
      <c r="J254" s="61"/>
      <c r="K254" s="3" t="str">
        <f t="shared" si="15"/>
        <v>fail</v>
      </c>
      <c r="L254" s="19" t="str">
        <f>IFERROR(IF(AND(MATCH(A254,Projection_classes,0),YEAR(current_date)='Example - Projections'!B254),"pass","fail"),"")</f>
        <v/>
      </c>
    </row>
    <row r="255" spans="1:12" x14ac:dyDescent="0.25">
      <c r="A255" s="64"/>
      <c r="B255" s="64"/>
      <c r="C255" s="65"/>
      <c r="D255" s="65"/>
      <c r="E255" s="65"/>
      <c r="F255" s="61"/>
      <c r="G255" s="61"/>
      <c r="H255" s="61"/>
      <c r="I255" s="61"/>
      <c r="J255" s="61"/>
      <c r="K255" s="3" t="str">
        <f t="shared" si="15"/>
        <v>fail</v>
      </c>
      <c r="L255" s="19" t="str">
        <f>IFERROR(IF(AND(MATCH(A255,Projection_classes,0),YEAR(current_date)='Example - Projections'!B255),"pass","fail"),"")</f>
        <v/>
      </c>
    </row>
    <row r="256" spans="1:12" x14ac:dyDescent="0.25">
      <c r="A256" s="64"/>
      <c r="B256" s="64"/>
      <c r="C256" s="65"/>
      <c r="D256" s="65"/>
      <c r="E256" s="65"/>
      <c r="F256" s="61"/>
      <c r="G256" s="61"/>
      <c r="H256" s="61"/>
      <c r="I256" s="61"/>
      <c r="J256" s="61"/>
      <c r="K256" s="3" t="str">
        <f t="shared" si="15"/>
        <v>fail</v>
      </c>
      <c r="L256" s="19" t="str">
        <f>IFERROR(IF(AND(MATCH(A256,Projection_classes,0),YEAR(current_date)='Example - Projections'!B256),"pass","fail"),"")</f>
        <v/>
      </c>
    </row>
    <row r="257" spans="1:12" x14ac:dyDescent="0.25">
      <c r="A257" s="64"/>
      <c r="B257" s="64"/>
      <c r="C257" s="65"/>
      <c r="D257" s="65"/>
      <c r="E257" s="65"/>
      <c r="F257" s="61"/>
      <c r="G257" s="61"/>
      <c r="H257" s="61"/>
      <c r="I257" s="61"/>
      <c r="J257" s="61"/>
      <c r="K257" s="3" t="str">
        <f t="shared" si="15"/>
        <v>fail</v>
      </c>
      <c r="L257" s="19" t="str">
        <f>IFERROR(IF(AND(MATCH(A257,Projection_classes,0),YEAR(current_date)='Example - Projections'!B257),"pass","fail"),"")</f>
        <v/>
      </c>
    </row>
    <row r="258" spans="1:12" x14ac:dyDescent="0.25">
      <c r="A258" s="64"/>
      <c r="B258" s="64"/>
      <c r="C258" s="65"/>
      <c r="D258" s="65"/>
      <c r="E258" s="65"/>
      <c r="F258" s="61"/>
      <c r="G258" s="61"/>
      <c r="H258" s="61"/>
      <c r="I258" s="61"/>
      <c r="J258" s="61"/>
      <c r="K258" s="3" t="str">
        <f t="shared" ref="K258:K321" si="16">IF(OR(B258&lt;$N$1,B258&gt;$P$1),"fail","pass")</f>
        <v>fail</v>
      </c>
      <c r="L258" s="19" t="str">
        <f>IFERROR(IF(AND(MATCH(A258,Projection_classes,0),YEAR(current_date)='Example - Projections'!B258),"pass","fail"),"")</f>
        <v/>
      </c>
    </row>
    <row r="259" spans="1:12" x14ac:dyDescent="0.25">
      <c r="A259" s="64"/>
      <c r="B259" s="64"/>
      <c r="C259" s="65"/>
      <c r="D259" s="65"/>
      <c r="E259" s="65"/>
      <c r="F259" s="61"/>
      <c r="G259" s="61"/>
      <c r="H259" s="61"/>
      <c r="I259" s="61"/>
      <c r="J259" s="61"/>
      <c r="K259" s="3" t="str">
        <f t="shared" si="16"/>
        <v>fail</v>
      </c>
      <c r="L259" s="19" t="str">
        <f>IFERROR(IF(AND(MATCH(A259,Projection_classes,0),YEAR(current_date)='Example - Projections'!B259),"pass","fail"),"")</f>
        <v/>
      </c>
    </row>
    <row r="260" spans="1:12" x14ac:dyDescent="0.25">
      <c r="A260" s="64"/>
      <c r="B260" s="64"/>
      <c r="C260" s="65"/>
      <c r="D260" s="65"/>
      <c r="E260" s="65"/>
      <c r="F260" s="61"/>
      <c r="G260" s="61"/>
      <c r="H260" s="61"/>
      <c r="I260" s="61"/>
      <c r="J260" s="61"/>
      <c r="K260" s="3" t="str">
        <f t="shared" si="16"/>
        <v>fail</v>
      </c>
      <c r="L260" s="19" t="str">
        <f>IFERROR(IF(AND(MATCH(A260,Projection_classes,0),YEAR(current_date)='Example - Projections'!B260),"pass","fail"),"")</f>
        <v/>
      </c>
    </row>
    <row r="261" spans="1:12" x14ac:dyDescent="0.25">
      <c r="A261" s="64"/>
      <c r="B261" s="64"/>
      <c r="C261" s="65"/>
      <c r="D261" s="65"/>
      <c r="E261" s="65"/>
      <c r="F261" s="61"/>
      <c r="G261" s="61"/>
      <c r="H261" s="61"/>
      <c r="I261" s="61"/>
      <c r="J261" s="61"/>
      <c r="K261" s="3" t="str">
        <f t="shared" si="16"/>
        <v>fail</v>
      </c>
      <c r="L261" s="19" t="str">
        <f>IFERROR(IF(AND(MATCH(A261,Projection_classes,0),YEAR(current_date)='Example - Projections'!B261),"pass","fail"),"")</f>
        <v/>
      </c>
    </row>
    <row r="262" spans="1:12" x14ac:dyDescent="0.25">
      <c r="A262" s="64"/>
      <c r="B262" s="64"/>
      <c r="C262" s="65"/>
      <c r="D262" s="65"/>
      <c r="E262" s="65"/>
      <c r="F262" s="61"/>
      <c r="G262" s="61"/>
      <c r="H262" s="61"/>
      <c r="I262" s="61"/>
      <c r="J262" s="61"/>
      <c r="K262" s="3" t="str">
        <f t="shared" si="16"/>
        <v>fail</v>
      </c>
      <c r="L262" s="19" t="str">
        <f>IFERROR(IF(AND(MATCH(A262,Projection_classes,0),YEAR(current_date)='Example - Projections'!B262),"pass","fail"),"")</f>
        <v/>
      </c>
    </row>
    <row r="263" spans="1:12" x14ac:dyDescent="0.25">
      <c r="A263" s="64"/>
      <c r="B263" s="64"/>
      <c r="C263" s="65"/>
      <c r="D263" s="65"/>
      <c r="E263" s="65"/>
      <c r="F263" s="61"/>
      <c r="G263" s="61"/>
      <c r="H263" s="61"/>
      <c r="I263" s="61"/>
      <c r="J263" s="61"/>
      <c r="K263" s="3" t="str">
        <f t="shared" si="16"/>
        <v>fail</v>
      </c>
      <c r="L263" s="19" t="str">
        <f>IFERROR(IF(AND(MATCH(A263,Projection_classes,0),YEAR(current_date)='Example - Projections'!B263),"pass","fail"),"")</f>
        <v/>
      </c>
    </row>
    <row r="264" spans="1:12" x14ac:dyDescent="0.25">
      <c r="A264" s="64"/>
      <c r="B264" s="64"/>
      <c r="C264" s="65"/>
      <c r="D264" s="65"/>
      <c r="E264" s="65"/>
      <c r="F264" s="61"/>
      <c r="G264" s="61"/>
      <c r="H264" s="61"/>
      <c r="I264" s="61"/>
      <c r="J264" s="61"/>
      <c r="K264" s="3" t="str">
        <f t="shared" si="16"/>
        <v>fail</v>
      </c>
      <c r="L264" s="19" t="str">
        <f>IFERROR(IF(AND(MATCH(A264,Projection_classes,0),YEAR(current_date)='Example - Projections'!B264),"pass","fail"),"")</f>
        <v/>
      </c>
    </row>
    <row r="265" spans="1:12" x14ac:dyDescent="0.25">
      <c r="A265" s="64"/>
      <c r="B265" s="64"/>
      <c r="C265" s="65"/>
      <c r="D265" s="65"/>
      <c r="E265" s="65"/>
      <c r="F265" s="61"/>
      <c r="G265" s="61"/>
      <c r="H265" s="61"/>
      <c r="I265" s="61"/>
      <c r="J265" s="61"/>
      <c r="K265" s="3" t="str">
        <f t="shared" si="16"/>
        <v>fail</v>
      </c>
      <c r="L265" s="19" t="str">
        <f>IFERROR(IF(AND(MATCH(A265,Projection_classes,0),YEAR(current_date)='Example - Projections'!B265),"pass","fail"),"")</f>
        <v/>
      </c>
    </row>
    <row r="266" spans="1:12" x14ac:dyDescent="0.25">
      <c r="A266" s="64"/>
      <c r="B266" s="64"/>
      <c r="C266" s="65"/>
      <c r="D266" s="65"/>
      <c r="E266" s="65"/>
      <c r="F266" s="61"/>
      <c r="G266" s="61"/>
      <c r="H266" s="61"/>
      <c r="I266" s="61"/>
      <c r="J266" s="61"/>
      <c r="K266" s="3" t="str">
        <f t="shared" si="16"/>
        <v>fail</v>
      </c>
      <c r="L266" s="19" t="str">
        <f>IFERROR(IF(AND(MATCH(A266,Projection_classes,0),YEAR(current_date)='Example - Projections'!B266),"pass","fail"),"")</f>
        <v/>
      </c>
    </row>
    <row r="267" spans="1:12" x14ac:dyDescent="0.25">
      <c r="A267" s="64"/>
      <c r="B267" s="64"/>
      <c r="C267" s="65"/>
      <c r="D267" s="65"/>
      <c r="E267" s="65"/>
      <c r="F267" s="61"/>
      <c r="G267" s="61"/>
      <c r="H267" s="61"/>
      <c r="I267" s="61"/>
      <c r="J267" s="61"/>
      <c r="K267" s="3" t="str">
        <f t="shared" si="16"/>
        <v>fail</v>
      </c>
      <c r="L267" s="19" t="str">
        <f>IFERROR(IF(AND(MATCH(A267,Projection_classes,0),YEAR(current_date)='Example - Projections'!B267),"pass","fail"),"")</f>
        <v/>
      </c>
    </row>
    <row r="268" spans="1:12" x14ac:dyDescent="0.25">
      <c r="A268" s="64"/>
      <c r="B268" s="64"/>
      <c r="C268" s="65"/>
      <c r="D268" s="65"/>
      <c r="E268" s="65"/>
      <c r="F268" s="61"/>
      <c r="G268" s="61"/>
      <c r="H268" s="61"/>
      <c r="I268" s="61"/>
      <c r="J268" s="61"/>
      <c r="K268" s="3" t="str">
        <f t="shared" si="16"/>
        <v>fail</v>
      </c>
      <c r="L268" s="19" t="str">
        <f>IFERROR(IF(AND(MATCH(A268,Projection_classes,0),YEAR(current_date)='Example - Projections'!B268),"pass","fail"),"")</f>
        <v/>
      </c>
    </row>
    <row r="269" spans="1:12" x14ac:dyDescent="0.25">
      <c r="A269" s="64"/>
      <c r="B269" s="64"/>
      <c r="C269" s="65"/>
      <c r="D269" s="65"/>
      <c r="E269" s="65"/>
      <c r="F269" s="61"/>
      <c r="G269" s="61"/>
      <c r="H269" s="61"/>
      <c r="I269" s="61"/>
      <c r="J269" s="61"/>
      <c r="K269" s="3" t="str">
        <f t="shared" si="16"/>
        <v>fail</v>
      </c>
      <c r="L269" s="19" t="str">
        <f>IFERROR(IF(AND(MATCH(A269,Projection_classes,0),YEAR(current_date)='Example - Projections'!B269),"pass","fail"),"")</f>
        <v/>
      </c>
    </row>
    <row r="270" spans="1:12" x14ac:dyDescent="0.25">
      <c r="A270" s="64"/>
      <c r="B270" s="64"/>
      <c r="C270" s="65"/>
      <c r="D270" s="65"/>
      <c r="E270" s="65"/>
      <c r="F270" s="61"/>
      <c r="G270" s="61"/>
      <c r="H270" s="61"/>
      <c r="I270" s="61"/>
      <c r="J270" s="61"/>
      <c r="K270" s="3" t="str">
        <f t="shared" si="16"/>
        <v>fail</v>
      </c>
      <c r="L270" s="19" t="str">
        <f>IFERROR(IF(AND(MATCH(A270,Projection_classes,0),YEAR(current_date)='Example - Projections'!B270),"pass","fail"),"")</f>
        <v/>
      </c>
    </row>
    <row r="271" spans="1:12" x14ac:dyDescent="0.25">
      <c r="A271" s="64"/>
      <c r="B271" s="64"/>
      <c r="C271" s="65"/>
      <c r="D271" s="65"/>
      <c r="E271" s="65"/>
      <c r="F271" s="61"/>
      <c r="G271" s="61"/>
      <c r="H271" s="61"/>
      <c r="I271" s="61"/>
      <c r="J271" s="61"/>
      <c r="K271" s="3" t="str">
        <f t="shared" si="16"/>
        <v>fail</v>
      </c>
      <c r="L271" s="19" t="str">
        <f>IFERROR(IF(AND(MATCH(A271,Projection_classes,0),YEAR(current_date)='Example - Projections'!B271),"pass","fail"),"")</f>
        <v/>
      </c>
    </row>
    <row r="272" spans="1:12" x14ac:dyDescent="0.25">
      <c r="A272" s="64"/>
      <c r="B272" s="64"/>
      <c r="C272" s="65"/>
      <c r="D272" s="65"/>
      <c r="E272" s="65"/>
      <c r="F272" s="61"/>
      <c r="G272" s="61"/>
      <c r="H272" s="61"/>
      <c r="I272" s="61"/>
      <c r="J272" s="61"/>
      <c r="K272" s="3" t="str">
        <f t="shared" si="16"/>
        <v>fail</v>
      </c>
      <c r="L272" s="19" t="str">
        <f>IFERROR(IF(AND(MATCH(A272,Projection_classes,0),YEAR(current_date)='Example - Projections'!B272),"pass","fail"),"")</f>
        <v/>
      </c>
    </row>
    <row r="273" spans="1:12" x14ac:dyDescent="0.25">
      <c r="A273" s="64"/>
      <c r="B273" s="64"/>
      <c r="C273" s="65"/>
      <c r="D273" s="65"/>
      <c r="E273" s="65"/>
      <c r="F273" s="61"/>
      <c r="G273" s="61"/>
      <c r="H273" s="61"/>
      <c r="I273" s="61"/>
      <c r="J273" s="61"/>
      <c r="K273" s="3" t="str">
        <f t="shared" si="16"/>
        <v>fail</v>
      </c>
      <c r="L273" s="19" t="str">
        <f>IFERROR(IF(AND(MATCH(A273,Projection_classes,0),YEAR(current_date)='Example - Projections'!B273),"pass","fail"),"")</f>
        <v/>
      </c>
    </row>
    <row r="274" spans="1:12" x14ac:dyDescent="0.25">
      <c r="A274" s="64"/>
      <c r="B274" s="64"/>
      <c r="C274" s="65"/>
      <c r="D274" s="65"/>
      <c r="E274" s="65"/>
      <c r="F274" s="61"/>
      <c r="G274" s="61"/>
      <c r="H274" s="61"/>
      <c r="I274" s="61"/>
      <c r="J274" s="61"/>
      <c r="K274" s="3" t="str">
        <f t="shared" si="16"/>
        <v>fail</v>
      </c>
      <c r="L274" s="19" t="str">
        <f>IFERROR(IF(AND(MATCH(A274,Projection_classes,0),YEAR(current_date)='Example - Projections'!B274),"pass","fail"),"")</f>
        <v/>
      </c>
    </row>
    <row r="275" spans="1:12" x14ac:dyDescent="0.25">
      <c r="A275" s="64"/>
      <c r="B275" s="64"/>
      <c r="C275" s="65"/>
      <c r="D275" s="65"/>
      <c r="E275" s="65"/>
      <c r="F275" s="61"/>
      <c r="G275" s="61"/>
      <c r="H275" s="61"/>
      <c r="I275" s="61"/>
      <c r="J275" s="61"/>
      <c r="K275" s="3" t="str">
        <f t="shared" si="16"/>
        <v>fail</v>
      </c>
      <c r="L275" s="19" t="str">
        <f>IFERROR(IF(AND(MATCH(A275,Projection_classes,0),YEAR(current_date)='Example - Projections'!B275),"pass","fail"),"")</f>
        <v/>
      </c>
    </row>
    <row r="276" spans="1:12" x14ac:dyDescent="0.25">
      <c r="A276" s="64"/>
      <c r="B276" s="64"/>
      <c r="C276" s="65"/>
      <c r="D276" s="65"/>
      <c r="E276" s="65"/>
      <c r="F276" s="61"/>
      <c r="G276" s="61"/>
      <c r="H276" s="61"/>
      <c r="I276" s="61"/>
      <c r="J276" s="61"/>
      <c r="K276" s="3" t="str">
        <f t="shared" si="16"/>
        <v>fail</v>
      </c>
      <c r="L276" s="19" t="str">
        <f>IFERROR(IF(AND(MATCH(A276,Projection_classes,0),YEAR(current_date)='Example - Projections'!B276),"pass","fail"),"")</f>
        <v/>
      </c>
    </row>
    <row r="277" spans="1:12" x14ac:dyDescent="0.25">
      <c r="A277" s="64"/>
      <c r="B277" s="64"/>
      <c r="C277" s="65"/>
      <c r="D277" s="65"/>
      <c r="E277" s="65"/>
      <c r="F277" s="61"/>
      <c r="G277" s="61"/>
      <c r="H277" s="61"/>
      <c r="I277" s="61"/>
      <c r="J277" s="61"/>
      <c r="K277" s="3" t="str">
        <f t="shared" si="16"/>
        <v>fail</v>
      </c>
      <c r="L277" s="19" t="str">
        <f>IFERROR(IF(AND(MATCH(A277,Projection_classes,0),YEAR(current_date)='Example - Projections'!B277),"pass","fail"),"")</f>
        <v/>
      </c>
    </row>
    <row r="278" spans="1:12" x14ac:dyDescent="0.25">
      <c r="A278" s="64"/>
      <c r="B278" s="64"/>
      <c r="C278" s="65"/>
      <c r="D278" s="65"/>
      <c r="E278" s="65"/>
      <c r="F278" s="61"/>
      <c r="G278" s="61"/>
      <c r="H278" s="61"/>
      <c r="I278" s="61"/>
      <c r="J278" s="61"/>
      <c r="K278" s="3" t="str">
        <f t="shared" si="16"/>
        <v>fail</v>
      </c>
      <c r="L278" s="19" t="str">
        <f>IFERROR(IF(AND(MATCH(A278,Projection_classes,0),YEAR(current_date)='Example - Projections'!B278),"pass","fail"),"")</f>
        <v/>
      </c>
    </row>
    <row r="279" spans="1:12" x14ac:dyDescent="0.25">
      <c r="A279" s="64"/>
      <c r="B279" s="64"/>
      <c r="C279" s="65"/>
      <c r="D279" s="65"/>
      <c r="E279" s="65"/>
      <c r="F279" s="61"/>
      <c r="G279" s="61"/>
      <c r="H279" s="61"/>
      <c r="I279" s="61"/>
      <c r="J279" s="61"/>
      <c r="K279" s="3" t="str">
        <f t="shared" si="16"/>
        <v>fail</v>
      </c>
      <c r="L279" s="19" t="str">
        <f>IFERROR(IF(AND(MATCH(A279,Projection_classes,0),YEAR(current_date)='Example - Projections'!B279),"pass","fail"),"")</f>
        <v/>
      </c>
    </row>
    <row r="280" spans="1:12" x14ac:dyDescent="0.25">
      <c r="A280" s="64"/>
      <c r="B280" s="64"/>
      <c r="C280" s="65"/>
      <c r="D280" s="65"/>
      <c r="E280" s="65"/>
      <c r="F280" s="61"/>
      <c r="G280" s="61"/>
      <c r="H280" s="61"/>
      <c r="I280" s="61"/>
      <c r="J280" s="61"/>
      <c r="K280" s="3" t="str">
        <f t="shared" si="16"/>
        <v>fail</v>
      </c>
      <c r="L280" s="19" t="str">
        <f>IFERROR(IF(AND(MATCH(A280,Projection_classes,0),YEAR(current_date)='Example - Projections'!B280),"pass","fail"),"")</f>
        <v/>
      </c>
    </row>
    <row r="281" spans="1:12" x14ac:dyDescent="0.25">
      <c r="A281" s="64"/>
      <c r="B281" s="64"/>
      <c r="C281" s="65"/>
      <c r="D281" s="65"/>
      <c r="E281" s="65"/>
      <c r="F281" s="61"/>
      <c r="G281" s="61"/>
      <c r="H281" s="61"/>
      <c r="I281" s="61"/>
      <c r="J281" s="61"/>
      <c r="K281" s="3" t="str">
        <f t="shared" si="16"/>
        <v>fail</v>
      </c>
      <c r="L281" s="19" t="str">
        <f>IFERROR(IF(AND(MATCH(A281,Projection_classes,0),YEAR(current_date)='Example - Projections'!B281),"pass","fail"),"")</f>
        <v/>
      </c>
    </row>
    <row r="282" spans="1:12" x14ac:dyDescent="0.25">
      <c r="A282" s="64"/>
      <c r="B282" s="64"/>
      <c r="C282" s="65"/>
      <c r="D282" s="65"/>
      <c r="E282" s="65"/>
      <c r="F282" s="61"/>
      <c r="G282" s="61"/>
      <c r="H282" s="61"/>
      <c r="I282" s="61"/>
      <c r="J282" s="61"/>
      <c r="K282" s="3" t="str">
        <f t="shared" si="16"/>
        <v>fail</v>
      </c>
      <c r="L282" s="19" t="str">
        <f>IFERROR(IF(AND(MATCH(A282,Projection_classes,0),YEAR(current_date)='Example - Projections'!B282),"pass","fail"),"")</f>
        <v/>
      </c>
    </row>
    <row r="283" spans="1:12" x14ac:dyDescent="0.25">
      <c r="A283" s="64"/>
      <c r="B283" s="64"/>
      <c r="C283" s="65"/>
      <c r="D283" s="65"/>
      <c r="E283" s="65"/>
      <c r="F283" s="61"/>
      <c r="G283" s="61"/>
      <c r="H283" s="61"/>
      <c r="I283" s="61"/>
      <c r="J283" s="61"/>
      <c r="K283" s="3" t="str">
        <f t="shared" si="16"/>
        <v>fail</v>
      </c>
      <c r="L283" s="19" t="str">
        <f>IFERROR(IF(AND(MATCH(A283,Projection_classes,0),YEAR(current_date)='Example - Projections'!B283),"pass","fail"),"")</f>
        <v/>
      </c>
    </row>
    <row r="284" spans="1:12" x14ac:dyDescent="0.25">
      <c r="A284" s="64"/>
      <c r="B284" s="64"/>
      <c r="C284" s="65"/>
      <c r="D284" s="65"/>
      <c r="E284" s="65"/>
      <c r="F284" s="61"/>
      <c r="G284" s="61"/>
      <c r="H284" s="61"/>
      <c r="I284" s="61"/>
      <c r="J284" s="61"/>
      <c r="K284" s="3" t="str">
        <f t="shared" si="16"/>
        <v>fail</v>
      </c>
      <c r="L284" s="19" t="str">
        <f>IFERROR(IF(AND(MATCH(A284,Projection_classes,0),YEAR(current_date)='Example - Projections'!B284),"pass","fail"),"")</f>
        <v/>
      </c>
    </row>
    <row r="285" spans="1:12" x14ac:dyDescent="0.25">
      <c r="A285" s="64"/>
      <c r="B285" s="64"/>
      <c r="C285" s="65"/>
      <c r="D285" s="65"/>
      <c r="E285" s="65"/>
      <c r="F285" s="61"/>
      <c r="G285" s="61"/>
      <c r="H285" s="61"/>
      <c r="I285" s="61"/>
      <c r="J285" s="61"/>
      <c r="K285" s="3" t="str">
        <f t="shared" si="16"/>
        <v>fail</v>
      </c>
      <c r="L285" s="19" t="str">
        <f>IFERROR(IF(AND(MATCH(A285,Projection_classes,0),YEAR(current_date)='Example - Projections'!B285),"pass","fail"),"")</f>
        <v/>
      </c>
    </row>
    <row r="286" spans="1:12" x14ac:dyDescent="0.25">
      <c r="A286" s="64"/>
      <c r="B286" s="64"/>
      <c r="C286" s="65"/>
      <c r="D286" s="65"/>
      <c r="E286" s="65"/>
      <c r="F286" s="61"/>
      <c r="G286" s="61"/>
      <c r="H286" s="61"/>
      <c r="I286" s="61"/>
      <c r="J286" s="61"/>
      <c r="K286" s="3" t="str">
        <f t="shared" si="16"/>
        <v>fail</v>
      </c>
      <c r="L286" s="19" t="str">
        <f>IFERROR(IF(AND(MATCH(A286,Projection_classes,0),YEAR(current_date)='Example - Projections'!B286),"pass","fail"),"")</f>
        <v/>
      </c>
    </row>
    <row r="287" spans="1:12" x14ac:dyDescent="0.25">
      <c r="A287" s="64"/>
      <c r="B287" s="64"/>
      <c r="C287" s="65"/>
      <c r="D287" s="65"/>
      <c r="E287" s="65"/>
      <c r="F287" s="61"/>
      <c r="G287" s="61"/>
      <c r="H287" s="61"/>
      <c r="I287" s="61"/>
      <c r="J287" s="61"/>
      <c r="K287" s="3" t="str">
        <f t="shared" si="16"/>
        <v>fail</v>
      </c>
      <c r="L287" s="19" t="str">
        <f>IFERROR(IF(AND(MATCH(A287,Projection_classes,0),YEAR(current_date)='Example - Projections'!B287),"pass","fail"),"")</f>
        <v/>
      </c>
    </row>
    <row r="288" spans="1:12" x14ac:dyDescent="0.25">
      <c r="A288" s="64"/>
      <c r="B288" s="64"/>
      <c r="C288" s="65"/>
      <c r="D288" s="65"/>
      <c r="E288" s="65"/>
      <c r="F288" s="61"/>
      <c r="G288" s="61"/>
      <c r="H288" s="61"/>
      <c r="I288" s="61"/>
      <c r="J288" s="61"/>
      <c r="K288" s="3" t="str">
        <f t="shared" si="16"/>
        <v>fail</v>
      </c>
      <c r="L288" s="19" t="str">
        <f>IFERROR(IF(AND(MATCH(A288,Projection_classes,0),YEAR(current_date)='Example - Projections'!B288),"pass","fail"),"")</f>
        <v/>
      </c>
    </row>
    <row r="289" spans="1:12" x14ac:dyDescent="0.25">
      <c r="A289" s="64"/>
      <c r="B289" s="64"/>
      <c r="C289" s="65"/>
      <c r="D289" s="65"/>
      <c r="E289" s="65"/>
      <c r="F289" s="61"/>
      <c r="G289" s="61"/>
      <c r="H289" s="61"/>
      <c r="I289" s="61"/>
      <c r="J289" s="61"/>
      <c r="K289" s="3" t="str">
        <f t="shared" si="16"/>
        <v>fail</v>
      </c>
      <c r="L289" s="19" t="str">
        <f>IFERROR(IF(AND(MATCH(A289,Projection_classes,0),YEAR(current_date)='Example - Projections'!B289),"pass","fail"),"")</f>
        <v/>
      </c>
    </row>
    <row r="290" spans="1:12" x14ac:dyDescent="0.25">
      <c r="A290" s="64"/>
      <c r="B290" s="64"/>
      <c r="C290" s="65"/>
      <c r="D290" s="65"/>
      <c r="E290" s="65"/>
      <c r="F290" s="61"/>
      <c r="G290" s="61"/>
      <c r="H290" s="61"/>
      <c r="I290" s="61"/>
      <c r="J290" s="61"/>
      <c r="K290" s="3" t="str">
        <f t="shared" si="16"/>
        <v>fail</v>
      </c>
      <c r="L290" s="19" t="str">
        <f>IFERROR(IF(AND(MATCH(A290,Projection_classes,0),YEAR(current_date)='Example - Projections'!B290),"pass","fail"),"")</f>
        <v/>
      </c>
    </row>
    <row r="291" spans="1:12" x14ac:dyDescent="0.25">
      <c r="A291" s="64"/>
      <c r="B291" s="64"/>
      <c r="C291" s="65"/>
      <c r="D291" s="65"/>
      <c r="E291" s="65"/>
      <c r="F291" s="61"/>
      <c r="G291" s="61"/>
      <c r="H291" s="61"/>
      <c r="I291" s="61"/>
      <c r="J291" s="61"/>
      <c r="K291" s="3" t="str">
        <f t="shared" si="16"/>
        <v>fail</v>
      </c>
      <c r="L291" s="19" t="str">
        <f>IFERROR(IF(AND(MATCH(A291,Projection_classes,0),YEAR(current_date)='Example - Projections'!B291),"pass","fail"),"")</f>
        <v/>
      </c>
    </row>
    <row r="292" spans="1:12" x14ac:dyDescent="0.25">
      <c r="A292" s="64"/>
      <c r="B292" s="64"/>
      <c r="C292" s="65"/>
      <c r="D292" s="65"/>
      <c r="E292" s="65"/>
      <c r="F292" s="61"/>
      <c r="G292" s="61"/>
      <c r="H292" s="61"/>
      <c r="I292" s="61"/>
      <c r="J292" s="61"/>
      <c r="K292" s="3" t="str">
        <f t="shared" si="16"/>
        <v>fail</v>
      </c>
      <c r="L292" s="19" t="str">
        <f>IFERROR(IF(AND(MATCH(A292,Projection_classes,0),YEAR(current_date)='Example - Projections'!B292),"pass","fail"),"")</f>
        <v/>
      </c>
    </row>
    <row r="293" spans="1:12" x14ac:dyDescent="0.25">
      <c r="A293" s="64"/>
      <c r="B293" s="64"/>
      <c r="C293" s="65"/>
      <c r="D293" s="65"/>
      <c r="E293" s="65"/>
      <c r="F293" s="61"/>
      <c r="G293" s="61"/>
      <c r="H293" s="61"/>
      <c r="I293" s="61"/>
      <c r="J293" s="61"/>
      <c r="K293" s="3" t="str">
        <f t="shared" si="16"/>
        <v>fail</v>
      </c>
      <c r="L293" s="19" t="str">
        <f>IFERROR(IF(AND(MATCH(A293,Projection_classes,0),YEAR(current_date)='Example - Projections'!B293),"pass","fail"),"")</f>
        <v/>
      </c>
    </row>
    <row r="294" spans="1:12" x14ac:dyDescent="0.25">
      <c r="A294" s="64"/>
      <c r="B294" s="64"/>
      <c r="C294" s="65"/>
      <c r="D294" s="65"/>
      <c r="E294" s="65"/>
      <c r="F294" s="61"/>
      <c r="G294" s="61"/>
      <c r="H294" s="61"/>
      <c r="I294" s="61"/>
      <c r="J294" s="61"/>
      <c r="K294" s="3" t="str">
        <f t="shared" si="16"/>
        <v>fail</v>
      </c>
      <c r="L294" s="19" t="str">
        <f>IFERROR(IF(AND(MATCH(A294,Projection_classes,0),YEAR(current_date)='Example - Projections'!B294),"pass","fail"),"")</f>
        <v/>
      </c>
    </row>
    <row r="295" spans="1:12" x14ac:dyDescent="0.25">
      <c r="A295" s="64"/>
      <c r="B295" s="64"/>
      <c r="C295" s="65"/>
      <c r="D295" s="65"/>
      <c r="E295" s="65"/>
      <c r="F295" s="61"/>
      <c r="G295" s="61"/>
      <c r="H295" s="61"/>
      <c r="I295" s="61"/>
      <c r="J295" s="61"/>
      <c r="K295" s="3" t="str">
        <f t="shared" si="16"/>
        <v>fail</v>
      </c>
      <c r="L295" s="19" t="str">
        <f>IFERROR(IF(AND(MATCH(A295,Projection_classes,0),YEAR(current_date)='Example - Projections'!B295),"pass","fail"),"")</f>
        <v/>
      </c>
    </row>
    <row r="296" spans="1:12" x14ac:dyDescent="0.25">
      <c r="A296" s="64"/>
      <c r="B296" s="64"/>
      <c r="C296" s="65"/>
      <c r="D296" s="65"/>
      <c r="E296" s="65"/>
      <c r="F296" s="61"/>
      <c r="G296" s="61"/>
      <c r="H296" s="61"/>
      <c r="I296" s="61"/>
      <c r="J296" s="61"/>
      <c r="K296" s="3" t="str">
        <f t="shared" si="16"/>
        <v>fail</v>
      </c>
      <c r="L296" s="19" t="str">
        <f>IFERROR(IF(AND(MATCH(A296,Projection_classes,0),YEAR(current_date)='Example - Projections'!B296),"pass","fail"),"")</f>
        <v/>
      </c>
    </row>
    <row r="297" spans="1:12" x14ac:dyDescent="0.25">
      <c r="A297" s="64"/>
      <c r="B297" s="64"/>
      <c r="C297" s="65"/>
      <c r="D297" s="65"/>
      <c r="E297" s="65"/>
      <c r="F297" s="61"/>
      <c r="G297" s="61"/>
      <c r="H297" s="61"/>
      <c r="I297" s="61"/>
      <c r="J297" s="61"/>
      <c r="K297" s="3" t="str">
        <f t="shared" si="16"/>
        <v>fail</v>
      </c>
      <c r="L297" s="19" t="str">
        <f>IFERROR(IF(AND(MATCH(A297,Projection_classes,0),YEAR(current_date)='Example - Projections'!B297),"pass","fail"),"")</f>
        <v/>
      </c>
    </row>
    <row r="298" spans="1:12" x14ac:dyDescent="0.25">
      <c r="A298" s="64"/>
      <c r="B298" s="64"/>
      <c r="C298" s="65"/>
      <c r="D298" s="65"/>
      <c r="E298" s="65"/>
      <c r="F298" s="61"/>
      <c r="G298" s="61"/>
      <c r="H298" s="61"/>
      <c r="I298" s="61"/>
      <c r="J298" s="61"/>
      <c r="K298" s="3" t="str">
        <f t="shared" si="16"/>
        <v>fail</v>
      </c>
      <c r="L298" s="19" t="str">
        <f>IFERROR(IF(AND(MATCH(A298,Projection_classes,0),YEAR(current_date)='Example - Projections'!B298),"pass","fail"),"")</f>
        <v/>
      </c>
    </row>
    <row r="299" spans="1:12" x14ac:dyDescent="0.25">
      <c r="A299" s="64"/>
      <c r="B299" s="64"/>
      <c r="C299" s="65"/>
      <c r="D299" s="65"/>
      <c r="E299" s="65"/>
      <c r="F299" s="61"/>
      <c r="G299" s="61"/>
      <c r="H299" s="61"/>
      <c r="I299" s="61"/>
      <c r="J299" s="61"/>
      <c r="K299" s="3" t="str">
        <f t="shared" si="16"/>
        <v>fail</v>
      </c>
      <c r="L299" s="19" t="str">
        <f>IFERROR(IF(AND(MATCH(A299,Projection_classes,0),YEAR(current_date)='Example - Projections'!B299),"pass","fail"),"")</f>
        <v/>
      </c>
    </row>
    <row r="300" spans="1:12" x14ac:dyDescent="0.25">
      <c r="A300" s="64"/>
      <c r="B300" s="64"/>
      <c r="C300" s="65"/>
      <c r="D300" s="65"/>
      <c r="E300" s="65"/>
      <c r="F300" s="61"/>
      <c r="G300" s="61"/>
      <c r="H300" s="61"/>
      <c r="I300" s="61"/>
      <c r="J300" s="61"/>
      <c r="K300" s="3" t="str">
        <f t="shared" si="16"/>
        <v>fail</v>
      </c>
      <c r="L300" s="19" t="str">
        <f>IFERROR(IF(AND(MATCH(A300,Projection_classes,0),YEAR(current_date)='Example - Projections'!B300),"pass","fail"),"")</f>
        <v/>
      </c>
    </row>
    <row r="301" spans="1:12" x14ac:dyDescent="0.25">
      <c r="A301" s="64"/>
      <c r="B301" s="64"/>
      <c r="C301" s="65"/>
      <c r="D301" s="65"/>
      <c r="E301" s="65"/>
      <c r="F301" s="61"/>
      <c r="G301" s="61"/>
      <c r="H301" s="61"/>
      <c r="I301" s="61"/>
      <c r="J301" s="61"/>
      <c r="K301" s="3" t="str">
        <f t="shared" si="16"/>
        <v>fail</v>
      </c>
      <c r="L301" s="19" t="str">
        <f>IFERROR(IF(AND(MATCH(A301,Projection_classes,0),YEAR(current_date)='Example - Projections'!B301),"pass","fail"),"")</f>
        <v/>
      </c>
    </row>
    <row r="302" spans="1:12" x14ac:dyDescent="0.25">
      <c r="A302" s="64"/>
      <c r="B302" s="64"/>
      <c r="C302" s="65"/>
      <c r="D302" s="65"/>
      <c r="E302" s="65"/>
      <c r="F302" s="61"/>
      <c r="G302" s="61"/>
      <c r="H302" s="61"/>
      <c r="I302" s="61"/>
      <c r="J302" s="61"/>
      <c r="K302" s="3" t="str">
        <f t="shared" si="16"/>
        <v>fail</v>
      </c>
      <c r="L302" s="19" t="str">
        <f>IFERROR(IF(AND(MATCH(A302,Projection_classes,0),YEAR(current_date)='Example - Projections'!B302),"pass","fail"),"")</f>
        <v/>
      </c>
    </row>
    <row r="303" spans="1:12" x14ac:dyDescent="0.25">
      <c r="A303" s="64"/>
      <c r="B303" s="64"/>
      <c r="C303" s="65"/>
      <c r="D303" s="65"/>
      <c r="E303" s="65"/>
      <c r="F303" s="61"/>
      <c r="G303" s="61"/>
      <c r="H303" s="61"/>
      <c r="I303" s="61"/>
      <c r="J303" s="61"/>
      <c r="K303" s="3" t="str">
        <f t="shared" si="16"/>
        <v>fail</v>
      </c>
      <c r="L303" s="19" t="str">
        <f>IFERROR(IF(AND(MATCH(A303,Projection_classes,0),YEAR(current_date)='Example - Projections'!B303),"pass","fail"),"")</f>
        <v/>
      </c>
    </row>
    <row r="304" spans="1:12" x14ac:dyDescent="0.25">
      <c r="A304" s="64"/>
      <c r="B304" s="64"/>
      <c r="C304" s="65"/>
      <c r="D304" s="65"/>
      <c r="E304" s="65"/>
      <c r="F304" s="61"/>
      <c r="G304" s="61"/>
      <c r="H304" s="61"/>
      <c r="I304" s="61"/>
      <c r="J304" s="61"/>
      <c r="K304" s="3" t="str">
        <f t="shared" si="16"/>
        <v>fail</v>
      </c>
      <c r="L304" s="19" t="str">
        <f>IFERROR(IF(AND(MATCH(A304,Projection_classes,0),YEAR(current_date)='Example - Projections'!B304),"pass","fail"),"")</f>
        <v/>
      </c>
    </row>
    <row r="305" spans="1:12" x14ac:dyDescent="0.25">
      <c r="A305" s="64"/>
      <c r="B305" s="64"/>
      <c r="C305" s="65"/>
      <c r="D305" s="65"/>
      <c r="E305" s="65"/>
      <c r="F305" s="61"/>
      <c r="G305" s="61"/>
      <c r="H305" s="61"/>
      <c r="I305" s="61"/>
      <c r="J305" s="61"/>
      <c r="K305" s="3" t="str">
        <f t="shared" si="16"/>
        <v>fail</v>
      </c>
      <c r="L305" s="19" t="str">
        <f>IFERROR(IF(AND(MATCH(A305,Projection_classes,0),YEAR(current_date)='Example - Projections'!B305),"pass","fail"),"")</f>
        <v/>
      </c>
    </row>
    <row r="306" spans="1:12" x14ac:dyDescent="0.25">
      <c r="A306" s="64"/>
      <c r="B306" s="64"/>
      <c r="C306" s="65"/>
      <c r="D306" s="65"/>
      <c r="E306" s="65"/>
      <c r="F306" s="61"/>
      <c r="G306" s="61"/>
      <c r="H306" s="61"/>
      <c r="I306" s="61"/>
      <c r="J306" s="61"/>
      <c r="K306" s="3" t="str">
        <f t="shared" si="16"/>
        <v>fail</v>
      </c>
      <c r="L306" s="19" t="str">
        <f>IFERROR(IF(AND(MATCH(A306,Projection_classes,0),YEAR(current_date)='Example - Projections'!B306),"pass","fail"),"")</f>
        <v/>
      </c>
    </row>
    <row r="307" spans="1:12" x14ac:dyDescent="0.25">
      <c r="A307" s="64"/>
      <c r="B307" s="64"/>
      <c r="C307" s="65"/>
      <c r="D307" s="65"/>
      <c r="E307" s="65"/>
      <c r="F307" s="61"/>
      <c r="G307" s="61"/>
      <c r="H307" s="61"/>
      <c r="I307" s="61"/>
      <c r="J307" s="61"/>
      <c r="K307" s="3" t="str">
        <f t="shared" si="16"/>
        <v>fail</v>
      </c>
      <c r="L307" s="19" t="str">
        <f>IFERROR(IF(AND(MATCH(A307,Projection_classes,0),YEAR(current_date)='Example - Projections'!B307),"pass","fail"),"")</f>
        <v/>
      </c>
    </row>
    <row r="308" spans="1:12" x14ac:dyDescent="0.25">
      <c r="A308" s="64"/>
      <c r="B308" s="64"/>
      <c r="C308" s="65"/>
      <c r="D308" s="65"/>
      <c r="E308" s="65"/>
      <c r="F308" s="61"/>
      <c r="G308" s="61"/>
      <c r="H308" s="61"/>
      <c r="I308" s="61"/>
      <c r="J308" s="61"/>
      <c r="K308" s="3" t="str">
        <f t="shared" si="16"/>
        <v>fail</v>
      </c>
      <c r="L308" s="19" t="str">
        <f>IFERROR(IF(AND(MATCH(A308,Projection_classes,0),YEAR(current_date)='Example - Projections'!B308),"pass","fail"),"")</f>
        <v/>
      </c>
    </row>
    <row r="309" spans="1:12" x14ac:dyDescent="0.25">
      <c r="A309" s="64"/>
      <c r="B309" s="64"/>
      <c r="C309" s="65"/>
      <c r="D309" s="65"/>
      <c r="E309" s="65"/>
      <c r="F309" s="61"/>
      <c r="G309" s="61"/>
      <c r="H309" s="61"/>
      <c r="I309" s="61"/>
      <c r="J309" s="61"/>
      <c r="K309" s="3" t="str">
        <f t="shared" si="16"/>
        <v>fail</v>
      </c>
      <c r="L309" s="19" t="str">
        <f>IFERROR(IF(AND(MATCH(A309,Projection_classes,0),YEAR(current_date)='Example - Projections'!B309),"pass","fail"),"")</f>
        <v/>
      </c>
    </row>
    <row r="310" spans="1:12" x14ac:dyDescent="0.25">
      <c r="A310" s="64"/>
      <c r="B310" s="64"/>
      <c r="C310" s="65"/>
      <c r="D310" s="65"/>
      <c r="E310" s="65"/>
      <c r="F310" s="61"/>
      <c r="G310" s="61"/>
      <c r="H310" s="61"/>
      <c r="I310" s="61"/>
      <c r="J310" s="61"/>
      <c r="K310" s="3" t="str">
        <f t="shared" si="16"/>
        <v>fail</v>
      </c>
      <c r="L310" s="19" t="str">
        <f>IFERROR(IF(AND(MATCH(A310,Projection_classes,0),YEAR(current_date)='Example - Projections'!B310),"pass","fail"),"")</f>
        <v/>
      </c>
    </row>
    <row r="311" spans="1:12" x14ac:dyDescent="0.25">
      <c r="A311" s="64"/>
      <c r="B311" s="64"/>
      <c r="C311" s="65"/>
      <c r="D311" s="65"/>
      <c r="E311" s="65"/>
      <c r="F311" s="61"/>
      <c r="G311" s="61"/>
      <c r="H311" s="61"/>
      <c r="I311" s="61"/>
      <c r="J311" s="61"/>
      <c r="K311" s="3" t="str">
        <f t="shared" si="16"/>
        <v>fail</v>
      </c>
      <c r="L311" s="19" t="str">
        <f>IFERROR(IF(AND(MATCH(A311,Projection_classes,0),YEAR(current_date)='Example - Projections'!B311),"pass","fail"),"")</f>
        <v/>
      </c>
    </row>
    <row r="312" spans="1:12" x14ac:dyDescent="0.25">
      <c r="A312" s="64"/>
      <c r="B312" s="64"/>
      <c r="C312" s="65"/>
      <c r="D312" s="65"/>
      <c r="E312" s="65"/>
      <c r="F312" s="61"/>
      <c r="G312" s="61"/>
      <c r="H312" s="61"/>
      <c r="I312" s="61"/>
      <c r="J312" s="61"/>
      <c r="K312" s="3" t="str">
        <f t="shared" si="16"/>
        <v>fail</v>
      </c>
      <c r="L312" s="19" t="str">
        <f>IFERROR(IF(AND(MATCH(A312,Projection_classes,0),YEAR(current_date)='Example - Projections'!B312),"pass","fail"),"")</f>
        <v/>
      </c>
    </row>
    <row r="313" spans="1:12" x14ac:dyDescent="0.25">
      <c r="A313" s="64"/>
      <c r="B313" s="64"/>
      <c r="C313" s="65"/>
      <c r="D313" s="65"/>
      <c r="E313" s="65"/>
      <c r="F313" s="61"/>
      <c r="G313" s="61"/>
      <c r="H313" s="61"/>
      <c r="I313" s="61"/>
      <c r="J313" s="61"/>
      <c r="K313" s="3" t="str">
        <f t="shared" si="16"/>
        <v>fail</v>
      </c>
      <c r="L313" s="19" t="str">
        <f>IFERROR(IF(AND(MATCH(A313,Projection_classes,0),YEAR(current_date)='Example - Projections'!B313),"pass","fail"),"")</f>
        <v/>
      </c>
    </row>
    <row r="314" spans="1:12" x14ac:dyDescent="0.25">
      <c r="A314" s="64"/>
      <c r="B314" s="64"/>
      <c r="C314" s="65"/>
      <c r="D314" s="65"/>
      <c r="E314" s="65"/>
      <c r="F314" s="61"/>
      <c r="G314" s="61"/>
      <c r="H314" s="61"/>
      <c r="I314" s="61"/>
      <c r="J314" s="61"/>
      <c r="K314" s="3" t="str">
        <f t="shared" si="16"/>
        <v>fail</v>
      </c>
      <c r="L314" s="19" t="str">
        <f>IFERROR(IF(AND(MATCH(A314,Projection_classes,0),YEAR(current_date)='Example - Projections'!B314),"pass","fail"),"")</f>
        <v/>
      </c>
    </row>
    <row r="315" spans="1:12" x14ac:dyDescent="0.25">
      <c r="A315" s="64"/>
      <c r="B315" s="64"/>
      <c r="C315" s="65"/>
      <c r="D315" s="65"/>
      <c r="E315" s="65"/>
      <c r="F315" s="61"/>
      <c r="G315" s="61"/>
      <c r="H315" s="61"/>
      <c r="I315" s="61"/>
      <c r="J315" s="61"/>
      <c r="K315" s="3" t="str">
        <f t="shared" si="16"/>
        <v>fail</v>
      </c>
      <c r="L315" s="19" t="str">
        <f>IFERROR(IF(AND(MATCH(A315,Projection_classes,0),YEAR(current_date)='Example - Projections'!B315),"pass","fail"),"")</f>
        <v/>
      </c>
    </row>
    <row r="316" spans="1:12" x14ac:dyDescent="0.25">
      <c r="A316" s="64"/>
      <c r="B316" s="64"/>
      <c r="C316" s="65"/>
      <c r="D316" s="65"/>
      <c r="E316" s="65"/>
      <c r="F316" s="61"/>
      <c r="G316" s="61"/>
      <c r="H316" s="61"/>
      <c r="I316" s="61"/>
      <c r="J316" s="61"/>
      <c r="K316" s="3" t="str">
        <f t="shared" si="16"/>
        <v>fail</v>
      </c>
      <c r="L316" s="19" t="str">
        <f>IFERROR(IF(AND(MATCH(A316,Projection_classes,0),YEAR(current_date)='Example - Projections'!B316),"pass","fail"),"")</f>
        <v/>
      </c>
    </row>
    <row r="317" spans="1:12" x14ac:dyDescent="0.25">
      <c r="A317" s="64"/>
      <c r="B317" s="64"/>
      <c r="C317" s="65"/>
      <c r="D317" s="65"/>
      <c r="E317" s="65"/>
      <c r="F317" s="61"/>
      <c r="G317" s="61"/>
      <c r="H317" s="61"/>
      <c r="I317" s="61"/>
      <c r="J317" s="61"/>
      <c r="K317" s="3" t="str">
        <f t="shared" si="16"/>
        <v>fail</v>
      </c>
      <c r="L317" s="19" t="str">
        <f>IFERROR(IF(AND(MATCH(A317,Projection_classes,0),YEAR(current_date)='Example - Projections'!B317),"pass","fail"),"")</f>
        <v/>
      </c>
    </row>
    <row r="318" spans="1:12" x14ac:dyDescent="0.25">
      <c r="A318" s="64"/>
      <c r="B318" s="64"/>
      <c r="C318" s="65"/>
      <c r="D318" s="65"/>
      <c r="E318" s="65"/>
      <c r="F318" s="61"/>
      <c r="G318" s="61"/>
      <c r="H318" s="61"/>
      <c r="I318" s="61"/>
      <c r="J318" s="61"/>
      <c r="K318" s="3" t="str">
        <f t="shared" si="16"/>
        <v>fail</v>
      </c>
      <c r="L318" s="19" t="str">
        <f>IFERROR(IF(AND(MATCH(A318,Projection_classes,0),YEAR(current_date)='Example - Projections'!B318),"pass","fail"),"")</f>
        <v/>
      </c>
    </row>
    <row r="319" spans="1:12" x14ac:dyDescent="0.25">
      <c r="A319" s="64"/>
      <c r="B319" s="64"/>
      <c r="C319" s="65"/>
      <c r="D319" s="65"/>
      <c r="E319" s="65"/>
      <c r="F319" s="61"/>
      <c r="G319" s="61"/>
      <c r="H319" s="61"/>
      <c r="I319" s="61"/>
      <c r="J319" s="61"/>
      <c r="K319" s="3" t="str">
        <f t="shared" si="16"/>
        <v>fail</v>
      </c>
      <c r="L319" s="19" t="str">
        <f>IFERROR(IF(AND(MATCH(A319,Projection_classes,0),YEAR(current_date)='Example - Projections'!B319),"pass","fail"),"")</f>
        <v/>
      </c>
    </row>
    <row r="320" spans="1:12" x14ac:dyDescent="0.25">
      <c r="A320" s="64"/>
      <c r="B320" s="64"/>
      <c r="C320" s="65"/>
      <c r="D320" s="65"/>
      <c r="E320" s="65"/>
      <c r="F320" s="61"/>
      <c r="G320" s="61"/>
      <c r="H320" s="61"/>
      <c r="I320" s="61"/>
      <c r="J320" s="61"/>
      <c r="K320" s="3" t="str">
        <f t="shared" si="16"/>
        <v>fail</v>
      </c>
      <c r="L320" s="19" t="str">
        <f>IFERROR(IF(AND(MATCH(A320,Projection_classes,0),YEAR(current_date)='Example - Projections'!B320),"pass","fail"),"")</f>
        <v/>
      </c>
    </row>
    <row r="321" spans="1:12" x14ac:dyDescent="0.25">
      <c r="A321" s="64"/>
      <c r="B321" s="64"/>
      <c r="C321" s="65"/>
      <c r="D321" s="65"/>
      <c r="E321" s="65"/>
      <c r="F321" s="61"/>
      <c r="G321" s="61"/>
      <c r="H321" s="61"/>
      <c r="I321" s="61"/>
      <c r="J321" s="61"/>
      <c r="K321" s="3" t="str">
        <f t="shared" si="16"/>
        <v>fail</v>
      </c>
      <c r="L321" s="19" t="str">
        <f>IFERROR(IF(AND(MATCH(A321,Projection_classes,0),YEAR(current_date)='Example - Projections'!B321),"pass","fail"),"")</f>
        <v/>
      </c>
    </row>
    <row r="322" spans="1:12" x14ac:dyDescent="0.25">
      <c r="A322" s="64"/>
      <c r="B322" s="64"/>
      <c r="C322" s="65"/>
      <c r="D322" s="65"/>
      <c r="E322" s="65"/>
      <c r="F322" s="61"/>
      <c r="G322" s="61"/>
      <c r="H322" s="61"/>
      <c r="I322" s="61"/>
      <c r="J322" s="61"/>
      <c r="K322" s="3" t="str">
        <f t="shared" ref="K322:K385" si="17">IF(OR(B322&lt;$N$1,B322&gt;$P$1),"fail","pass")</f>
        <v>fail</v>
      </c>
      <c r="L322" s="19" t="str">
        <f>IFERROR(IF(AND(MATCH(A322,Projection_classes,0),YEAR(current_date)='Example - Projections'!B322),"pass","fail"),"")</f>
        <v/>
      </c>
    </row>
    <row r="323" spans="1:12" x14ac:dyDescent="0.25">
      <c r="A323" s="64"/>
      <c r="B323" s="64"/>
      <c r="C323" s="65"/>
      <c r="D323" s="65"/>
      <c r="E323" s="65"/>
      <c r="F323" s="61"/>
      <c r="G323" s="61"/>
      <c r="H323" s="61"/>
      <c r="I323" s="61"/>
      <c r="J323" s="61"/>
      <c r="K323" s="3" t="str">
        <f t="shared" si="17"/>
        <v>fail</v>
      </c>
      <c r="L323" s="19" t="str">
        <f>IFERROR(IF(AND(MATCH(A323,Projection_classes,0),YEAR(current_date)='Example - Projections'!B323),"pass","fail"),"")</f>
        <v/>
      </c>
    </row>
    <row r="324" spans="1:12" x14ac:dyDescent="0.25">
      <c r="A324" s="64"/>
      <c r="B324" s="64"/>
      <c r="C324" s="65"/>
      <c r="D324" s="65"/>
      <c r="E324" s="65"/>
      <c r="F324" s="61"/>
      <c r="G324" s="61"/>
      <c r="H324" s="61"/>
      <c r="I324" s="61"/>
      <c r="J324" s="61"/>
      <c r="K324" s="3" t="str">
        <f t="shared" si="17"/>
        <v>fail</v>
      </c>
      <c r="L324" s="19" t="str">
        <f>IFERROR(IF(AND(MATCH(A324,Projection_classes,0),YEAR(current_date)='Example - Projections'!B324),"pass","fail"),"")</f>
        <v/>
      </c>
    </row>
    <row r="325" spans="1:12" x14ac:dyDescent="0.25">
      <c r="A325" s="64"/>
      <c r="B325" s="64"/>
      <c r="C325" s="65"/>
      <c r="D325" s="65"/>
      <c r="E325" s="65"/>
      <c r="F325" s="61"/>
      <c r="G325" s="61"/>
      <c r="H325" s="61"/>
      <c r="I325" s="61"/>
      <c r="J325" s="61"/>
      <c r="K325" s="3" t="str">
        <f t="shared" si="17"/>
        <v>fail</v>
      </c>
      <c r="L325" s="19" t="str">
        <f>IFERROR(IF(AND(MATCH(A325,Projection_classes,0),YEAR(current_date)='Example - Projections'!B325),"pass","fail"),"")</f>
        <v/>
      </c>
    </row>
    <row r="326" spans="1:12" x14ac:dyDescent="0.25">
      <c r="A326" s="64"/>
      <c r="B326" s="64"/>
      <c r="C326" s="65"/>
      <c r="D326" s="65"/>
      <c r="E326" s="65"/>
      <c r="F326" s="61"/>
      <c r="G326" s="61"/>
      <c r="H326" s="61"/>
      <c r="I326" s="61"/>
      <c r="J326" s="61"/>
      <c r="K326" s="3" t="str">
        <f t="shared" si="17"/>
        <v>fail</v>
      </c>
      <c r="L326" s="19" t="str">
        <f>IFERROR(IF(AND(MATCH(A326,Projection_classes,0),YEAR(current_date)='Example - Projections'!B326),"pass","fail"),"")</f>
        <v/>
      </c>
    </row>
    <row r="327" spans="1:12" x14ac:dyDescent="0.25">
      <c r="A327" s="64"/>
      <c r="B327" s="64"/>
      <c r="C327" s="65"/>
      <c r="D327" s="65"/>
      <c r="E327" s="65"/>
      <c r="F327" s="61"/>
      <c r="G327" s="61"/>
      <c r="H327" s="61"/>
      <c r="I327" s="61"/>
      <c r="J327" s="61"/>
      <c r="K327" s="3" t="str">
        <f t="shared" si="17"/>
        <v>fail</v>
      </c>
      <c r="L327" s="19" t="str">
        <f>IFERROR(IF(AND(MATCH(A327,Projection_classes,0),YEAR(current_date)='Example - Projections'!B327),"pass","fail"),"")</f>
        <v/>
      </c>
    </row>
    <row r="328" spans="1:12" x14ac:dyDescent="0.25">
      <c r="A328" s="64"/>
      <c r="B328" s="64"/>
      <c r="C328" s="65"/>
      <c r="D328" s="65"/>
      <c r="E328" s="65"/>
      <c r="F328" s="61"/>
      <c r="G328" s="61"/>
      <c r="H328" s="61"/>
      <c r="I328" s="61"/>
      <c r="J328" s="61"/>
      <c r="K328" s="3" t="str">
        <f t="shared" si="17"/>
        <v>fail</v>
      </c>
      <c r="L328" s="19" t="str">
        <f>IFERROR(IF(AND(MATCH(A328,Projection_classes,0),YEAR(current_date)='Example - Projections'!B328),"pass","fail"),"")</f>
        <v/>
      </c>
    </row>
    <row r="329" spans="1:12" x14ac:dyDescent="0.25">
      <c r="A329" s="64"/>
      <c r="B329" s="64"/>
      <c r="C329" s="65"/>
      <c r="D329" s="65"/>
      <c r="E329" s="65"/>
      <c r="F329" s="61"/>
      <c r="G329" s="61"/>
      <c r="H329" s="61"/>
      <c r="I329" s="61"/>
      <c r="J329" s="61"/>
      <c r="K329" s="3" t="str">
        <f t="shared" si="17"/>
        <v>fail</v>
      </c>
      <c r="L329" s="19" t="str">
        <f>IFERROR(IF(AND(MATCH(A329,Projection_classes,0),YEAR(current_date)='Example - Projections'!B329),"pass","fail"),"")</f>
        <v/>
      </c>
    </row>
    <row r="330" spans="1:12" x14ac:dyDescent="0.25">
      <c r="A330" s="64"/>
      <c r="B330" s="64"/>
      <c r="C330" s="65"/>
      <c r="D330" s="65"/>
      <c r="E330" s="65"/>
      <c r="F330" s="61"/>
      <c r="G330" s="61"/>
      <c r="H330" s="61"/>
      <c r="I330" s="61"/>
      <c r="J330" s="61"/>
      <c r="K330" s="3" t="str">
        <f t="shared" si="17"/>
        <v>fail</v>
      </c>
      <c r="L330" s="19" t="str">
        <f>IFERROR(IF(AND(MATCH(A330,Projection_classes,0),YEAR(current_date)='Example - Projections'!B330),"pass","fail"),"")</f>
        <v/>
      </c>
    </row>
    <row r="331" spans="1:12" x14ac:dyDescent="0.25">
      <c r="A331" s="64"/>
      <c r="B331" s="64"/>
      <c r="C331" s="65"/>
      <c r="D331" s="65"/>
      <c r="E331" s="65"/>
      <c r="F331" s="61"/>
      <c r="G331" s="61"/>
      <c r="H331" s="61"/>
      <c r="I331" s="61"/>
      <c r="J331" s="61"/>
      <c r="K331" s="3" t="str">
        <f t="shared" si="17"/>
        <v>fail</v>
      </c>
      <c r="L331" s="19" t="str">
        <f>IFERROR(IF(AND(MATCH(A331,Projection_classes,0),YEAR(current_date)='Example - Projections'!B331),"pass","fail"),"")</f>
        <v/>
      </c>
    </row>
    <row r="332" spans="1:12" x14ac:dyDescent="0.25">
      <c r="A332" s="64"/>
      <c r="B332" s="64"/>
      <c r="C332" s="65"/>
      <c r="D332" s="65"/>
      <c r="E332" s="65"/>
      <c r="F332" s="61"/>
      <c r="G332" s="61"/>
      <c r="H332" s="61"/>
      <c r="I332" s="61"/>
      <c r="J332" s="61"/>
      <c r="K332" s="3" t="str">
        <f t="shared" si="17"/>
        <v>fail</v>
      </c>
      <c r="L332" s="19" t="str">
        <f>IFERROR(IF(AND(MATCH(A332,Projection_classes,0),YEAR(current_date)='Example - Projections'!B332),"pass","fail"),"")</f>
        <v/>
      </c>
    </row>
    <row r="333" spans="1:12" x14ac:dyDescent="0.25">
      <c r="A333" s="64"/>
      <c r="B333" s="64"/>
      <c r="C333" s="65"/>
      <c r="D333" s="65"/>
      <c r="E333" s="65"/>
      <c r="F333" s="61"/>
      <c r="G333" s="61"/>
      <c r="H333" s="61"/>
      <c r="I333" s="61"/>
      <c r="J333" s="61"/>
      <c r="K333" s="3" t="str">
        <f t="shared" si="17"/>
        <v>fail</v>
      </c>
      <c r="L333" s="19" t="str">
        <f>IFERROR(IF(AND(MATCH(A333,Projection_classes,0),YEAR(current_date)='Example - Projections'!B333),"pass","fail"),"")</f>
        <v/>
      </c>
    </row>
    <row r="334" spans="1:12" x14ac:dyDescent="0.25">
      <c r="A334" s="64"/>
      <c r="B334" s="64"/>
      <c r="C334" s="65"/>
      <c r="D334" s="65"/>
      <c r="E334" s="65"/>
      <c r="F334" s="61"/>
      <c r="G334" s="61"/>
      <c r="H334" s="61"/>
      <c r="I334" s="61"/>
      <c r="J334" s="61"/>
      <c r="K334" s="3" t="str">
        <f t="shared" si="17"/>
        <v>fail</v>
      </c>
      <c r="L334" s="19" t="str">
        <f>IFERROR(IF(AND(MATCH(A334,Projection_classes,0),YEAR(current_date)='Example - Projections'!B334),"pass","fail"),"")</f>
        <v/>
      </c>
    </row>
    <row r="335" spans="1:12" x14ac:dyDescent="0.25">
      <c r="A335" s="64"/>
      <c r="B335" s="64"/>
      <c r="C335" s="65"/>
      <c r="D335" s="65"/>
      <c r="E335" s="65"/>
      <c r="F335" s="61"/>
      <c r="G335" s="61"/>
      <c r="H335" s="61"/>
      <c r="I335" s="61"/>
      <c r="J335" s="61"/>
      <c r="K335" s="3" t="str">
        <f t="shared" si="17"/>
        <v>fail</v>
      </c>
      <c r="L335" s="19" t="str">
        <f>IFERROR(IF(AND(MATCH(A335,Projection_classes,0),YEAR(current_date)='Example - Projections'!B335),"pass","fail"),"")</f>
        <v/>
      </c>
    </row>
    <row r="336" spans="1:12" x14ac:dyDescent="0.25">
      <c r="A336" s="64"/>
      <c r="B336" s="64"/>
      <c r="C336" s="65"/>
      <c r="D336" s="65"/>
      <c r="E336" s="65"/>
      <c r="F336" s="61"/>
      <c r="G336" s="61"/>
      <c r="H336" s="61"/>
      <c r="I336" s="61"/>
      <c r="J336" s="61"/>
      <c r="K336" s="3" t="str">
        <f t="shared" si="17"/>
        <v>fail</v>
      </c>
      <c r="L336" s="19" t="str">
        <f>IFERROR(IF(AND(MATCH(A336,Projection_classes,0),YEAR(current_date)='Example - Projections'!B336),"pass","fail"),"")</f>
        <v/>
      </c>
    </row>
    <row r="337" spans="1:12" x14ac:dyDescent="0.25">
      <c r="A337" s="64"/>
      <c r="B337" s="64"/>
      <c r="C337" s="65"/>
      <c r="D337" s="65"/>
      <c r="E337" s="65"/>
      <c r="F337" s="61"/>
      <c r="G337" s="61"/>
      <c r="H337" s="61"/>
      <c r="I337" s="61"/>
      <c r="J337" s="61"/>
      <c r="K337" s="3" t="str">
        <f t="shared" si="17"/>
        <v>fail</v>
      </c>
      <c r="L337" s="19" t="str">
        <f>IFERROR(IF(AND(MATCH(A337,Projection_classes,0),YEAR(current_date)='Example - Projections'!B337),"pass","fail"),"")</f>
        <v/>
      </c>
    </row>
    <row r="338" spans="1:12" x14ac:dyDescent="0.25">
      <c r="A338" s="64"/>
      <c r="B338" s="64"/>
      <c r="C338" s="65"/>
      <c r="D338" s="65"/>
      <c r="E338" s="65"/>
      <c r="F338" s="61"/>
      <c r="G338" s="61"/>
      <c r="H338" s="61"/>
      <c r="I338" s="61"/>
      <c r="J338" s="61"/>
      <c r="K338" s="3" t="str">
        <f t="shared" si="17"/>
        <v>fail</v>
      </c>
      <c r="L338" s="19" t="str">
        <f>IFERROR(IF(AND(MATCH(A338,Projection_classes,0),YEAR(current_date)='Example - Projections'!B338),"pass","fail"),"")</f>
        <v/>
      </c>
    </row>
    <row r="339" spans="1:12" x14ac:dyDescent="0.25">
      <c r="A339" s="64"/>
      <c r="B339" s="64"/>
      <c r="C339" s="65"/>
      <c r="D339" s="65"/>
      <c r="E339" s="65"/>
      <c r="F339" s="61"/>
      <c r="G339" s="61"/>
      <c r="H339" s="61"/>
      <c r="I339" s="61"/>
      <c r="J339" s="61"/>
      <c r="K339" s="3" t="str">
        <f t="shared" si="17"/>
        <v>fail</v>
      </c>
      <c r="L339" s="19" t="str">
        <f>IFERROR(IF(AND(MATCH(A339,Projection_classes,0),YEAR(current_date)='Example - Projections'!B339),"pass","fail"),"")</f>
        <v/>
      </c>
    </row>
    <row r="340" spans="1:12" x14ac:dyDescent="0.25">
      <c r="A340" s="64"/>
      <c r="B340" s="64"/>
      <c r="C340" s="65"/>
      <c r="D340" s="65"/>
      <c r="E340" s="65"/>
      <c r="F340" s="61"/>
      <c r="G340" s="61"/>
      <c r="H340" s="61"/>
      <c r="I340" s="61"/>
      <c r="J340" s="61"/>
      <c r="K340" s="3" t="str">
        <f t="shared" si="17"/>
        <v>fail</v>
      </c>
      <c r="L340" s="19" t="str">
        <f>IFERROR(IF(AND(MATCH(A340,Projection_classes,0),YEAR(current_date)='Example - Projections'!B340),"pass","fail"),"")</f>
        <v/>
      </c>
    </row>
    <row r="341" spans="1:12" x14ac:dyDescent="0.25">
      <c r="A341" s="64"/>
      <c r="B341" s="64"/>
      <c r="C341" s="65"/>
      <c r="D341" s="65"/>
      <c r="E341" s="65"/>
      <c r="F341" s="61"/>
      <c r="G341" s="61"/>
      <c r="H341" s="61"/>
      <c r="I341" s="61"/>
      <c r="J341" s="61"/>
      <c r="K341" s="3" t="str">
        <f t="shared" si="17"/>
        <v>fail</v>
      </c>
      <c r="L341" s="19" t="str">
        <f>IFERROR(IF(AND(MATCH(A341,Projection_classes,0),YEAR(current_date)='Example - Projections'!B341),"pass","fail"),"")</f>
        <v/>
      </c>
    </row>
    <row r="342" spans="1:12" x14ac:dyDescent="0.25">
      <c r="A342" s="64"/>
      <c r="B342" s="64"/>
      <c r="C342" s="65"/>
      <c r="D342" s="65"/>
      <c r="E342" s="65"/>
      <c r="F342" s="61"/>
      <c r="G342" s="61"/>
      <c r="H342" s="61"/>
      <c r="I342" s="61"/>
      <c r="J342" s="61"/>
      <c r="K342" s="3" t="str">
        <f t="shared" si="17"/>
        <v>fail</v>
      </c>
      <c r="L342" s="19" t="str">
        <f>IFERROR(IF(AND(MATCH(A342,Projection_classes,0),YEAR(current_date)='Example - Projections'!B342),"pass","fail"),"")</f>
        <v/>
      </c>
    </row>
    <row r="343" spans="1:12" x14ac:dyDescent="0.25">
      <c r="A343" s="64"/>
      <c r="B343" s="64"/>
      <c r="C343" s="65"/>
      <c r="D343" s="65"/>
      <c r="E343" s="65"/>
      <c r="F343" s="61"/>
      <c r="G343" s="61"/>
      <c r="H343" s="61"/>
      <c r="I343" s="61"/>
      <c r="J343" s="61"/>
      <c r="K343" s="3" t="str">
        <f t="shared" si="17"/>
        <v>fail</v>
      </c>
      <c r="L343" s="19" t="str">
        <f>IFERROR(IF(AND(MATCH(A343,Projection_classes,0),YEAR(current_date)='Example - Projections'!B343),"pass","fail"),"")</f>
        <v/>
      </c>
    </row>
    <row r="344" spans="1:12" x14ac:dyDescent="0.25">
      <c r="A344" s="64"/>
      <c r="B344" s="64"/>
      <c r="C344" s="65"/>
      <c r="D344" s="65"/>
      <c r="E344" s="65"/>
      <c r="F344" s="61"/>
      <c r="G344" s="61"/>
      <c r="H344" s="61"/>
      <c r="I344" s="61"/>
      <c r="J344" s="61"/>
      <c r="K344" s="3" t="str">
        <f t="shared" si="17"/>
        <v>fail</v>
      </c>
      <c r="L344" s="19" t="str">
        <f>IFERROR(IF(AND(MATCH(A344,Projection_classes,0),YEAR(current_date)='Example - Projections'!B344),"pass","fail"),"")</f>
        <v/>
      </c>
    </row>
    <row r="345" spans="1:12" x14ac:dyDescent="0.25">
      <c r="A345" s="64"/>
      <c r="B345" s="64"/>
      <c r="C345" s="65"/>
      <c r="D345" s="65"/>
      <c r="E345" s="65"/>
      <c r="F345" s="61"/>
      <c r="G345" s="61"/>
      <c r="H345" s="61"/>
      <c r="I345" s="61"/>
      <c r="J345" s="61"/>
      <c r="K345" s="3" t="str">
        <f t="shared" si="17"/>
        <v>fail</v>
      </c>
      <c r="L345" s="19" t="str">
        <f>IFERROR(IF(AND(MATCH(A345,Projection_classes,0),YEAR(current_date)='Example - Projections'!B345),"pass","fail"),"")</f>
        <v/>
      </c>
    </row>
    <row r="346" spans="1:12" x14ac:dyDescent="0.25">
      <c r="A346" s="64"/>
      <c r="B346" s="64"/>
      <c r="C346" s="65"/>
      <c r="D346" s="65"/>
      <c r="E346" s="65"/>
      <c r="F346" s="61"/>
      <c r="G346" s="61"/>
      <c r="H346" s="61"/>
      <c r="I346" s="61"/>
      <c r="J346" s="61"/>
      <c r="K346" s="3" t="str">
        <f t="shared" si="17"/>
        <v>fail</v>
      </c>
      <c r="L346" s="19" t="str">
        <f>IFERROR(IF(AND(MATCH(A346,Projection_classes,0),YEAR(current_date)='Example - Projections'!B346),"pass","fail"),"")</f>
        <v/>
      </c>
    </row>
    <row r="347" spans="1:12" x14ac:dyDescent="0.25">
      <c r="A347" s="64"/>
      <c r="B347" s="64"/>
      <c r="C347" s="65"/>
      <c r="D347" s="65"/>
      <c r="E347" s="65"/>
      <c r="F347" s="61"/>
      <c r="G347" s="61"/>
      <c r="H347" s="61"/>
      <c r="I347" s="61"/>
      <c r="J347" s="61"/>
      <c r="K347" s="3" t="str">
        <f t="shared" si="17"/>
        <v>fail</v>
      </c>
      <c r="L347" s="19" t="str">
        <f>IFERROR(IF(AND(MATCH(A347,Projection_classes,0),YEAR(current_date)='Example - Projections'!B347),"pass","fail"),"")</f>
        <v/>
      </c>
    </row>
    <row r="348" spans="1:12" x14ac:dyDescent="0.25">
      <c r="A348" s="64"/>
      <c r="B348" s="64"/>
      <c r="C348" s="65"/>
      <c r="D348" s="65"/>
      <c r="E348" s="65"/>
      <c r="F348" s="61"/>
      <c r="G348" s="61"/>
      <c r="H348" s="61"/>
      <c r="I348" s="61"/>
      <c r="J348" s="61"/>
      <c r="K348" s="3" t="str">
        <f t="shared" si="17"/>
        <v>fail</v>
      </c>
      <c r="L348" s="19" t="str">
        <f>IFERROR(IF(AND(MATCH(A348,Projection_classes,0),YEAR(current_date)='Example - Projections'!B348),"pass","fail"),"")</f>
        <v/>
      </c>
    </row>
    <row r="349" spans="1:12" x14ac:dyDescent="0.25">
      <c r="A349" s="64"/>
      <c r="B349" s="64"/>
      <c r="C349" s="65"/>
      <c r="D349" s="65"/>
      <c r="E349" s="65"/>
      <c r="F349" s="61"/>
      <c r="G349" s="61"/>
      <c r="H349" s="61"/>
      <c r="I349" s="61"/>
      <c r="J349" s="61"/>
      <c r="K349" s="3" t="str">
        <f t="shared" si="17"/>
        <v>fail</v>
      </c>
      <c r="L349" s="19" t="str">
        <f>IFERROR(IF(AND(MATCH(A349,Projection_classes,0),YEAR(current_date)='Example - Projections'!B349),"pass","fail"),"")</f>
        <v/>
      </c>
    </row>
    <row r="350" spans="1:12" x14ac:dyDescent="0.25">
      <c r="A350" s="64"/>
      <c r="B350" s="64"/>
      <c r="C350" s="65"/>
      <c r="D350" s="65"/>
      <c r="E350" s="65"/>
      <c r="F350" s="61"/>
      <c r="G350" s="61"/>
      <c r="H350" s="61"/>
      <c r="I350" s="61"/>
      <c r="J350" s="61"/>
      <c r="K350" s="3" t="str">
        <f t="shared" si="17"/>
        <v>fail</v>
      </c>
      <c r="L350" s="19" t="str">
        <f>IFERROR(IF(AND(MATCH(A350,Projection_classes,0),YEAR(current_date)='Example - Projections'!B350),"pass","fail"),"")</f>
        <v/>
      </c>
    </row>
    <row r="351" spans="1:12" x14ac:dyDescent="0.25">
      <c r="A351" s="64"/>
      <c r="B351" s="64"/>
      <c r="C351" s="65"/>
      <c r="D351" s="65"/>
      <c r="E351" s="65"/>
      <c r="F351" s="61"/>
      <c r="G351" s="61"/>
      <c r="H351" s="61"/>
      <c r="I351" s="61"/>
      <c r="J351" s="61"/>
      <c r="K351" s="3" t="str">
        <f t="shared" si="17"/>
        <v>fail</v>
      </c>
      <c r="L351" s="19" t="str">
        <f>IFERROR(IF(AND(MATCH(A351,Projection_classes,0),YEAR(current_date)='Example - Projections'!B351),"pass","fail"),"")</f>
        <v/>
      </c>
    </row>
    <row r="352" spans="1:12" x14ac:dyDescent="0.25">
      <c r="A352" s="64"/>
      <c r="B352" s="64"/>
      <c r="C352" s="65"/>
      <c r="D352" s="65"/>
      <c r="E352" s="65"/>
      <c r="F352" s="61"/>
      <c r="G352" s="61"/>
      <c r="H352" s="61"/>
      <c r="I352" s="61"/>
      <c r="J352" s="61"/>
      <c r="K352" s="3" t="str">
        <f t="shared" si="17"/>
        <v>fail</v>
      </c>
      <c r="L352" s="19" t="str">
        <f>IFERROR(IF(AND(MATCH(A352,Projection_classes,0),YEAR(current_date)='Example - Projections'!B352),"pass","fail"),"")</f>
        <v/>
      </c>
    </row>
    <row r="353" spans="1:12" x14ac:dyDescent="0.25">
      <c r="A353" s="64"/>
      <c r="B353" s="64"/>
      <c r="C353" s="65"/>
      <c r="D353" s="65"/>
      <c r="E353" s="65"/>
      <c r="F353" s="61"/>
      <c r="G353" s="61"/>
      <c r="H353" s="61"/>
      <c r="I353" s="61"/>
      <c r="J353" s="61"/>
      <c r="K353" s="3" t="str">
        <f t="shared" si="17"/>
        <v>fail</v>
      </c>
      <c r="L353" s="19" t="str">
        <f>IFERROR(IF(AND(MATCH(A353,Projection_classes,0),YEAR(current_date)='Example - Projections'!B353),"pass","fail"),"")</f>
        <v/>
      </c>
    </row>
    <row r="354" spans="1:12" x14ac:dyDescent="0.25">
      <c r="A354" s="64"/>
      <c r="B354" s="64"/>
      <c r="C354" s="65"/>
      <c r="D354" s="65"/>
      <c r="E354" s="65"/>
      <c r="F354" s="61"/>
      <c r="G354" s="61"/>
      <c r="H354" s="61"/>
      <c r="I354" s="61"/>
      <c r="J354" s="61"/>
      <c r="K354" s="3" t="str">
        <f t="shared" si="17"/>
        <v>fail</v>
      </c>
      <c r="L354" s="19" t="str">
        <f>IFERROR(IF(AND(MATCH(A354,Projection_classes,0),YEAR(current_date)='Example - Projections'!B354),"pass","fail"),"")</f>
        <v/>
      </c>
    </row>
    <row r="355" spans="1:12" x14ac:dyDescent="0.25">
      <c r="A355" s="64"/>
      <c r="B355" s="64"/>
      <c r="C355" s="65"/>
      <c r="D355" s="65"/>
      <c r="E355" s="65"/>
      <c r="F355" s="61"/>
      <c r="G355" s="61"/>
      <c r="H355" s="61"/>
      <c r="I355" s="61"/>
      <c r="J355" s="61"/>
      <c r="K355" s="3" t="str">
        <f t="shared" si="17"/>
        <v>fail</v>
      </c>
      <c r="L355" s="19" t="str">
        <f>IFERROR(IF(AND(MATCH(A355,Projection_classes,0),YEAR(current_date)='Example - Projections'!B355),"pass","fail"),"")</f>
        <v/>
      </c>
    </row>
    <row r="356" spans="1:12" x14ac:dyDescent="0.25">
      <c r="A356" s="64"/>
      <c r="B356" s="64"/>
      <c r="C356" s="65"/>
      <c r="D356" s="65"/>
      <c r="E356" s="65"/>
      <c r="F356" s="61"/>
      <c r="G356" s="61"/>
      <c r="H356" s="61"/>
      <c r="I356" s="61"/>
      <c r="J356" s="61"/>
      <c r="K356" s="3" t="str">
        <f t="shared" si="17"/>
        <v>fail</v>
      </c>
      <c r="L356" s="19" t="str">
        <f>IFERROR(IF(AND(MATCH(A356,Projection_classes,0),YEAR(current_date)='Example - Projections'!B356),"pass","fail"),"")</f>
        <v/>
      </c>
    </row>
    <row r="357" spans="1:12" x14ac:dyDescent="0.25">
      <c r="A357" s="64"/>
      <c r="B357" s="64"/>
      <c r="C357" s="65"/>
      <c r="D357" s="65"/>
      <c r="E357" s="65"/>
      <c r="F357" s="61"/>
      <c r="G357" s="61"/>
      <c r="H357" s="61"/>
      <c r="I357" s="61"/>
      <c r="J357" s="61"/>
      <c r="K357" s="3" t="str">
        <f t="shared" si="17"/>
        <v>fail</v>
      </c>
      <c r="L357" s="19" t="str">
        <f>IFERROR(IF(AND(MATCH(A357,Projection_classes,0),YEAR(current_date)='Example - Projections'!B357),"pass","fail"),"")</f>
        <v/>
      </c>
    </row>
    <row r="358" spans="1:12" x14ac:dyDescent="0.25">
      <c r="A358" s="64"/>
      <c r="B358" s="64"/>
      <c r="C358" s="65"/>
      <c r="D358" s="65"/>
      <c r="E358" s="65"/>
      <c r="F358" s="61"/>
      <c r="G358" s="61"/>
      <c r="H358" s="61"/>
      <c r="I358" s="61"/>
      <c r="J358" s="61"/>
      <c r="K358" s="3" t="str">
        <f t="shared" si="17"/>
        <v>fail</v>
      </c>
      <c r="L358" s="19" t="str">
        <f>IFERROR(IF(AND(MATCH(A358,Projection_classes,0),YEAR(current_date)='Example - Projections'!B358),"pass","fail"),"")</f>
        <v/>
      </c>
    </row>
    <row r="359" spans="1:12" x14ac:dyDescent="0.25">
      <c r="A359" s="64"/>
      <c r="B359" s="64"/>
      <c r="C359" s="65"/>
      <c r="D359" s="65"/>
      <c r="E359" s="65"/>
      <c r="F359" s="61"/>
      <c r="G359" s="61"/>
      <c r="H359" s="61"/>
      <c r="I359" s="61"/>
      <c r="J359" s="61"/>
      <c r="K359" s="3" t="str">
        <f t="shared" si="17"/>
        <v>fail</v>
      </c>
      <c r="L359" s="19" t="str">
        <f>IFERROR(IF(AND(MATCH(A359,Projection_classes,0),YEAR(current_date)='Example - Projections'!B359),"pass","fail"),"")</f>
        <v/>
      </c>
    </row>
    <row r="360" spans="1:12" x14ac:dyDescent="0.25">
      <c r="A360" s="64"/>
      <c r="B360" s="64"/>
      <c r="C360" s="65"/>
      <c r="D360" s="65"/>
      <c r="E360" s="65"/>
      <c r="F360" s="61"/>
      <c r="G360" s="61"/>
      <c r="H360" s="61"/>
      <c r="I360" s="61"/>
      <c r="J360" s="61"/>
      <c r="K360" s="3" t="str">
        <f t="shared" si="17"/>
        <v>fail</v>
      </c>
      <c r="L360" s="19" t="str">
        <f>IFERROR(IF(AND(MATCH(A360,Projection_classes,0),YEAR(current_date)='Example - Projections'!B360),"pass","fail"),"")</f>
        <v/>
      </c>
    </row>
    <row r="361" spans="1:12" x14ac:dyDescent="0.25">
      <c r="A361" s="64"/>
      <c r="B361" s="64"/>
      <c r="C361" s="65"/>
      <c r="D361" s="65"/>
      <c r="E361" s="65"/>
      <c r="F361" s="61"/>
      <c r="G361" s="61"/>
      <c r="H361" s="61"/>
      <c r="I361" s="61"/>
      <c r="J361" s="61"/>
      <c r="K361" s="3" t="str">
        <f t="shared" si="17"/>
        <v>fail</v>
      </c>
      <c r="L361" s="19" t="str">
        <f>IFERROR(IF(AND(MATCH(A361,Projection_classes,0),YEAR(current_date)='Example - Projections'!B361),"pass","fail"),"")</f>
        <v/>
      </c>
    </row>
    <row r="362" spans="1:12" x14ac:dyDescent="0.25">
      <c r="A362" s="64"/>
      <c r="B362" s="64"/>
      <c r="C362" s="65"/>
      <c r="D362" s="65"/>
      <c r="E362" s="65"/>
      <c r="F362" s="61"/>
      <c r="G362" s="61"/>
      <c r="H362" s="61"/>
      <c r="I362" s="61"/>
      <c r="J362" s="61"/>
      <c r="K362" s="3" t="str">
        <f t="shared" si="17"/>
        <v>fail</v>
      </c>
      <c r="L362" s="19" t="str">
        <f>IFERROR(IF(AND(MATCH(A362,Projection_classes,0),YEAR(current_date)='Example - Projections'!B362),"pass","fail"),"")</f>
        <v/>
      </c>
    </row>
    <row r="363" spans="1:12" x14ac:dyDescent="0.25">
      <c r="A363" s="64"/>
      <c r="B363" s="64"/>
      <c r="C363" s="65"/>
      <c r="D363" s="65"/>
      <c r="E363" s="65"/>
      <c r="F363" s="61"/>
      <c r="G363" s="61"/>
      <c r="H363" s="61"/>
      <c r="I363" s="61"/>
      <c r="J363" s="61"/>
      <c r="K363" s="3" t="str">
        <f t="shared" si="17"/>
        <v>fail</v>
      </c>
      <c r="L363" s="19" t="str">
        <f>IFERROR(IF(AND(MATCH(A363,Projection_classes,0),YEAR(current_date)='Example - Projections'!B363),"pass","fail"),"")</f>
        <v/>
      </c>
    </row>
    <row r="364" spans="1:12" x14ac:dyDescent="0.25">
      <c r="A364" s="64"/>
      <c r="B364" s="64"/>
      <c r="C364" s="65"/>
      <c r="D364" s="65"/>
      <c r="E364" s="65"/>
      <c r="F364" s="61"/>
      <c r="G364" s="61"/>
      <c r="H364" s="61"/>
      <c r="I364" s="61"/>
      <c r="J364" s="61"/>
      <c r="K364" s="3" t="str">
        <f t="shared" si="17"/>
        <v>fail</v>
      </c>
      <c r="L364" s="19" t="str">
        <f>IFERROR(IF(AND(MATCH(A364,Projection_classes,0),YEAR(current_date)='Example - Projections'!B364),"pass","fail"),"")</f>
        <v/>
      </c>
    </row>
    <row r="365" spans="1:12" x14ac:dyDescent="0.25">
      <c r="A365" s="64"/>
      <c r="B365" s="64"/>
      <c r="C365" s="65"/>
      <c r="D365" s="65"/>
      <c r="E365" s="65"/>
      <c r="F365" s="61"/>
      <c r="G365" s="61"/>
      <c r="H365" s="61"/>
      <c r="I365" s="61"/>
      <c r="J365" s="61"/>
      <c r="K365" s="3" t="str">
        <f t="shared" si="17"/>
        <v>fail</v>
      </c>
      <c r="L365" s="19" t="str">
        <f>IFERROR(IF(AND(MATCH(A365,Projection_classes,0),YEAR(current_date)='Example - Projections'!B365),"pass","fail"),"")</f>
        <v/>
      </c>
    </row>
    <row r="366" spans="1:12" x14ac:dyDescent="0.25">
      <c r="A366" s="64"/>
      <c r="B366" s="64"/>
      <c r="C366" s="65"/>
      <c r="D366" s="65"/>
      <c r="E366" s="65"/>
      <c r="F366" s="61"/>
      <c r="G366" s="61"/>
      <c r="H366" s="61"/>
      <c r="I366" s="61"/>
      <c r="J366" s="61"/>
      <c r="K366" s="3" t="str">
        <f t="shared" si="17"/>
        <v>fail</v>
      </c>
      <c r="L366" s="19" t="str">
        <f>IFERROR(IF(AND(MATCH(A366,Projection_classes,0),YEAR(current_date)='Example - Projections'!B366),"pass","fail"),"")</f>
        <v/>
      </c>
    </row>
    <row r="367" spans="1:12" x14ac:dyDescent="0.25">
      <c r="A367" s="64"/>
      <c r="B367" s="64"/>
      <c r="C367" s="65"/>
      <c r="D367" s="65"/>
      <c r="E367" s="65"/>
      <c r="F367" s="61"/>
      <c r="G367" s="61"/>
      <c r="H367" s="61"/>
      <c r="I367" s="61"/>
      <c r="J367" s="61"/>
      <c r="K367" s="3" t="str">
        <f t="shared" si="17"/>
        <v>fail</v>
      </c>
      <c r="L367" s="19" t="str">
        <f>IFERROR(IF(AND(MATCH(A367,Projection_classes,0),YEAR(current_date)='Example - Projections'!B367),"pass","fail"),"")</f>
        <v/>
      </c>
    </row>
    <row r="368" spans="1:12" x14ac:dyDescent="0.25">
      <c r="A368" s="64"/>
      <c r="B368" s="64"/>
      <c r="C368" s="65"/>
      <c r="D368" s="65"/>
      <c r="E368" s="65"/>
      <c r="F368" s="61"/>
      <c r="G368" s="61"/>
      <c r="H368" s="61"/>
      <c r="I368" s="61"/>
      <c r="J368" s="61"/>
      <c r="K368" s="3" t="str">
        <f t="shared" si="17"/>
        <v>fail</v>
      </c>
      <c r="L368" s="19" t="str">
        <f>IFERROR(IF(AND(MATCH(A368,Projection_classes,0),YEAR(current_date)='Example - Projections'!B368),"pass","fail"),"")</f>
        <v/>
      </c>
    </row>
    <row r="369" spans="1:12" x14ac:dyDescent="0.25">
      <c r="A369" s="64"/>
      <c r="B369" s="64"/>
      <c r="C369" s="65"/>
      <c r="D369" s="65"/>
      <c r="E369" s="65"/>
      <c r="F369" s="61"/>
      <c r="G369" s="61"/>
      <c r="H369" s="61"/>
      <c r="I369" s="61"/>
      <c r="J369" s="61"/>
      <c r="K369" s="3" t="str">
        <f t="shared" si="17"/>
        <v>fail</v>
      </c>
      <c r="L369" s="19" t="str">
        <f>IFERROR(IF(AND(MATCH(A369,Projection_classes,0),YEAR(current_date)='Example - Projections'!B369),"pass","fail"),"")</f>
        <v/>
      </c>
    </row>
    <row r="370" spans="1:12" x14ac:dyDescent="0.25">
      <c r="A370" s="64"/>
      <c r="B370" s="64"/>
      <c r="C370" s="65"/>
      <c r="D370" s="65"/>
      <c r="E370" s="65"/>
      <c r="F370" s="61"/>
      <c r="G370" s="61"/>
      <c r="H370" s="61"/>
      <c r="I370" s="61"/>
      <c r="J370" s="61"/>
      <c r="K370" s="3" t="str">
        <f t="shared" si="17"/>
        <v>fail</v>
      </c>
      <c r="L370" s="19" t="str">
        <f>IFERROR(IF(AND(MATCH(A370,Projection_classes,0),YEAR(current_date)='Example - Projections'!B370),"pass","fail"),"")</f>
        <v/>
      </c>
    </row>
    <row r="371" spans="1:12" x14ac:dyDescent="0.25">
      <c r="A371" s="64"/>
      <c r="B371" s="64"/>
      <c r="C371" s="65"/>
      <c r="D371" s="65"/>
      <c r="E371" s="65"/>
      <c r="F371" s="61"/>
      <c r="G371" s="61"/>
      <c r="H371" s="61"/>
      <c r="I371" s="61"/>
      <c r="J371" s="61"/>
      <c r="K371" s="3" t="str">
        <f t="shared" si="17"/>
        <v>fail</v>
      </c>
      <c r="L371" s="19" t="str">
        <f>IFERROR(IF(AND(MATCH(A371,Projection_classes,0),YEAR(current_date)='Example - Projections'!B371),"pass","fail"),"")</f>
        <v/>
      </c>
    </row>
    <row r="372" spans="1:12" x14ac:dyDescent="0.25">
      <c r="A372" s="64"/>
      <c r="B372" s="64"/>
      <c r="C372" s="65"/>
      <c r="D372" s="65"/>
      <c r="E372" s="65"/>
      <c r="F372" s="61"/>
      <c r="G372" s="61"/>
      <c r="H372" s="61"/>
      <c r="I372" s="61"/>
      <c r="J372" s="61"/>
      <c r="K372" s="3" t="str">
        <f t="shared" si="17"/>
        <v>fail</v>
      </c>
      <c r="L372" s="19" t="str">
        <f>IFERROR(IF(AND(MATCH(A372,Projection_classes,0),YEAR(current_date)='Example - Projections'!B372),"pass","fail"),"")</f>
        <v/>
      </c>
    </row>
    <row r="373" spans="1:12" x14ac:dyDescent="0.25">
      <c r="A373" s="64"/>
      <c r="B373" s="64"/>
      <c r="C373" s="65"/>
      <c r="D373" s="65"/>
      <c r="E373" s="65"/>
      <c r="F373" s="61"/>
      <c r="G373" s="61"/>
      <c r="H373" s="61"/>
      <c r="I373" s="61"/>
      <c r="J373" s="61"/>
      <c r="K373" s="3" t="str">
        <f t="shared" si="17"/>
        <v>fail</v>
      </c>
      <c r="L373" s="19" t="str">
        <f>IFERROR(IF(AND(MATCH(A373,Projection_classes,0),YEAR(current_date)='Example - Projections'!B373),"pass","fail"),"")</f>
        <v/>
      </c>
    </row>
    <row r="374" spans="1:12" x14ac:dyDescent="0.25">
      <c r="A374" s="64"/>
      <c r="B374" s="64"/>
      <c r="C374" s="65"/>
      <c r="D374" s="65"/>
      <c r="E374" s="65"/>
      <c r="F374" s="61"/>
      <c r="G374" s="61"/>
      <c r="H374" s="61"/>
      <c r="I374" s="61"/>
      <c r="J374" s="61"/>
      <c r="K374" s="3" t="str">
        <f t="shared" si="17"/>
        <v>fail</v>
      </c>
      <c r="L374" s="19" t="str">
        <f>IFERROR(IF(AND(MATCH(A374,Projection_classes,0),YEAR(current_date)='Example - Projections'!B374),"pass","fail"),"")</f>
        <v/>
      </c>
    </row>
    <row r="375" spans="1:12" x14ac:dyDescent="0.25">
      <c r="A375" s="64"/>
      <c r="B375" s="64"/>
      <c r="C375" s="65"/>
      <c r="D375" s="65"/>
      <c r="E375" s="65"/>
      <c r="F375" s="61"/>
      <c r="G375" s="61"/>
      <c r="H375" s="61"/>
      <c r="I375" s="61"/>
      <c r="J375" s="61"/>
      <c r="K375" s="3" t="str">
        <f t="shared" si="17"/>
        <v>fail</v>
      </c>
      <c r="L375" s="19" t="str">
        <f>IFERROR(IF(AND(MATCH(A375,Projection_classes,0),YEAR(current_date)='Example - Projections'!B375),"pass","fail"),"")</f>
        <v/>
      </c>
    </row>
    <row r="376" spans="1:12" x14ac:dyDescent="0.25">
      <c r="A376" s="64"/>
      <c r="B376" s="64"/>
      <c r="C376" s="65"/>
      <c r="D376" s="65"/>
      <c r="E376" s="65"/>
      <c r="F376" s="61"/>
      <c r="G376" s="61"/>
      <c r="H376" s="61"/>
      <c r="I376" s="61"/>
      <c r="J376" s="61"/>
      <c r="K376" s="3" t="str">
        <f t="shared" si="17"/>
        <v>fail</v>
      </c>
      <c r="L376" s="19" t="str">
        <f>IFERROR(IF(AND(MATCH(A376,Projection_classes,0),YEAR(current_date)='Example - Projections'!B376),"pass","fail"),"")</f>
        <v/>
      </c>
    </row>
    <row r="377" spans="1:12" x14ac:dyDescent="0.25">
      <c r="A377" s="64"/>
      <c r="B377" s="64"/>
      <c r="C377" s="65"/>
      <c r="D377" s="65"/>
      <c r="E377" s="65"/>
      <c r="F377" s="61"/>
      <c r="G377" s="61"/>
      <c r="H377" s="61"/>
      <c r="I377" s="61"/>
      <c r="J377" s="61"/>
      <c r="K377" s="3" t="str">
        <f t="shared" si="17"/>
        <v>fail</v>
      </c>
      <c r="L377" s="19" t="str">
        <f>IFERROR(IF(AND(MATCH(A377,Projection_classes,0),YEAR(current_date)='Example - Projections'!B377),"pass","fail"),"")</f>
        <v/>
      </c>
    </row>
    <row r="378" spans="1:12" x14ac:dyDescent="0.25">
      <c r="A378" s="64"/>
      <c r="B378" s="64"/>
      <c r="C378" s="65"/>
      <c r="D378" s="65"/>
      <c r="E378" s="65"/>
      <c r="F378" s="61"/>
      <c r="G378" s="61"/>
      <c r="H378" s="61"/>
      <c r="I378" s="61"/>
      <c r="J378" s="61"/>
      <c r="K378" s="3" t="str">
        <f t="shared" si="17"/>
        <v>fail</v>
      </c>
      <c r="L378" s="19" t="str">
        <f>IFERROR(IF(AND(MATCH(A378,Projection_classes,0),YEAR(current_date)='Example - Projections'!B378),"pass","fail"),"")</f>
        <v/>
      </c>
    </row>
    <row r="379" spans="1:12" x14ac:dyDescent="0.25">
      <c r="A379" s="64"/>
      <c r="B379" s="64"/>
      <c r="C379" s="65"/>
      <c r="D379" s="65"/>
      <c r="E379" s="65"/>
      <c r="F379" s="61"/>
      <c r="G379" s="61"/>
      <c r="H379" s="61"/>
      <c r="I379" s="61"/>
      <c r="J379" s="61"/>
      <c r="K379" s="3" t="str">
        <f t="shared" si="17"/>
        <v>fail</v>
      </c>
      <c r="L379" s="19" t="str">
        <f>IFERROR(IF(AND(MATCH(A379,Projection_classes,0),YEAR(current_date)='Example - Projections'!B379),"pass","fail"),"")</f>
        <v/>
      </c>
    </row>
    <row r="380" spans="1:12" x14ac:dyDescent="0.25">
      <c r="A380" s="64"/>
      <c r="B380" s="64"/>
      <c r="C380" s="65"/>
      <c r="D380" s="65"/>
      <c r="E380" s="65"/>
      <c r="F380" s="61"/>
      <c r="G380" s="61"/>
      <c r="H380" s="61"/>
      <c r="I380" s="61"/>
      <c r="J380" s="61"/>
      <c r="K380" s="3" t="str">
        <f t="shared" si="17"/>
        <v>fail</v>
      </c>
      <c r="L380" s="19" t="str">
        <f>IFERROR(IF(AND(MATCH(A380,Projection_classes,0),YEAR(current_date)='Example - Projections'!B380),"pass","fail"),"")</f>
        <v/>
      </c>
    </row>
    <row r="381" spans="1:12" x14ac:dyDescent="0.25">
      <c r="A381" s="64"/>
      <c r="B381" s="64"/>
      <c r="C381" s="65"/>
      <c r="D381" s="65"/>
      <c r="E381" s="65"/>
      <c r="F381" s="61"/>
      <c r="G381" s="61"/>
      <c r="H381" s="61"/>
      <c r="I381" s="61"/>
      <c r="J381" s="61"/>
      <c r="K381" s="3" t="str">
        <f t="shared" si="17"/>
        <v>fail</v>
      </c>
      <c r="L381" s="19" t="str">
        <f>IFERROR(IF(AND(MATCH(A381,Projection_classes,0),YEAR(current_date)='Example - Projections'!B381),"pass","fail"),"")</f>
        <v/>
      </c>
    </row>
    <row r="382" spans="1:12" x14ac:dyDescent="0.25">
      <c r="A382" s="64"/>
      <c r="B382" s="64"/>
      <c r="C382" s="65"/>
      <c r="D382" s="65"/>
      <c r="E382" s="65"/>
      <c r="F382" s="61"/>
      <c r="G382" s="61"/>
      <c r="H382" s="61"/>
      <c r="I382" s="61"/>
      <c r="J382" s="61"/>
      <c r="K382" s="3" t="str">
        <f t="shared" si="17"/>
        <v>fail</v>
      </c>
      <c r="L382" s="19" t="str">
        <f>IFERROR(IF(AND(MATCH(A382,Projection_classes,0),YEAR(current_date)='Example - Projections'!B382),"pass","fail"),"")</f>
        <v/>
      </c>
    </row>
    <row r="383" spans="1:12" x14ac:dyDescent="0.25">
      <c r="A383" s="64"/>
      <c r="B383" s="64"/>
      <c r="C383" s="65"/>
      <c r="D383" s="65"/>
      <c r="E383" s="65"/>
      <c r="F383" s="61"/>
      <c r="G383" s="61"/>
      <c r="H383" s="61"/>
      <c r="I383" s="61"/>
      <c r="J383" s="61"/>
      <c r="K383" s="3" t="str">
        <f t="shared" si="17"/>
        <v>fail</v>
      </c>
      <c r="L383" s="19" t="str">
        <f>IFERROR(IF(AND(MATCH(A383,Projection_classes,0),YEAR(current_date)='Example - Projections'!B383),"pass","fail"),"")</f>
        <v/>
      </c>
    </row>
    <row r="384" spans="1:12" x14ac:dyDescent="0.25">
      <c r="A384" s="64"/>
      <c r="B384" s="64"/>
      <c r="C384" s="65"/>
      <c r="D384" s="65"/>
      <c r="E384" s="65"/>
      <c r="F384" s="61"/>
      <c r="G384" s="61"/>
      <c r="H384" s="61"/>
      <c r="I384" s="61"/>
      <c r="J384" s="61"/>
      <c r="K384" s="3" t="str">
        <f t="shared" si="17"/>
        <v>fail</v>
      </c>
      <c r="L384" s="19" t="str">
        <f>IFERROR(IF(AND(MATCH(A384,Projection_classes,0),YEAR(current_date)='Example - Projections'!B384),"pass","fail"),"")</f>
        <v/>
      </c>
    </row>
    <row r="385" spans="1:12" x14ac:dyDescent="0.25">
      <c r="A385" s="64"/>
      <c r="B385" s="64"/>
      <c r="C385" s="65"/>
      <c r="D385" s="65"/>
      <c r="E385" s="65"/>
      <c r="F385" s="61"/>
      <c r="G385" s="61"/>
      <c r="H385" s="61"/>
      <c r="I385" s="61"/>
      <c r="J385" s="61"/>
      <c r="K385" s="3" t="str">
        <f t="shared" si="17"/>
        <v>fail</v>
      </c>
      <c r="L385" s="19" t="str">
        <f>IFERROR(IF(AND(MATCH(A385,Projection_classes,0),YEAR(current_date)='Example - Projections'!B385),"pass","fail"),"")</f>
        <v/>
      </c>
    </row>
    <row r="386" spans="1:12" x14ac:dyDescent="0.25">
      <c r="A386" s="64"/>
      <c r="B386" s="64"/>
      <c r="C386" s="65"/>
      <c r="D386" s="65"/>
      <c r="E386" s="65"/>
      <c r="F386" s="61"/>
      <c r="G386" s="61"/>
      <c r="H386" s="61"/>
      <c r="I386" s="61"/>
      <c r="J386" s="61"/>
      <c r="K386" s="3" t="str">
        <f t="shared" ref="K386:K449" si="18">IF(OR(B386&lt;$N$1,B386&gt;$P$1),"fail","pass")</f>
        <v>fail</v>
      </c>
      <c r="L386" s="19" t="str">
        <f>IFERROR(IF(AND(MATCH(A386,Projection_classes,0),YEAR(current_date)='Example - Projections'!B386),"pass","fail"),"")</f>
        <v/>
      </c>
    </row>
    <row r="387" spans="1:12" x14ac:dyDescent="0.25">
      <c r="A387" s="64"/>
      <c r="B387" s="64"/>
      <c r="C387" s="65"/>
      <c r="D387" s="65"/>
      <c r="E387" s="65"/>
      <c r="F387" s="61"/>
      <c r="G387" s="61"/>
      <c r="H387" s="61"/>
      <c r="I387" s="61"/>
      <c r="J387" s="61"/>
      <c r="K387" s="3" t="str">
        <f t="shared" si="18"/>
        <v>fail</v>
      </c>
      <c r="L387" s="19" t="str">
        <f>IFERROR(IF(AND(MATCH(A387,Projection_classes,0),YEAR(current_date)='Example - Projections'!B387),"pass","fail"),"")</f>
        <v/>
      </c>
    </row>
    <row r="388" spans="1:12" x14ac:dyDescent="0.25">
      <c r="A388" s="64"/>
      <c r="B388" s="64"/>
      <c r="C388" s="65"/>
      <c r="D388" s="65"/>
      <c r="E388" s="65"/>
      <c r="F388" s="61"/>
      <c r="G388" s="61"/>
      <c r="H388" s="61"/>
      <c r="I388" s="61"/>
      <c r="J388" s="61"/>
      <c r="K388" s="3" t="str">
        <f t="shared" si="18"/>
        <v>fail</v>
      </c>
      <c r="L388" s="19" t="str">
        <f>IFERROR(IF(AND(MATCH(A388,Projection_classes,0),YEAR(current_date)='Example - Projections'!B388),"pass","fail"),"")</f>
        <v/>
      </c>
    </row>
    <row r="389" spans="1:12" x14ac:dyDescent="0.25">
      <c r="A389" s="64"/>
      <c r="B389" s="64"/>
      <c r="C389" s="65"/>
      <c r="D389" s="65"/>
      <c r="E389" s="65"/>
      <c r="F389" s="61"/>
      <c r="G389" s="61"/>
      <c r="H389" s="61"/>
      <c r="I389" s="61"/>
      <c r="J389" s="61"/>
      <c r="K389" s="3" t="str">
        <f t="shared" si="18"/>
        <v>fail</v>
      </c>
      <c r="L389" s="19" t="str">
        <f>IFERROR(IF(AND(MATCH(A389,Projection_classes,0),YEAR(current_date)='Example - Projections'!B389),"pass","fail"),"")</f>
        <v/>
      </c>
    </row>
    <row r="390" spans="1:12" x14ac:dyDescent="0.25">
      <c r="A390" s="64"/>
      <c r="B390" s="64"/>
      <c r="C390" s="65"/>
      <c r="D390" s="65"/>
      <c r="E390" s="65"/>
      <c r="F390" s="61"/>
      <c r="G390" s="61"/>
      <c r="H390" s="61"/>
      <c r="I390" s="61"/>
      <c r="J390" s="61"/>
      <c r="K390" s="3" t="str">
        <f t="shared" si="18"/>
        <v>fail</v>
      </c>
      <c r="L390" s="19" t="str">
        <f>IFERROR(IF(AND(MATCH(A390,Projection_classes,0),YEAR(current_date)='Example - Projections'!B390),"pass","fail"),"")</f>
        <v/>
      </c>
    </row>
    <row r="391" spans="1:12" x14ac:dyDescent="0.25">
      <c r="A391" s="64"/>
      <c r="B391" s="64"/>
      <c r="C391" s="65"/>
      <c r="D391" s="65"/>
      <c r="E391" s="65"/>
      <c r="F391" s="61"/>
      <c r="G391" s="61"/>
      <c r="H391" s="61"/>
      <c r="I391" s="61"/>
      <c r="J391" s="61"/>
      <c r="K391" s="3" t="str">
        <f t="shared" si="18"/>
        <v>fail</v>
      </c>
      <c r="L391" s="19" t="str">
        <f>IFERROR(IF(AND(MATCH(A391,Projection_classes,0),YEAR(current_date)='Example - Projections'!B391),"pass","fail"),"")</f>
        <v/>
      </c>
    </row>
    <row r="392" spans="1:12" x14ac:dyDescent="0.25">
      <c r="A392" s="64"/>
      <c r="B392" s="64"/>
      <c r="C392" s="65"/>
      <c r="D392" s="65"/>
      <c r="E392" s="65"/>
      <c r="F392" s="61"/>
      <c r="G392" s="61"/>
      <c r="H392" s="61"/>
      <c r="I392" s="61"/>
      <c r="J392" s="61"/>
      <c r="K392" s="3" t="str">
        <f t="shared" si="18"/>
        <v>fail</v>
      </c>
      <c r="L392" s="19" t="str">
        <f>IFERROR(IF(AND(MATCH(A392,Projection_classes,0),YEAR(current_date)='Example - Projections'!B392),"pass","fail"),"")</f>
        <v/>
      </c>
    </row>
    <row r="393" spans="1:12" x14ac:dyDescent="0.25">
      <c r="A393" s="64"/>
      <c r="B393" s="64"/>
      <c r="C393" s="65"/>
      <c r="D393" s="65"/>
      <c r="E393" s="65"/>
      <c r="F393" s="61"/>
      <c r="G393" s="61"/>
      <c r="H393" s="61"/>
      <c r="I393" s="61"/>
      <c r="J393" s="61"/>
      <c r="K393" s="3" t="str">
        <f t="shared" si="18"/>
        <v>fail</v>
      </c>
      <c r="L393" s="19" t="str">
        <f>IFERROR(IF(AND(MATCH(A393,Projection_classes,0),YEAR(current_date)='Example - Projections'!B393),"pass","fail"),"")</f>
        <v/>
      </c>
    </row>
    <row r="394" spans="1:12" x14ac:dyDescent="0.25">
      <c r="A394" s="64"/>
      <c r="B394" s="64"/>
      <c r="C394" s="65"/>
      <c r="D394" s="65"/>
      <c r="E394" s="65"/>
      <c r="F394" s="61"/>
      <c r="G394" s="61"/>
      <c r="H394" s="61"/>
      <c r="I394" s="61"/>
      <c r="J394" s="61"/>
      <c r="K394" s="3" t="str">
        <f t="shared" si="18"/>
        <v>fail</v>
      </c>
      <c r="L394" s="19" t="str">
        <f>IFERROR(IF(AND(MATCH(A394,Projection_classes,0),YEAR(current_date)='Example - Projections'!B394),"pass","fail"),"")</f>
        <v/>
      </c>
    </row>
    <row r="395" spans="1:12" x14ac:dyDescent="0.25">
      <c r="A395" s="64"/>
      <c r="B395" s="64"/>
      <c r="C395" s="65"/>
      <c r="D395" s="65"/>
      <c r="E395" s="65"/>
      <c r="F395" s="61"/>
      <c r="G395" s="61"/>
      <c r="H395" s="61"/>
      <c r="I395" s="61"/>
      <c r="J395" s="61"/>
      <c r="K395" s="3" t="str">
        <f t="shared" si="18"/>
        <v>fail</v>
      </c>
      <c r="L395" s="19" t="str">
        <f>IFERROR(IF(AND(MATCH(A395,Projection_classes,0),YEAR(current_date)='Example - Projections'!B395),"pass","fail"),"")</f>
        <v/>
      </c>
    </row>
    <row r="396" spans="1:12" x14ac:dyDescent="0.25">
      <c r="A396" s="64"/>
      <c r="B396" s="64"/>
      <c r="C396" s="65"/>
      <c r="D396" s="65"/>
      <c r="E396" s="65"/>
      <c r="F396" s="61"/>
      <c r="G396" s="61"/>
      <c r="H396" s="61"/>
      <c r="I396" s="61"/>
      <c r="J396" s="61"/>
      <c r="K396" s="3" t="str">
        <f t="shared" si="18"/>
        <v>fail</v>
      </c>
      <c r="L396" s="19" t="str">
        <f>IFERROR(IF(AND(MATCH(A396,Projection_classes,0),YEAR(current_date)='Example - Projections'!B396),"pass","fail"),"")</f>
        <v/>
      </c>
    </row>
    <row r="397" spans="1:12" x14ac:dyDescent="0.25">
      <c r="A397" s="64"/>
      <c r="B397" s="64"/>
      <c r="C397" s="65"/>
      <c r="D397" s="65"/>
      <c r="E397" s="65"/>
      <c r="F397" s="61"/>
      <c r="G397" s="61"/>
      <c r="H397" s="61"/>
      <c r="I397" s="61"/>
      <c r="J397" s="61"/>
      <c r="K397" s="3" t="str">
        <f t="shared" si="18"/>
        <v>fail</v>
      </c>
      <c r="L397" s="19" t="str">
        <f>IFERROR(IF(AND(MATCH(A397,Projection_classes,0),YEAR(current_date)='Example - Projections'!B397),"pass","fail"),"")</f>
        <v/>
      </c>
    </row>
    <row r="398" spans="1:12" x14ac:dyDescent="0.25">
      <c r="A398" s="64"/>
      <c r="B398" s="64"/>
      <c r="C398" s="65"/>
      <c r="D398" s="65"/>
      <c r="E398" s="65"/>
      <c r="F398" s="61"/>
      <c r="G398" s="61"/>
      <c r="H398" s="61"/>
      <c r="I398" s="61"/>
      <c r="J398" s="61"/>
      <c r="K398" s="3" t="str">
        <f t="shared" si="18"/>
        <v>fail</v>
      </c>
      <c r="L398" s="19" t="str">
        <f>IFERROR(IF(AND(MATCH(A398,Projection_classes,0),YEAR(current_date)='Example - Projections'!B398),"pass","fail"),"")</f>
        <v/>
      </c>
    </row>
    <row r="399" spans="1:12" x14ac:dyDescent="0.25">
      <c r="A399" s="64"/>
      <c r="B399" s="64"/>
      <c r="C399" s="65"/>
      <c r="D399" s="65"/>
      <c r="E399" s="65"/>
      <c r="F399" s="61"/>
      <c r="G399" s="61"/>
      <c r="H399" s="61"/>
      <c r="I399" s="61"/>
      <c r="J399" s="61"/>
      <c r="K399" s="3" t="str">
        <f t="shared" si="18"/>
        <v>fail</v>
      </c>
      <c r="L399" s="19" t="str">
        <f>IFERROR(IF(AND(MATCH(A399,Projection_classes,0),YEAR(current_date)='Example - Projections'!B399),"pass","fail"),"")</f>
        <v/>
      </c>
    </row>
    <row r="400" spans="1:12" x14ac:dyDescent="0.25">
      <c r="A400" s="64"/>
      <c r="B400" s="64"/>
      <c r="C400" s="65"/>
      <c r="D400" s="65"/>
      <c r="E400" s="65"/>
      <c r="F400" s="61"/>
      <c r="G400" s="61"/>
      <c r="H400" s="61"/>
      <c r="I400" s="61"/>
      <c r="J400" s="61"/>
      <c r="K400" s="3" t="str">
        <f t="shared" si="18"/>
        <v>fail</v>
      </c>
      <c r="L400" s="19" t="str">
        <f>IFERROR(IF(AND(MATCH(A400,Projection_classes,0),YEAR(current_date)='Example - Projections'!B400),"pass","fail"),"")</f>
        <v/>
      </c>
    </row>
    <row r="401" spans="1:12" x14ac:dyDescent="0.25">
      <c r="A401" s="64"/>
      <c r="B401" s="64"/>
      <c r="C401" s="65"/>
      <c r="D401" s="65"/>
      <c r="E401" s="65"/>
      <c r="F401" s="61"/>
      <c r="G401" s="61"/>
      <c r="H401" s="61"/>
      <c r="I401" s="61"/>
      <c r="J401" s="61"/>
      <c r="K401" s="3" t="str">
        <f t="shared" si="18"/>
        <v>fail</v>
      </c>
      <c r="L401" s="19" t="str">
        <f>IFERROR(IF(AND(MATCH(A401,Projection_classes,0),YEAR(current_date)='Example - Projections'!B401),"pass","fail"),"")</f>
        <v/>
      </c>
    </row>
    <row r="402" spans="1:12" x14ac:dyDescent="0.25">
      <c r="A402" s="64"/>
      <c r="B402" s="64"/>
      <c r="C402" s="65"/>
      <c r="D402" s="65"/>
      <c r="E402" s="65"/>
      <c r="F402" s="61"/>
      <c r="G402" s="61"/>
      <c r="H402" s="61"/>
      <c r="I402" s="61"/>
      <c r="J402" s="61"/>
      <c r="K402" s="3" t="str">
        <f t="shared" si="18"/>
        <v>fail</v>
      </c>
      <c r="L402" s="19" t="str">
        <f>IFERROR(IF(AND(MATCH(A402,Projection_classes,0),YEAR(current_date)='Example - Projections'!B402),"pass","fail"),"")</f>
        <v/>
      </c>
    </row>
    <row r="403" spans="1:12" x14ac:dyDescent="0.25">
      <c r="A403" s="64"/>
      <c r="B403" s="64"/>
      <c r="C403" s="65"/>
      <c r="D403" s="65"/>
      <c r="E403" s="65"/>
      <c r="F403" s="61"/>
      <c r="G403" s="61"/>
      <c r="H403" s="61"/>
      <c r="I403" s="61"/>
      <c r="J403" s="61"/>
      <c r="K403" s="3" t="str">
        <f t="shared" si="18"/>
        <v>fail</v>
      </c>
      <c r="L403" s="19" t="str">
        <f>IFERROR(IF(AND(MATCH(A403,Projection_classes,0),YEAR(current_date)='Example - Projections'!B403),"pass","fail"),"")</f>
        <v/>
      </c>
    </row>
    <row r="404" spans="1:12" x14ac:dyDescent="0.25">
      <c r="A404" s="64"/>
      <c r="B404" s="64"/>
      <c r="C404" s="65"/>
      <c r="D404" s="65"/>
      <c r="E404" s="65"/>
      <c r="F404" s="61"/>
      <c r="G404" s="61"/>
      <c r="H404" s="61"/>
      <c r="I404" s="61"/>
      <c r="J404" s="61"/>
      <c r="K404" s="3" t="str">
        <f t="shared" si="18"/>
        <v>fail</v>
      </c>
      <c r="L404" s="19" t="str">
        <f>IFERROR(IF(AND(MATCH(A404,Projection_classes,0),YEAR(current_date)='Example - Projections'!B404),"pass","fail"),"")</f>
        <v/>
      </c>
    </row>
    <row r="405" spans="1:12" x14ac:dyDescent="0.25">
      <c r="A405" s="64"/>
      <c r="B405" s="64"/>
      <c r="C405" s="65"/>
      <c r="D405" s="65"/>
      <c r="E405" s="65"/>
      <c r="F405" s="61"/>
      <c r="G405" s="61"/>
      <c r="H405" s="61"/>
      <c r="I405" s="61"/>
      <c r="J405" s="61"/>
      <c r="K405" s="3" t="str">
        <f t="shared" si="18"/>
        <v>fail</v>
      </c>
      <c r="L405" s="19" t="str">
        <f>IFERROR(IF(AND(MATCH(A405,Projection_classes,0),YEAR(current_date)='Example - Projections'!B405),"pass","fail"),"")</f>
        <v/>
      </c>
    </row>
    <row r="406" spans="1:12" x14ac:dyDescent="0.25">
      <c r="A406" s="64"/>
      <c r="B406" s="64"/>
      <c r="C406" s="65"/>
      <c r="D406" s="65"/>
      <c r="E406" s="65"/>
      <c r="F406" s="61"/>
      <c r="G406" s="61"/>
      <c r="H406" s="61"/>
      <c r="I406" s="61"/>
      <c r="J406" s="61"/>
      <c r="K406" s="3" t="str">
        <f t="shared" si="18"/>
        <v>fail</v>
      </c>
      <c r="L406" s="19" t="str">
        <f>IFERROR(IF(AND(MATCH(A406,Projection_classes,0),YEAR(current_date)='Example - Projections'!B406),"pass","fail"),"")</f>
        <v/>
      </c>
    </row>
    <row r="407" spans="1:12" x14ac:dyDescent="0.25">
      <c r="A407" s="64"/>
      <c r="B407" s="64"/>
      <c r="C407" s="65"/>
      <c r="D407" s="65"/>
      <c r="E407" s="65"/>
      <c r="F407" s="61"/>
      <c r="G407" s="61"/>
      <c r="H407" s="61"/>
      <c r="I407" s="61"/>
      <c r="J407" s="61"/>
      <c r="K407" s="3" t="str">
        <f t="shared" si="18"/>
        <v>fail</v>
      </c>
      <c r="L407" s="19" t="str">
        <f>IFERROR(IF(AND(MATCH(A407,Projection_classes,0),YEAR(current_date)='Example - Projections'!B407),"pass","fail"),"")</f>
        <v/>
      </c>
    </row>
    <row r="408" spans="1:12" x14ac:dyDescent="0.25">
      <c r="A408" s="64"/>
      <c r="B408" s="64"/>
      <c r="C408" s="65"/>
      <c r="D408" s="65"/>
      <c r="E408" s="65"/>
      <c r="F408" s="61"/>
      <c r="G408" s="61"/>
      <c r="H408" s="61"/>
      <c r="I408" s="61"/>
      <c r="J408" s="61"/>
      <c r="K408" s="3" t="str">
        <f t="shared" si="18"/>
        <v>fail</v>
      </c>
      <c r="L408" s="19" t="str">
        <f>IFERROR(IF(AND(MATCH(A408,Projection_classes,0),YEAR(current_date)='Example - Projections'!B408),"pass","fail"),"")</f>
        <v/>
      </c>
    </row>
    <row r="409" spans="1:12" x14ac:dyDescent="0.25">
      <c r="A409" s="64"/>
      <c r="B409" s="64"/>
      <c r="C409" s="65"/>
      <c r="D409" s="65"/>
      <c r="E409" s="65"/>
      <c r="F409" s="61"/>
      <c r="G409" s="61"/>
      <c r="H409" s="61"/>
      <c r="I409" s="61"/>
      <c r="J409" s="61"/>
      <c r="K409" s="3" t="str">
        <f t="shared" si="18"/>
        <v>fail</v>
      </c>
      <c r="L409" s="19" t="str">
        <f>IFERROR(IF(AND(MATCH(A409,Projection_classes,0),YEAR(current_date)='Example - Projections'!B409),"pass","fail"),"")</f>
        <v/>
      </c>
    </row>
    <row r="410" spans="1:12" x14ac:dyDescent="0.25">
      <c r="A410" s="64"/>
      <c r="B410" s="64"/>
      <c r="C410" s="65"/>
      <c r="D410" s="65"/>
      <c r="E410" s="65"/>
      <c r="F410" s="61"/>
      <c r="G410" s="61"/>
      <c r="H410" s="61"/>
      <c r="I410" s="61"/>
      <c r="J410" s="61"/>
      <c r="K410" s="3" t="str">
        <f t="shared" si="18"/>
        <v>fail</v>
      </c>
      <c r="L410" s="19" t="str">
        <f>IFERROR(IF(AND(MATCH(A410,Projection_classes,0),YEAR(current_date)='Example - Projections'!B410),"pass","fail"),"")</f>
        <v/>
      </c>
    </row>
    <row r="411" spans="1:12" x14ac:dyDescent="0.25">
      <c r="A411" s="64"/>
      <c r="B411" s="64"/>
      <c r="C411" s="65"/>
      <c r="D411" s="65"/>
      <c r="E411" s="65"/>
      <c r="F411" s="61"/>
      <c r="G411" s="61"/>
      <c r="H411" s="61"/>
      <c r="I411" s="61"/>
      <c r="J411" s="61"/>
      <c r="K411" s="3" t="str">
        <f t="shared" si="18"/>
        <v>fail</v>
      </c>
      <c r="L411" s="19" t="str">
        <f>IFERROR(IF(AND(MATCH(A411,Projection_classes,0),YEAR(current_date)='Example - Projections'!B411),"pass","fail"),"")</f>
        <v/>
      </c>
    </row>
    <row r="412" spans="1:12" x14ac:dyDescent="0.25">
      <c r="A412" s="64"/>
      <c r="B412" s="64"/>
      <c r="C412" s="65"/>
      <c r="D412" s="65"/>
      <c r="E412" s="65"/>
      <c r="F412" s="61"/>
      <c r="G412" s="61"/>
      <c r="H412" s="61"/>
      <c r="I412" s="61"/>
      <c r="J412" s="61"/>
      <c r="K412" s="3" t="str">
        <f t="shared" si="18"/>
        <v>fail</v>
      </c>
      <c r="L412" s="19" t="str">
        <f>IFERROR(IF(AND(MATCH(A412,Projection_classes,0),YEAR(current_date)='Example - Projections'!B412),"pass","fail"),"")</f>
        <v/>
      </c>
    </row>
    <row r="413" spans="1:12" x14ac:dyDescent="0.25">
      <c r="A413" s="64"/>
      <c r="B413" s="64"/>
      <c r="C413" s="65"/>
      <c r="D413" s="65"/>
      <c r="E413" s="65"/>
      <c r="F413" s="61"/>
      <c r="G413" s="61"/>
      <c r="H413" s="61"/>
      <c r="I413" s="61"/>
      <c r="J413" s="61"/>
      <c r="K413" s="3" t="str">
        <f t="shared" si="18"/>
        <v>fail</v>
      </c>
      <c r="L413" s="19" t="str">
        <f>IFERROR(IF(AND(MATCH(A413,Projection_classes,0),YEAR(current_date)='Example - Projections'!B413),"pass","fail"),"")</f>
        <v/>
      </c>
    </row>
    <row r="414" spans="1:12" x14ac:dyDescent="0.25">
      <c r="A414" s="64"/>
      <c r="B414" s="64"/>
      <c r="C414" s="65"/>
      <c r="D414" s="65"/>
      <c r="E414" s="65"/>
      <c r="F414" s="61"/>
      <c r="G414" s="61"/>
      <c r="H414" s="61"/>
      <c r="I414" s="61"/>
      <c r="J414" s="61"/>
      <c r="K414" s="3" t="str">
        <f t="shared" si="18"/>
        <v>fail</v>
      </c>
      <c r="L414" s="19" t="str">
        <f>IFERROR(IF(AND(MATCH(A414,Projection_classes,0),YEAR(current_date)='Example - Projections'!B414),"pass","fail"),"")</f>
        <v/>
      </c>
    </row>
    <row r="415" spans="1:12" x14ac:dyDescent="0.25">
      <c r="A415" s="64"/>
      <c r="B415" s="64"/>
      <c r="C415" s="65"/>
      <c r="D415" s="65"/>
      <c r="E415" s="65"/>
      <c r="F415" s="61"/>
      <c r="G415" s="61"/>
      <c r="H415" s="61"/>
      <c r="I415" s="61"/>
      <c r="J415" s="61"/>
      <c r="K415" s="3" t="str">
        <f t="shared" si="18"/>
        <v>fail</v>
      </c>
      <c r="L415" s="19" t="str">
        <f>IFERROR(IF(AND(MATCH(A415,Projection_classes,0),YEAR(current_date)='Example - Projections'!B415),"pass","fail"),"")</f>
        <v/>
      </c>
    </row>
    <row r="416" spans="1:12" x14ac:dyDescent="0.25">
      <c r="A416" s="64"/>
      <c r="B416" s="64"/>
      <c r="C416" s="65"/>
      <c r="D416" s="65"/>
      <c r="E416" s="65"/>
      <c r="F416" s="61"/>
      <c r="G416" s="61"/>
      <c r="H416" s="61"/>
      <c r="I416" s="61"/>
      <c r="J416" s="61"/>
      <c r="K416" s="3" t="str">
        <f t="shared" si="18"/>
        <v>fail</v>
      </c>
      <c r="L416" s="19" t="str">
        <f>IFERROR(IF(AND(MATCH(A416,Projection_classes,0),YEAR(current_date)='Example - Projections'!B416),"pass","fail"),"")</f>
        <v/>
      </c>
    </row>
    <row r="417" spans="1:12" x14ac:dyDescent="0.25">
      <c r="A417" s="64"/>
      <c r="B417" s="64"/>
      <c r="C417" s="65"/>
      <c r="D417" s="65"/>
      <c r="E417" s="65"/>
      <c r="F417" s="61"/>
      <c r="G417" s="61"/>
      <c r="H417" s="61"/>
      <c r="I417" s="61"/>
      <c r="J417" s="61"/>
      <c r="K417" s="3" t="str">
        <f t="shared" si="18"/>
        <v>fail</v>
      </c>
      <c r="L417" s="19" t="str">
        <f>IFERROR(IF(AND(MATCH(A417,Projection_classes,0),YEAR(current_date)='Example - Projections'!B417),"pass","fail"),"")</f>
        <v/>
      </c>
    </row>
    <row r="418" spans="1:12" x14ac:dyDescent="0.25">
      <c r="A418" s="64"/>
      <c r="B418" s="64"/>
      <c r="C418" s="65"/>
      <c r="D418" s="65"/>
      <c r="E418" s="65"/>
      <c r="F418" s="61"/>
      <c r="G418" s="61"/>
      <c r="H418" s="61"/>
      <c r="I418" s="61"/>
      <c r="J418" s="61"/>
      <c r="K418" s="3" t="str">
        <f t="shared" si="18"/>
        <v>fail</v>
      </c>
      <c r="L418" s="19" t="str">
        <f>IFERROR(IF(AND(MATCH(A418,Projection_classes,0),YEAR(current_date)='Example - Projections'!B418),"pass","fail"),"")</f>
        <v/>
      </c>
    </row>
    <row r="419" spans="1:12" x14ac:dyDescent="0.25">
      <c r="A419" s="64"/>
      <c r="B419" s="64"/>
      <c r="C419" s="65"/>
      <c r="D419" s="65"/>
      <c r="E419" s="65"/>
      <c r="F419" s="61"/>
      <c r="G419" s="61"/>
      <c r="H419" s="61"/>
      <c r="I419" s="61"/>
      <c r="J419" s="61"/>
      <c r="K419" s="3" t="str">
        <f t="shared" si="18"/>
        <v>fail</v>
      </c>
      <c r="L419" s="19" t="str">
        <f>IFERROR(IF(AND(MATCH(A419,Projection_classes,0),YEAR(current_date)='Example - Projections'!B419),"pass","fail"),"")</f>
        <v/>
      </c>
    </row>
    <row r="420" spans="1:12" x14ac:dyDescent="0.25">
      <c r="A420" s="64"/>
      <c r="B420" s="64"/>
      <c r="C420" s="65"/>
      <c r="D420" s="65"/>
      <c r="E420" s="65"/>
      <c r="F420" s="61"/>
      <c r="G420" s="61"/>
      <c r="H420" s="61"/>
      <c r="I420" s="61"/>
      <c r="J420" s="61"/>
      <c r="K420" s="3" t="str">
        <f t="shared" si="18"/>
        <v>fail</v>
      </c>
      <c r="L420" s="19" t="str">
        <f>IFERROR(IF(AND(MATCH(A420,Projection_classes,0),YEAR(current_date)='Example - Projections'!B420),"pass","fail"),"")</f>
        <v/>
      </c>
    </row>
    <row r="421" spans="1:12" x14ac:dyDescent="0.25">
      <c r="A421" s="64"/>
      <c r="B421" s="64"/>
      <c r="C421" s="65"/>
      <c r="D421" s="65"/>
      <c r="E421" s="65"/>
      <c r="F421" s="61"/>
      <c r="G421" s="61"/>
      <c r="H421" s="61"/>
      <c r="I421" s="61"/>
      <c r="J421" s="61"/>
      <c r="K421" s="3" t="str">
        <f t="shared" si="18"/>
        <v>fail</v>
      </c>
      <c r="L421" s="19" t="str">
        <f>IFERROR(IF(AND(MATCH(A421,Projection_classes,0),YEAR(current_date)='Example - Projections'!B421),"pass","fail"),"")</f>
        <v/>
      </c>
    </row>
    <row r="422" spans="1:12" x14ac:dyDescent="0.25">
      <c r="A422" s="64"/>
      <c r="B422" s="64"/>
      <c r="C422" s="65"/>
      <c r="D422" s="65"/>
      <c r="E422" s="65"/>
      <c r="F422" s="61"/>
      <c r="G422" s="61"/>
      <c r="H422" s="61"/>
      <c r="I422" s="61"/>
      <c r="J422" s="61"/>
      <c r="K422" s="3" t="str">
        <f t="shared" si="18"/>
        <v>fail</v>
      </c>
      <c r="L422" s="19" t="str">
        <f>IFERROR(IF(AND(MATCH(A422,Projection_classes,0),YEAR(current_date)='Example - Projections'!B422),"pass","fail"),"")</f>
        <v/>
      </c>
    </row>
    <row r="423" spans="1:12" x14ac:dyDescent="0.25">
      <c r="A423" s="64"/>
      <c r="B423" s="64"/>
      <c r="C423" s="65"/>
      <c r="D423" s="65"/>
      <c r="E423" s="65"/>
      <c r="F423" s="61"/>
      <c r="G423" s="61"/>
      <c r="H423" s="61"/>
      <c r="I423" s="61"/>
      <c r="J423" s="61"/>
      <c r="K423" s="3" t="str">
        <f t="shared" si="18"/>
        <v>fail</v>
      </c>
      <c r="L423" s="19" t="str">
        <f>IFERROR(IF(AND(MATCH(A423,Projection_classes,0),YEAR(current_date)='Example - Projections'!B423),"pass","fail"),"")</f>
        <v/>
      </c>
    </row>
    <row r="424" spans="1:12" x14ac:dyDescent="0.25">
      <c r="A424" s="64"/>
      <c r="B424" s="64"/>
      <c r="C424" s="65"/>
      <c r="D424" s="65"/>
      <c r="E424" s="65"/>
      <c r="F424" s="61"/>
      <c r="G424" s="61"/>
      <c r="H424" s="61"/>
      <c r="I424" s="61"/>
      <c r="J424" s="61"/>
      <c r="K424" s="3" t="str">
        <f t="shared" si="18"/>
        <v>fail</v>
      </c>
      <c r="L424" s="19" t="str">
        <f>IFERROR(IF(AND(MATCH(A424,Projection_classes,0),YEAR(current_date)='Example - Projections'!B424),"pass","fail"),"")</f>
        <v/>
      </c>
    </row>
    <row r="425" spans="1:12" x14ac:dyDescent="0.25">
      <c r="A425" s="64"/>
      <c r="B425" s="64"/>
      <c r="C425" s="65"/>
      <c r="D425" s="65"/>
      <c r="E425" s="65"/>
      <c r="F425" s="61"/>
      <c r="G425" s="61"/>
      <c r="H425" s="61"/>
      <c r="I425" s="61"/>
      <c r="J425" s="61"/>
      <c r="K425" s="3" t="str">
        <f t="shared" si="18"/>
        <v>fail</v>
      </c>
      <c r="L425" s="19" t="str">
        <f>IFERROR(IF(AND(MATCH(A425,Projection_classes,0),YEAR(current_date)='Example - Projections'!B425),"pass","fail"),"")</f>
        <v/>
      </c>
    </row>
    <row r="426" spans="1:12" x14ac:dyDescent="0.25">
      <c r="A426" s="64"/>
      <c r="B426" s="64"/>
      <c r="C426" s="65"/>
      <c r="D426" s="65"/>
      <c r="E426" s="65"/>
      <c r="F426" s="61"/>
      <c r="G426" s="61"/>
      <c r="H426" s="61"/>
      <c r="I426" s="61"/>
      <c r="J426" s="61"/>
      <c r="K426" s="3" t="str">
        <f t="shared" si="18"/>
        <v>fail</v>
      </c>
      <c r="L426" s="19" t="str">
        <f>IFERROR(IF(AND(MATCH(A426,Projection_classes,0),YEAR(current_date)='Example - Projections'!B426),"pass","fail"),"")</f>
        <v/>
      </c>
    </row>
    <row r="427" spans="1:12" x14ac:dyDescent="0.25">
      <c r="A427" s="64"/>
      <c r="B427" s="64"/>
      <c r="C427" s="65"/>
      <c r="D427" s="65"/>
      <c r="E427" s="65"/>
      <c r="F427" s="61"/>
      <c r="G427" s="61"/>
      <c r="H427" s="61"/>
      <c r="I427" s="61"/>
      <c r="J427" s="61"/>
      <c r="K427" s="3" t="str">
        <f t="shared" si="18"/>
        <v>fail</v>
      </c>
      <c r="L427" s="19" t="str">
        <f>IFERROR(IF(AND(MATCH(A427,Projection_classes,0),YEAR(current_date)='Example - Projections'!B427),"pass","fail"),"")</f>
        <v/>
      </c>
    </row>
    <row r="428" spans="1:12" x14ac:dyDescent="0.25">
      <c r="A428" s="64"/>
      <c r="B428" s="64"/>
      <c r="C428" s="65"/>
      <c r="D428" s="65"/>
      <c r="E428" s="65"/>
      <c r="F428" s="61"/>
      <c r="G428" s="61"/>
      <c r="H428" s="61"/>
      <c r="I428" s="61"/>
      <c r="J428" s="61"/>
      <c r="K428" s="3" t="str">
        <f t="shared" si="18"/>
        <v>fail</v>
      </c>
      <c r="L428" s="19" t="str">
        <f>IFERROR(IF(AND(MATCH(A428,Projection_classes,0),YEAR(current_date)='Example - Projections'!B428),"pass","fail"),"")</f>
        <v/>
      </c>
    </row>
    <row r="429" spans="1:12" x14ac:dyDescent="0.25">
      <c r="A429" s="64"/>
      <c r="B429" s="64"/>
      <c r="C429" s="65"/>
      <c r="D429" s="65"/>
      <c r="E429" s="65"/>
      <c r="F429" s="61"/>
      <c r="G429" s="61"/>
      <c r="H429" s="61"/>
      <c r="I429" s="61"/>
      <c r="J429" s="61"/>
      <c r="K429" s="3" t="str">
        <f t="shared" si="18"/>
        <v>fail</v>
      </c>
      <c r="L429" s="19" t="str">
        <f>IFERROR(IF(AND(MATCH(A429,Projection_classes,0),YEAR(current_date)='Example - Projections'!B429),"pass","fail"),"")</f>
        <v/>
      </c>
    </row>
    <row r="430" spans="1:12" x14ac:dyDescent="0.25">
      <c r="A430" s="64"/>
      <c r="B430" s="64"/>
      <c r="C430" s="65"/>
      <c r="D430" s="65"/>
      <c r="E430" s="65"/>
      <c r="F430" s="61"/>
      <c r="G430" s="61"/>
      <c r="H430" s="61"/>
      <c r="I430" s="61"/>
      <c r="J430" s="61"/>
      <c r="K430" s="3" t="str">
        <f t="shared" si="18"/>
        <v>fail</v>
      </c>
      <c r="L430" s="19" t="str">
        <f>IFERROR(IF(AND(MATCH(A430,Projection_classes,0),YEAR(current_date)='Example - Projections'!B430),"pass","fail"),"")</f>
        <v/>
      </c>
    </row>
    <row r="431" spans="1:12" x14ac:dyDescent="0.25">
      <c r="A431" s="64"/>
      <c r="B431" s="64"/>
      <c r="C431" s="65"/>
      <c r="D431" s="65"/>
      <c r="E431" s="65"/>
      <c r="F431" s="61"/>
      <c r="G431" s="61"/>
      <c r="H431" s="61"/>
      <c r="I431" s="61"/>
      <c r="J431" s="61"/>
      <c r="K431" s="3" t="str">
        <f t="shared" si="18"/>
        <v>fail</v>
      </c>
      <c r="L431" s="19" t="str">
        <f>IFERROR(IF(AND(MATCH(A431,Projection_classes,0),YEAR(current_date)='Example - Projections'!B431),"pass","fail"),"")</f>
        <v/>
      </c>
    </row>
    <row r="432" spans="1:12" x14ac:dyDescent="0.25">
      <c r="A432" s="64"/>
      <c r="B432" s="64"/>
      <c r="C432" s="65"/>
      <c r="D432" s="65"/>
      <c r="E432" s="65"/>
      <c r="F432" s="61"/>
      <c r="G432" s="61"/>
      <c r="H432" s="61"/>
      <c r="I432" s="61"/>
      <c r="J432" s="61"/>
      <c r="K432" s="3" t="str">
        <f t="shared" si="18"/>
        <v>fail</v>
      </c>
      <c r="L432" s="19" t="str">
        <f>IFERROR(IF(AND(MATCH(A432,Projection_classes,0),YEAR(current_date)='Example - Projections'!B432),"pass","fail"),"")</f>
        <v/>
      </c>
    </row>
    <row r="433" spans="1:12" x14ac:dyDescent="0.25">
      <c r="A433" s="64"/>
      <c r="B433" s="64"/>
      <c r="C433" s="65"/>
      <c r="D433" s="65"/>
      <c r="E433" s="65"/>
      <c r="F433" s="61"/>
      <c r="G433" s="61"/>
      <c r="H433" s="61"/>
      <c r="I433" s="61"/>
      <c r="J433" s="61"/>
      <c r="K433" s="3" t="str">
        <f t="shared" si="18"/>
        <v>fail</v>
      </c>
      <c r="L433" s="19" t="str">
        <f>IFERROR(IF(AND(MATCH(A433,Projection_classes,0),YEAR(current_date)='Example - Projections'!B433),"pass","fail"),"")</f>
        <v/>
      </c>
    </row>
    <row r="434" spans="1:12" x14ac:dyDescent="0.25">
      <c r="A434" s="64"/>
      <c r="B434" s="64"/>
      <c r="C434" s="65"/>
      <c r="D434" s="65"/>
      <c r="E434" s="65"/>
      <c r="F434" s="61"/>
      <c r="G434" s="61"/>
      <c r="H434" s="61"/>
      <c r="I434" s="61"/>
      <c r="J434" s="61"/>
      <c r="K434" s="3" t="str">
        <f t="shared" si="18"/>
        <v>fail</v>
      </c>
      <c r="L434" s="19" t="str">
        <f>IFERROR(IF(AND(MATCH(A434,Projection_classes,0),YEAR(current_date)='Example - Projections'!B434),"pass","fail"),"")</f>
        <v/>
      </c>
    </row>
    <row r="435" spans="1:12" x14ac:dyDescent="0.25">
      <c r="A435" s="64"/>
      <c r="B435" s="64"/>
      <c r="C435" s="65"/>
      <c r="D435" s="65"/>
      <c r="E435" s="65"/>
      <c r="F435" s="61"/>
      <c r="G435" s="61"/>
      <c r="H435" s="61"/>
      <c r="I435" s="61"/>
      <c r="J435" s="61"/>
      <c r="K435" s="3" t="str">
        <f t="shared" si="18"/>
        <v>fail</v>
      </c>
      <c r="L435" s="19" t="str">
        <f>IFERROR(IF(AND(MATCH(A435,Projection_classes,0),YEAR(current_date)='Example - Projections'!B435),"pass","fail"),"")</f>
        <v/>
      </c>
    </row>
    <row r="436" spans="1:12" x14ac:dyDescent="0.25">
      <c r="A436" s="64"/>
      <c r="B436" s="64"/>
      <c r="C436" s="65"/>
      <c r="D436" s="65"/>
      <c r="E436" s="65"/>
      <c r="F436" s="61"/>
      <c r="G436" s="61"/>
      <c r="H436" s="61"/>
      <c r="I436" s="61"/>
      <c r="J436" s="61"/>
      <c r="K436" s="3" t="str">
        <f t="shared" si="18"/>
        <v>fail</v>
      </c>
      <c r="L436" s="19" t="str">
        <f>IFERROR(IF(AND(MATCH(A436,Projection_classes,0),YEAR(current_date)='Example - Projections'!B436),"pass","fail"),"")</f>
        <v/>
      </c>
    </row>
    <row r="437" spans="1:12" x14ac:dyDescent="0.25">
      <c r="A437" s="64"/>
      <c r="B437" s="64"/>
      <c r="C437" s="65"/>
      <c r="D437" s="65"/>
      <c r="E437" s="65"/>
      <c r="F437" s="61"/>
      <c r="G437" s="61"/>
      <c r="H437" s="61"/>
      <c r="I437" s="61"/>
      <c r="J437" s="61"/>
      <c r="K437" s="3" t="str">
        <f t="shared" si="18"/>
        <v>fail</v>
      </c>
      <c r="L437" s="19" t="str">
        <f>IFERROR(IF(AND(MATCH(A437,Projection_classes,0),YEAR(current_date)='Example - Projections'!B437),"pass","fail"),"")</f>
        <v/>
      </c>
    </row>
    <row r="438" spans="1:12" x14ac:dyDescent="0.25">
      <c r="A438" s="64"/>
      <c r="B438" s="64"/>
      <c r="C438" s="65"/>
      <c r="D438" s="65"/>
      <c r="E438" s="65"/>
      <c r="F438" s="61"/>
      <c r="G438" s="61"/>
      <c r="H438" s="61"/>
      <c r="I438" s="61"/>
      <c r="J438" s="61"/>
      <c r="K438" s="3" t="str">
        <f t="shared" si="18"/>
        <v>fail</v>
      </c>
      <c r="L438" s="19" t="str">
        <f>IFERROR(IF(AND(MATCH(A438,Projection_classes,0),YEAR(current_date)='Example - Projections'!B438),"pass","fail"),"")</f>
        <v/>
      </c>
    </row>
    <row r="439" spans="1:12" x14ac:dyDescent="0.25">
      <c r="A439" s="64"/>
      <c r="B439" s="64"/>
      <c r="C439" s="65"/>
      <c r="D439" s="65"/>
      <c r="E439" s="65"/>
      <c r="F439" s="61"/>
      <c r="G439" s="61"/>
      <c r="H439" s="61"/>
      <c r="I439" s="61"/>
      <c r="J439" s="61"/>
      <c r="K439" s="3" t="str">
        <f t="shared" si="18"/>
        <v>fail</v>
      </c>
      <c r="L439" s="19" t="str">
        <f>IFERROR(IF(AND(MATCH(A439,Projection_classes,0),YEAR(current_date)='Example - Projections'!B439),"pass","fail"),"")</f>
        <v/>
      </c>
    </row>
    <row r="440" spans="1:12" x14ac:dyDescent="0.25">
      <c r="A440" s="64"/>
      <c r="B440" s="64"/>
      <c r="C440" s="65"/>
      <c r="D440" s="65"/>
      <c r="E440" s="65"/>
      <c r="F440" s="61"/>
      <c r="G440" s="61"/>
      <c r="H440" s="61"/>
      <c r="I440" s="61"/>
      <c r="J440" s="61"/>
      <c r="K440" s="3" t="str">
        <f t="shared" si="18"/>
        <v>fail</v>
      </c>
      <c r="L440" s="19" t="str">
        <f>IFERROR(IF(AND(MATCH(A440,Projection_classes,0),YEAR(current_date)='Example - Projections'!B440),"pass","fail"),"")</f>
        <v/>
      </c>
    </row>
    <row r="441" spans="1:12" x14ac:dyDescent="0.25">
      <c r="A441" s="64"/>
      <c r="B441" s="64"/>
      <c r="C441" s="65"/>
      <c r="D441" s="65"/>
      <c r="E441" s="65"/>
      <c r="F441" s="61"/>
      <c r="G441" s="61"/>
      <c r="H441" s="61"/>
      <c r="I441" s="61"/>
      <c r="J441" s="61"/>
      <c r="K441" s="3" t="str">
        <f t="shared" si="18"/>
        <v>fail</v>
      </c>
      <c r="L441" s="19" t="str">
        <f>IFERROR(IF(AND(MATCH(A441,Projection_classes,0),YEAR(current_date)='Example - Projections'!B441),"pass","fail"),"")</f>
        <v/>
      </c>
    </row>
    <row r="442" spans="1:12" x14ac:dyDescent="0.25">
      <c r="A442" s="64"/>
      <c r="B442" s="64"/>
      <c r="C442" s="65"/>
      <c r="D442" s="65"/>
      <c r="E442" s="65"/>
      <c r="F442" s="61"/>
      <c r="G442" s="61"/>
      <c r="H442" s="61"/>
      <c r="I442" s="61"/>
      <c r="J442" s="61"/>
      <c r="K442" s="3" t="str">
        <f t="shared" si="18"/>
        <v>fail</v>
      </c>
      <c r="L442" s="19" t="str">
        <f>IFERROR(IF(AND(MATCH(A442,Projection_classes,0),YEAR(current_date)='Example - Projections'!B442),"pass","fail"),"")</f>
        <v/>
      </c>
    </row>
    <row r="443" spans="1:12" x14ac:dyDescent="0.25">
      <c r="A443" s="64"/>
      <c r="B443" s="64"/>
      <c r="C443" s="65"/>
      <c r="D443" s="65"/>
      <c r="E443" s="65"/>
      <c r="F443" s="61"/>
      <c r="G443" s="61"/>
      <c r="H443" s="61"/>
      <c r="I443" s="61"/>
      <c r="J443" s="61"/>
      <c r="K443" s="3" t="str">
        <f t="shared" si="18"/>
        <v>fail</v>
      </c>
      <c r="L443" s="19" t="str">
        <f>IFERROR(IF(AND(MATCH(A443,Projection_classes,0),YEAR(current_date)='Example - Projections'!B443),"pass","fail"),"")</f>
        <v/>
      </c>
    </row>
    <row r="444" spans="1:12" x14ac:dyDescent="0.25">
      <c r="A444" s="64"/>
      <c r="B444" s="64"/>
      <c r="C444" s="65"/>
      <c r="D444" s="65"/>
      <c r="E444" s="65"/>
      <c r="F444" s="61"/>
      <c r="G444" s="61"/>
      <c r="H444" s="61"/>
      <c r="I444" s="61"/>
      <c r="J444" s="61"/>
      <c r="K444" s="3" t="str">
        <f t="shared" si="18"/>
        <v>fail</v>
      </c>
      <c r="L444" s="19" t="str">
        <f>IFERROR(IF(AND(MATCH(A444,Projection_classes,0),YEAR(current_date)='Example - Projections'!B444),"pass","fail"),"")</f>
        <v/>
      </c>
    </row>
    <row r="445" spans="1:12" x14ac:dyDescent="0.25">
      <c r="A445" s="64"/>
      <c r="B445" s="64"/>
      <c r="C445" s="65"/>
      <c r="D445" s="65"/>
      <c r="E445" s="65"/>
      <c r="F445" s="61"/>
      <c r="G445" s="61"/>
      <c r="H445" s="61"/>
      <c r="I445" s="61"/>
      <c r="J445" s="61"/>
      <c r="K445" s="3" t="str">
        <f t="shared" si="18"/>
        <v>fail</v>
      </c>
      <c r="L445" s="19" t="str">
        <f>IFERROR(IF(AND(MATCH(A445,Projection_classes,0),YEAR(current_date)='Example - Projections'!B445),"pass","fail"),"")</f>
        <v/>
      </c>
    </row>
    <row r="446" spans="1:12" x14ac:dyDescent="0.25">
      <c r="A446" s="64"/>
      <c r="B446" s="64"/>
      <c r="C446" s="65"/>
      <c r="D446" s="65"/>
      <c r="E446" s="65"/>
      <c r="F446" s="61"/>
      <c r="G446" s="61"/>
      <c r="H446" s="61"/>
      <c r="I446" s="61"/>
      <c r="J446" s="61"/>
      <c r="K446" s="3" t="str">
        <f t="shared" si="18"/>
        <v>fail</v>
      </c>
      <c r="L446" s="19" t="str">
        <f>IFERROR(IF(AND(MATCH(A446,Projection_classes,0),YEAR(current_date)='Example - Projections'!B446),"pass","fail"),"")</f>
        <v/>
      </c>
    </row>
    <row r="447" spans="1:12" x14ac:dyDescent="0.25">
      <c r="A447" s="64"/>
      <c r="B447" s="64"/>
      <c r="C447" s="65"/>
      <c r="D447" s="65"/>
      <c r="E447" s="65"/>
      <c r="F447" s="61"/>
      <c r="G447" s="61"/>
      <c r="H447" s="61"/>
      <c r="I447" s="61"/>
      <c r="J447" s="61"/>
      <c r="K447" s="3" t="str">
        <f t="shared" si="18"/>
        <v>fail</v>
      </c>
      <c r="L447" s="19" t="str">
        <f>IFERROR(IF(AND(MATCH(A447,Projection_classes,0),YEAR(current_date)='Example - Projections'!B447),"pass","fail"),"")</f>
        <v/>
      </c>
    </row>
    <row r="448" spans="1:12" x14ac:dyDescent="0.25">
      <c r="A448" s="64"/>
      <c r="B448" s="64"/>
      <c r="C448" s="65"/>
      <c r="D448" s="65"/>
      <c r="E448" s="65"/>
      <c r="F448" s="61"/>
      <c r="G448" s="61"/>
      <c r="H448" s="61"/>
      <c r="I448" s="61"/>
      <c r="J448" s="61"/>
      <c r="K448" s="3" t="str">
        <f t="shared" si="18"/>
        <v>fail</v>
      </c>
      <c r="L448" s="19" t="str">
        <f>IFERROR(IF(AND(MATCH(A448,Projection_classes,0),YEAR(current_date)='Example - Projections'!B448),"pass","fail"),"")</f>
        <v/>
      </c>
    </row>
    <row r="449" spans="1:12" x14ac:dyDescent="0.25">
      <c r="A449" s="64"/>
      <c r="B449" s="64"/>
      <c r="C449" s="65"/>
      <c r="D449" s="65"/>
      <c r="E449" s="65"/>
      <c r="F449" s="61"/>
      <c r="G449" s="61"/>
      <c r="H449" s="61"/>
      <c r="I449" s="61"/>
      <c r="J449" s="61"/>
      <c r="K449" s="3" t="str">
        <f t="shared" si="18"/>
        <v>fail</v>
      </c>
      <c r="L449" s="19" t="str">
        <f>IFERROR(IF(AND(MATCH(A449,Projection_classes,0),YEAR(current_date)='Example - Projections'!B449),"pass","fail"),"")</f>
        <v/>
      </c>
    </row>
    <row r="450" spans="1:12" x14ac:dyDescent="0.25">
      <c r="A450" s="64"/>
      <c r="B450" s="64"/>
      <c r="C450" s="65"/>
      <c r="D450" s="65"/>
      <c r="E450" s="65"/>
      <c r="F450" s="61"/>
      <c r="G450" s="61"/>
      <c r="H450" s="61"/>
      <c r="I450" s="61"/>
      <c r="J450" s="61"/>
      <c r="K450" s="3" t="str">
        <f t="shared" ref="K450:K513" si="19">IF(OR(B450&lt;$N$1,B450&gt;$P$1),"fail","pass")</f>
        <v>fail</v>
      </c>
      <c r="L450" s="19" t="str">
        <f>IFERROR(IF(AND(MATCH(A450,Projection_classes,0),YEAR(current_date)='Example - Projections'!B450),"pass","fail"),"")</f>
        <v/>
      </c>
    </row>
    <row r="451" spans="1:12" x14ac:dyDescent="0.25">
      <c r="A451" s="64"/>
      <c r="B451" s="64"/>
      <c r="C451" s="65"/>
      <c r="D451" s="65"/>
      <c r="E451" s="65"/>
      <c r="F451" s="61"/>
      <c r="G451" s="61"/>
      <c r="H451" s="61"/>
      <c r="I451" s="61"/>
      <c r="J451" s="61"/>
      <c r="K451" s="3" t="str">
        <f t="shared" si="19"/>
        <v>fail</v>
      </c>
      <c r="L451" s="19" t="str">
        <f>IFERROR(IF(AND(MATCH(A451,Projection_classes,0),YEAR(current_date)='Example - Projections'!B451),"pass","fail"),"")</f>
        <v/>
      </c>
    </row>
    <row r="452" spans="1:12" x14ac:dyDescent="0.25">
      <c r="A452" s="64"/>
      <c r="B452" s="64"/>
      <c r="C452" s="65"/>
      <c r="D452" s="65"/>
      <c r="E452" s="65"/>
      <c r="F452" s="61"/>
      <c r="G452" s="61"/>
      <c r="H452" s="61"/>
      <c r="I452" s="61"/>
      <c r="J452" s="61"/>
      <c r="K452" s="3" t="str">
        <f t="shared" si="19"/>
        <v>fail</v>
      </c>
      <c r="L452" s="19" t="str">
        <f>IFERROR(IF(AND(MATCH(A452,Projection_classes,0),YEAR(current_date)='Example - Projections'!B452),"pass","fail"),"")</f>
        <v/>
      </c>
    </row>
    <row r="453" spans="1:12" x14ac:dyDescent="0.25">
      <c r="A453" s="64"/>
      <c r="B453" s="64"/>
      <c r="C453" s="65"/>
      <c r="D453" s="65"/>
      <c r="E453" s="65"/>
      <c r="F453" s="61"/>
      <c r="G453" s="61"/>
      <c r="H453" s="61"/>
      <c r="I453" s="61"/>
      <c r="J453" s="61"/>
      <c r="K453" s="3" t="str">
        <f t="shared" si="19"/>
        <v>fail</v>
      </c>
      <c r="L453" s="19" t="str">
        <f>IFERROR(IF(AND(MATCH(A453,Projection_classes,0),YEAR(current_date)='Example - Projections'!B453),"pass","fail"),"")</f>
        <v/>
      </c>
    </row>
    <row r="454" spans="1:12" x14ac:dyDescent="0.25">
      <c r="A454" s="64"/>
      <c r="B454" s="64"/>
      <c r="C454" s="65"/>
      <c r="D454" s="65"/>
      <c r="E454" s="65"/>
      <c r="F454" s="61"/>
      <c r="G454" s="61"/>
      <c r="H454" s="61"/>
      <c r="I454" s="61"/>
      <c r="J454" s="61"/>
      <c r="K454" s="3" t="str">
        <f t="shared" si="19"/>
        <v>fail</v>
      </c>
      <c r="L454" s="19" t="str">
        <f>IFERROR(IF(AND(MATCH(A454,Projection_classes,0),YEAR(current_date)='Example - Projections'!B454),"pass","fail"),"")</f>
        <v/>
      </c>
    </row>
    <row r="455" spans="1:12" x14ac:dyDescent="0.25">
      <c r="A455" s="64"/>
      <c r="B455" s="64"/>
      <c r="C455" s="65"/>
      <c r="D455" s="65"/>
      <c r="E455" s="65"/>
      <c r="F455" s="61"/>
      <c r="G455" s="61"/>
      <c r="H455" s="61"/>
      <c r="I455" s="61"/>
      <c r="J455" s="61"/>
      <c r="K455" s="3" t="str">
        <f t="shared" si="19"/>
        <v>fail</v>
      </c>
      <c r="L455" s="19" t="str">
        <f>IFERROR(IF(AND(MATCH(A455,Projection_classes,0),YEAR(current_date)='Example - Projections'!B455),"pass","fail"),"")</f>
        <v/>
      </c>
    </row>
    <row r="456" spans="1:12" x14ac:dyDescent="0.25">
      <c r="A456" s="64"/>
      <c r="B456" s="64"/>
      <c r="C456" s="65"/>
      <c r="D456" s="65"/>
      <c r="E456" s="65"/>
      <c r="F456" s="61"/>
      <c r="G456" s="61"/>
      <c r="H456" s="61"/>
      <c r="I456" s="61"/>
      <c r="J456" s="61"/>
      <c r="K456" s="3" t="str">
        <f t="shared" si="19"/>
        <v>fail</v>
      </c>
      <c r="L456" s="19" t="str">
        <f>IFERROR(IF(AND(MATCH(A456,Projection_classes,0),YEAR(current_date)='Example - Projections'!B456),"pass","fail"),"")</f>
        <v/>
      </c>
    </row>
    <row r="457" spans="1:12" x14ac:dyDescent="0.25">
      <c r="A457" s="64"/>
      <c r="B457" s="64"/>
      <c r="C457" s="65"/>
      <c r="D457" s="65"/>
      <c r="E457" s="65"/>
      <c r="F457" s="61"/>
      <c r="G457" s="61"/>
      <c r="H457" s="61"/>
      <c r="I457" s="61"/>
      <c r="J457" s="61"/>
      <c r="K457" s="3" t="str">
        <f t="shared" si="19"/>
        <v>fail</v>
      </c>
      <c r="L457" s="19" t="str">
        <f>IFERROR(IF(AND(MATCH(A457,Projection_classes,0),YEAR(current_date)='Example - Projections'!B457),"pass","fail"),"")</f>
        <v/>
      </c>
    </row>
    <row r="458" spans="1:12" x14ac:dyDescent="0.25">
      <c r="A458" s="64"/>
      <c r="B458" s="64"/>
      <c r="C458" s="65"/>
      <c r="D458" s="65"/>
      <c r="E458" s="65"/>
      <c r="F458" s="61"/>
      <c r="G458" s="61"/>
      <c r="H458" s="61"/>
      <c r="I458" s="61"/>
      <c r="J458" s="61"/>
      <c r="K458" s="3" t="str">
        <f t="shared" si="19"/>
        <v>fail</v>
      </c>
      <c r="L458" s="19" t="str">
        <f>IFERROR(IF(AND(MATCH(A458,Projection_classes,0),YEAR(current_date)='Example - Projections'!B458),"pass","fail"),"")</f>
        <v/>
      </c>
    </row>
    <row r="459" spans="1:12" x14ac:dyDescent="0.25">
      <c r="A459" s="64"/>
      <c r="B459" s="64"/>
      <c r="C459" s="65"/>
      <c r="D459" s="65"/>
      <c r="E459" s="65"/>
      <c r="F459" s="61"/>
      <c r="G459" s="61"/>
      <c r="H459" s="61"/>
      <c r="I459" s="61"/>
      <c r="J459" s="61"/>
      <c r="K459" s="3" t="str">
        <f t="shared" si="19"/>
        <v>fail</v>
      </c>
      <c r="L459" s="19" t="str">
        <f>IFERROR(IF(AND(MATCH(A459,Projection_classes,0),YEAR(current_date)='Example - Projections'!B459),"pass","fail"),"")</f>
        <v/>
      </c>
    </row>
    <row r="460" spans="1:12" x14ac:dyDescent="0.25">
      <c r="A460" s="64"/>
      <c r="B460" s="64"/>
      <c r="C460" s="65"/>
      <c r="D460" s="65"/>
      <c r="E460" s="65"/>
      <c r="F460" s="61"/>
      <c r="G460" s="61"/>
      <c r="H460" s="61"/>
      <c r="I460" s="61"/>
      <c r="J460" s="61"/>
      <c r="K460" s="3" t="str">
        <f t="shared" si="19"/>
        <v>fail</v>
      </c>
      <c r="L460" s="19" t="str">
        <f>IFERROR(IF(AND(MATCH(A460,Projection_classes,0),YEAR(current_date)='Example - Projections'!B460),"pass","fail"),"")</f>
        <v/>
      </c>
    </row>
    <row r="461" spans="1:12" x14ac:dyDescent="0.25">
      <c r="A461" s="64"/>
      <c r="B461" s="64"/>
      <c r="C461" s="65"/>
      <c r="D461" s="65"/>
      <c r="E461" s="65"/>
      <c r="F461" s="61"/>
      <c r="G461" s="61"/>
      <c r="H461" s="61"/>
      <c r="I461" s="61"/>
      <c r="J461" s="61"/>
      <c r="K461" s="3" t="str">
        <f t="shared" si="19"/>
        <v>fail</v>
      </c>
      <c r="L461" s="19" t="str">
        <f>IFERROR(IF(AND(MATCH(A461,Projection_classes,0),YEAR(current_date)='Example - Projections'!B461),"pass","fail"),"")</f>
        <v/>
      </c>
    </row>
    <row r="462" spans="1:12" x14ac:dyDescent="0.25">
      <c r="A462" s="64"/>
      <c r="B462" s="64"/>
      <c r="C462" s="65"/>
      <c r="D462" s="65"/>
      <c r="E462" s="65"/>
      <c r="F462" s="61"/>
      <c r="G462" s="61"/>
      <c r="H462" s="61"/>
      <c r="I462" s="61"/>
      <c r="J462" s="61"/>
      <c r="K462" s="3" t="str">
        <f t="shared" si="19"/>
        <v>fail</v>
      </c>
      <c r="L462" s="19" t="str">
        <f>IFERROR(IF(AND(MATCH(A462,Projection_classes,0),YEAR(current_date)='Example - Projections'!B462),"pass","fail"),"")</f>
        <v/>
      </c>
    </row>
    <row r="463" spans="1:12" x14ac:dyDescent="0.25">
      <c r="A463" s="64"/>
      <c r="B463" s="64"/>
      <c r="C463" s="65"/>
      <c r="D463" s="65"/>
      <c r="E463" s="65"/>
      <c r="F463" s="61"/>
      <c r="G463" s="61"/>
      <c r="H463" s="61"/>
      <c r="I463" s="61"/>
      <c r="J463" s="61"/>
      <c r="K463" s="3" t="str">
        <f t="shared" si="19"/>
        <v>fail</v>
      </c>
      <c r="L463" s="19" t="str">
        <f>IFERROR(IF(AND(MATCH(A463,Projection_classes,0),YEAR(current_date)='Example - Projections'!B463),"pass","fail"),"")</f>
        <v/>
      </c>
    </row>
    <row r="464" spans="1:12" x14ac:dyDescent="0.25">
      <c r="A464" s="64"/>
      <c r="B464" s="64"/>
      <c r="C464" s="65"/>
      <c r="D464" s="65"/>
      <c r="E464" s="65"/>
      <c r="F464" s="61"/>
      <c r="G464" s="61"/>
      <c r="H464" s="61"/>
      <c r="I464" s="61"/>
      <c r="J464" s="61"/>
      <c r="K464" s="3" t="str">
        <f t="shared" si="19"/>
        <v>fail</v>
      </c>
      <c r="L464" s="19" t="str">
        <f>IFERROR(IF(AND(MATCH(A464,Projection_classes,0),YEAR(current_date)='Example - Projections'!B464),"pass","fail"),"")</f>
        <v/>
      </c>
    </row>
    <row r="465" spans="1:12" x14ac:dyDescent="0.25">
      <c r="A465" s="64"/>
      <c r="B465" s="64"/>
      <c r="C465" s="65"/>
      <c r="D465" s="65"/>
      <c r="E465" s="65"/>
      <c r="F465" s="61"/>
      <c r="G465" s="61"/>
      <c r="H465" s="61"/>
      <c r="I465" s="61"/>
      <c r="J465" s="61"/>
      <c r="K465" s="3" t="str">
        <f t="shared" si="19"/>
        <v>fail</v>
      </c>
      <c r="L465" s="19" t="str">
        <f>IFERROR(IF(AND(MATCH(A465,Projection_classes,0),YEAR(current_date)='Example - Projections'!B465),"pass","fail"),"")</f>
        <v/>
      </c>
    </row>
    <row r="466" spans="1:12" x14ac:dyDescent="0.25">
      <c r="A466" s="64"/>
      <c r="B466" s="64"/>
      <c r="C466" s="65"/>
      <c r="D466" s="65"/>
      <c r="E466" s="65"/>
      <c r="F466" s="61"/>
      <c r="G466" s="61"/>
      <c r="H466" s="61"/>
      <c r="I466" s="61"/>
      <c r="J466" s="61"/>
      <c r="K466" s="3" t="str">
        <f t="shared" si="19"/>
        <v>fail</v>
      </c>
      <c r="L466" s="19" t="str">
        <f>IFERROR(IF(AND(MATCH(A466,Projection_classes,0),YEAR(current_date)='Example - Projections'!B466),"pass","fail"),"")</f>
        <v/>
      </c>
    </row>
    <row r="467" spans="1:12" x14ac:dyDescent="0.25">
      <c r="A467" s="64"/>
      <c r="B467" s="64"/>
      <c r="C467" s="65"/>
      <c r="D467" s="65"/>
      <c r="E467" s="65"/>
      <c r="F467" s="61"/>
      <c r="G467" s="61"/>
      <c r="H467" s="61"/>
      <c r="I467" s="61"/>
      <c r="J467" s="61"/>
      <c r="K467" s="3" t="str">
        <f t="shared" si="19"/>
        <v>fail</v>
      </c>
      <c r="L467" s="19" t="str">
        <f>IFERROR(IF(AND(MATCH(A467,Projection_classes,0),YEAR(current_date)='Example - Projections'!B467),"pass","fail"),"")</f>
        <v/>
      </c>
    </row>
    <row r="468" spans="1:12" x14ac:dyDescent="0.25">
      <c r="A468" s="64"/>
      <c r="B468" s="64"/>
      <c r="C468" s="65"/>
      <c r="D468" s="65"/>
      <c r="E468" s="65"/>
      <c r="F468" s="61"/>
      <c r="G468" s="61"/>
      <c r="H468" s="61"/>
      <c r="I468" s="61"/>
      <c r="J468" s="61"/>
      <c r="K468" s="3" t="str">
        <f t="shared" si="19"/>
        <v>fail</v>
      </c>
      <c r="L468" s="19" t="str">
        <f>IFERROR(IF(AND(MATCH(A468,Projection_classes,0),YEAR(current_date)='Example - Projections'!B468),"pass","fail"),"")</f>
        <v/>
      </c>
    </row>
    <row r="469" spans="1:12" x14ac:dyDescent="0.25">
      <c r="A469" s="64"/>
      <c r="B469" s="64"/>
      <c r="C469" s="65"/>
      <c r="D469" s="65"/>
      <c r="E469" s="65"/>
      <c r="F469" s="61"/>
      <c r="G469" s="61"/>
      <c r="H469" s="61"/>
      <c r="I469" s="61"/>
      <c r="J469" s="61"/>
      <c r="K469" s="3" t="str">
        <f t="shared" si="19"/>
        <v>fail</v>
      </c>
      <c r="L469" s="19" t="str">
        <f>IFERROR(IF(AND(MATCH(A469,Projection_classes,0),YEAR(current_date)='Example - Projections'!B469),"pass","fail"),"")</f>
        <v/>
      </c>
    </row>
    <row r="470" spans="1:12" x14ac:dyDescent="0.25">
      <c r="A470" s="64"/>
      <c r="B470" s="64"/>
      <c r="C470" s="65"/>
      <c r="D470" s="65"/>
      <c r="E470" s="65"/>
      <c r="F470" s="61"/>
      <c r="G470" s="61"/>
      <c r="H470" s="61"/>
      <c r="I470" s="61"/>
      <c r="J470" s="61"/>
      <c r="K470" s="3" t="str">
        <f t="shared" si="19"/>
        <v>fail</v>
      </c>
      <c r="L470" s="19" t="str">
        <f>IFERROR(IF(AND(MATCH(A470,Projection_classes,0),YEAR(current_date)='Example - Projections'!B470),"pass","fail"),"")</f>
        <v/>
      </c>
    </row>
    <row r="471" spans="1:12" x14ac:dyDescent="0.25">
      <c r="A471" s="64"/>
      <c r="B471" s="64"/>
      <c r="C471" s="65"/>
      <c r="D471" s="65"/>
      <c r="E471" s="65"/>
      <c r="F471" s="61"/>
      <c r="G471" s="61"/>
      <c r="H471" s="61"/>
      <c r="I471" s="61"/>
      <c r="J471" s="61"/>
      <c r="K471" s="3" t="str">
        <f t="shared" si="19"/>
        <v>fail</v>
      </c>
      <c r="L471" s="19" t="str">
        <f>IFERROR(IF(AND(MATCH(A471,Projection_classes,0),YEAR(current_date)='Example - Projections'!B471),"pass","fail"),"")</f>
        <v/>
      </c>
    </row>
    <row r="472" spans="1:12" x14ac:dyDescent="0.25">
      <c r="A472" s="64"/>
      <c r="B472" s="64"/>
      <c r="C472" s="65"/>
      <c r="D472" s="65"/>
      <c r="E472" s="65"/>
      <c r="F472" s="61"/>
      <c r="G472" s="61"/>
      <c r="H472" s="61"/>
      <c r="I472" s="61"/>
      <c r="J472" s="61"/>
      <c r="K472" s="3" t="str">
        <f t="shared" si="19"/>
        <v>fail</v>
      </c>
      <c r="L472" s="19" t="str">
        <f>IFERROR(IF(AND(MATCH(A472,Projection_classes,0),YEAR(current_date)='Example - Projections'!B472),"pass","fail"),"")</f>
        <v/>
      </c>
    </row>
    <row r="473" spans="1:12" x14ac:dyDescent="0.25">
      <c r="A473" s="64"/>
      <c r="B473" s="64"/>
      <c r="C473" s="65"/>
      <c r="D473" s="65"/>
      <c r="E473" s="65"/>
      <c r="F473" s="61"/>
      <c r="G473" s="61"/>
      <c r="H473" s="61"/>
      <c r="I473" s="61"/>
      <c r="J473" s="61"/>
      <c r="K473" s="3" t="str">
        <f t="shared" si="19"/>
        <v>fail</v>
      </c>
      <c r="L473" s="19" t="str">
        <f>IFERROR(IF(AND(MATCH(A473,Projection_classes,0),YEAR(current_date)='Example - Projections'!B473),"pass","fail"),"")</f>
        <v/>
      </c>
    </row>
    <row r="474" spans="1:12" x14ac:dyDescent="0.25">
      <c r="A474" s="64"/>
      <c r="B474" s="64"/>
      <c r="C474" s="65"/>
      <c r="D474" s="65"/>
      <c r="E474" s="65"/>
      <c r="F474" s="61"/>
      <c r="G474" s="61"/>
      <c r="H474" s="61"/>
      <c r="I474" s="61"/>
      <c r="J474" s="61"/>
      <c r="K474" s="3" t="str">
        <f t="shared" si="19"/>
        <v>fail</v>
      </c>
      <c r="L474" s="19" t="str">
        <f>IFERROR(IF(AND(MATCH(A474,Projection_classes,0),YEAR(current_date)='Example - Projections'!B474),"pass","fail"),"")</f>
        <v/>
      </c>
    </row>
    <row r="475" spans="1:12" x14ac:dyDescent="0.25">
      <c r="A475" s="64"/>
      <c r="B475" s="64"/>
      <c r="C475" s="65"/>
      <c r="D475" s="65"/>
      <c r="E475" s="65"/>
      <c r="F475" s="61"/>
      <c r="G475" s="61"/>
      <c r="H475" s="61"/>
      <c r="I475" s="61"/>
      <c r="J475" s="61"/>
      <c r="K475" s="3" t="str">
        <f t="shared" si="19"/>
        <v>fail</v>
      </c>
      <c r="L475" s="19" t="str">
        <f>IFERROR(IF(AND(MATCH(A475,Projection_classes,0),YEAR(current_date)='Example - Projections'!B475),"pass","fail"),"")</f>
        <v/>
      </c>
    </row>
    <row r="476" spans="1:12" x14ac:dyDescent="0.25">
      <c r="A476" s="64"/>
      <c r="B476" s="64"/>
      <c r="C476" s="65"/>
      <c r="D476" s="65"/>
      <c r="E476" s="65"/>
      <c r="F476" s="61"/>
      <c r="G476" s="61"/>
      <c r="H476" s="61"/>
      <c r="I476" s="61"/>
      <c r="J476" s="61"/>
      <c r="K476" s="3" t="str">
        <f t="shared" si="19"/>
        <v>fail</v>
      </c>
      <c r="L476" s="19" t="str">
        <f>IFERROR(IF(AND(MATCH(A476,Projection_classes,0),YEAR(current_date)='Example - Projections'!B476),"pass","fail"),"")</f>
        <v/>
      </c>
    </row>
    <row r="477" spans="1:12" x14ac:dyDescent="0.25">
      <c r="A477" s="64"/>
      <c r="B477" s="64"/>
      <c r="C477" s="65"/>
      <c r="D477" s="65"/>
      <c r="E477" s="65"/>
      <c r="F477" s="61"/>
      <c r="G477" s="61"/>
      <c r="H477" s="61"/>
      <c r="I477" s="61"/>
      <c r="J477" s="61"/>
      <c r="K477" s="3" t="str">
        <f t="shared" si="19"/>
        <v>fail</v>
      </c>
      <c r="L477" s="19" t="str">
        <f>IFERROR(IF(AND(MATCH(A477,Projection_classes,0),YEAR(current_date)='Example - Projections'!B477),"pass","fail"),"")</f>
        <v/>
      </c>
    </row>
    <row r="478" spans="1:12" x14ac:dyDescent="0.25">
      <c r="A478" s="64"/>
      <c r="B478" s="64"/>
      <c r="C478" s="65"/>
      <c r="D478" s="65"/>
      <c r="E478" s="65"/>
      <c r="F478" s="61"/>
      <c r="G478" s="61"/>
      <c r="H478" s="61"/>
      <c r="I478" s="61"/>
      <c r="J478" s="61"/>
      <c r="K478" s="3" t="str">
        <f t="shared" si="19"/>
        <v>fail</v>
      </c>
      <c r="L478" s="19" t="str">
        <f>IFERROR(IF(AND(MATCH(A478,Projection_classes,0),YEAR(current_date)='Example - Projections'!B478),"pass","fail"),"")</f>
        <v/>
      </c>
    </row>
    <row r="479" spans="1:12" x14ac:dyDescent="0.25">
      <c r="A479" s="64"/>
      <c r="B479" s="64"/>
      <c r="C479" s="65"/>
      <c r="D479" s="65"/>
      <c r="E479" s="65"/>
      <c r="F479" s="61"/>
      <c r="G479" s="61"/>
      <c r="H479" s="61"/>
      <c r="I479" s="61"/>
      <c r="J479" s="61"/>
      <c r="K479" s="3" t="str">
        <f t="shared" si="19"/>
        <v>fail</v>
      </c>
      <c r="L479" s="19" t="str">
        <f>IFERROR(IF(AND(MATCH(A479,Projection_classes,0),YEAR(current_date)='Example - Projections'!B479),"pass","fail"),"")</f>
        <v/>
      </c>
    </row>
    <row r="480" spans="1:12" x14ac:dyDescent="0.25">
      <c r="A480" s="64"/>
      <c r="B480" s="64"/>
      <c r="C480" s="65"/>
      <c r="D480" s="65"/>
      <c r="E480" s="65"/>
      <c r="F480" s="61"/>
      <c r="G480" s="61"/>
      <c r="H480" s="61"/>
      <c r="I480" s="61"/>
      <c r="J480" s="61"/>
      <c r="K480" s="3" t="str">
        <f t="shared" si="19"/>
        <v>fail</v>
      </c>
      <c r="L480" s="19" t="str">
        <f>IFERROR(IF(AND(MATCH(A480,Projection_classes,0),YEAR(current_date)='Example - Projections'!B480),"pass","fail"),"")</f>
        <v/>
      </c>
    </row>
    <row r="481" spans="1:12" x14ac:dyDescent="0.25">
      <c r="A481" s="64"/>
      <c r="B481" s="64"/>
      <c r="C481" s="65"/>
      <c r="D481" s="65"/>
      <c r="E481" s="65"/>
      <c r="F481" s="61"/>
      <c r="G481" s="61"/>
      <c r="H481" s="61"/>
      <c r="I481" s="61"/>
      <c r="J481" s="61"/>
      <c r="K481" s="3" t="str">
        <f t="shared" si="19"/>
        <v>fail</v>
      </c>
      <c r="L481" s="19" t="str">
        <f>IFERROR(IF(AND(MATCH(A481,Projection_classes,0),YEAR(current_date)='Example - Projections'!B481),"pass","fail"),"")</f>
        <v/>
      </c>
    </row>
    <row r="482" spans="1:12" x14ac:dyDescent="0.25">
      <c r="A482" s="64"/>
      <c r="B482" s="64"/>
      <c r="C482" s="65"/>
      <c r="D482" s="65"/>
      <c r="E482" s="65"/>
      <c r="F482" s="61"/>
      <c r="G482" s="61"/>
      <c r="H482" s="61"/>
      <c r="I482" s="61"/>
      <c r="J482" s="61"/>
      <c r="K482" s="3" t="str">
        <f t="shared" si="19"/>
        <v>fail</v>
      </c>
      <c r="L482" s="19" t="str">
        <f>IFERROR(IF(AND(MATCH(A482,Projection_classes,0),YEAR(current_date)='Example - Projections'!B482),"pass","fail"),"")</f>
        <v/>
      </c>
    </row>
    <row r="483" spans="1:12" x14ac:dyDescent="0.25">
      <c r="A483" s="64"/>
      <c r="B483" s="64"/>
      <c r="C483" s="65"/>
      <c r="D483" s="65"/>
      <c r="E483" s="65"/>
      <c r="F483" s="61"/>
      <c r="G483" s="61"/>
      <c r="H483" s="61"/>
      <c r="I483" s="61"/>
      <c r="J483" s="61"/>
      <c r="K483" s="3" t="str">
        <f t="shared" si="19"/>
        <v>fail</v>
      </c>
      <c r="L483" s="19" t="str">
        <f>IFERROR(IF(AND(MATCH(A483,Projection_classes,0),YEAR(current_date)='Example - Projections'!B483),"pass","fail"),"")</f>
        <v/>
      </c>
    </row>
    <row r="484" spans="1:12" x14ac:dyDescent="0.25">
      <c r="A484" s="64"/>
      <c r="B484" s="64"/>
      <c r="C484" s="65"/>
      <c r="D484" s="65"/>
      <c r="E484" s="65"/>
      <c r="F484" s="61"/>
      <c r="G484" s="61"/>
      <c r="H484" s="61"/>
      <c r="I484" s="61"/>
      <c r="J484" s="61"/>
      <c r="K484" s="3" t="str">
        <f t="shared" si="19"/>
        <v>fail</v>
      </c>
      <c r="L484" s="19" t="str">
        <f>IFERROR(IF(AND(MATCH(A484,Projection_classes,0),YEAR(current_date)='Example - Projections'!B484),"pass","fail"),"")</f>
        <v/>
      </c>
    </row>
    <row r="485" spans="1:12" x14ac:dyDescent="0.25">
      <c r="A485" s="64"/>
      <c r="B485" s="64"/>
      <c r="C485" s="65"/>
      <c r="D485" s="65"/>
      <c r="E485" s="65"/>
      <c r="F485" s="61"/>
      <c r="G485" s="61"/>
      <c r="H485" s="61"/>
      <c r="I485" s="61"/>
      <c r="J485" s="61"/>
      <c r="K485" s="3" t="str">
        <f t="shared" si="19"/>
        <v>fail</v>
      </c>
      <c r="L485" s="19" t="str">
        <f>IFERROR(IF(AND(MATCH(A485,Projection_classes,0),YEAR(current_date)='Example - Projections'!B485),"pass","fail"),"")</f>
        <v/>
      </c>
    </row>
    <row r="486" spans="1:12" x14ac:dyDescent="0.25">
      <c r="A486" s="64"/>
      <c r="B486" s="64"/>
      <c r="C486" s="65"/>
      <c r="D486" s="65"/>
      <c r="E486" s="65"/>
      <c r="F486" s="61"/>
      <c r="G486" s="61"/>
      <c r="H486" s="61"/>
      <c r="I486" s="61"/>
      <c r="J486" s="61"/>
      <c r="K486" s="3" t="str">
        <f t="shared" si="19"/>
        <v>fail</v>
      </c>
      <c r="L486" s="19" t="str">
        <f>IFERROR(IF(AND(MATCH(A486,Projection_classes,0),YEAR(current_date)='Example - Projections'!B486),"pass","fail"),"")</f>
        <v/>
      </c>
    </row>
    <row r="487" spans="1:12" x14ac:dyDescent="0.25">
      <c r="A487" s="64"/>
      <c r="B487" s="64"/>
      <c r="C487" s="65"/>
      <c r="D487" s="65"/>
      <c r="E487" s="65"/>
      <c r="F487" s="61"/>
      <c r="G487" s="61"/>
      <c r="H487" s="61"/>
      <c r="I487" s="61"/>
      <c r="J487" s="61"/>
      <c r="K487" s="3" t="str">
        <f t="shared" si="19"/>
        <v>fail</v>
      </c>
      <c r="L487" s="19" t="str">
        <f>IFERROR(IF(AND(MATCH(A487,Projection_classes,0),YEAR(current_date)='Example - Projections'!B487),"pass","fail"),"")</f>
        <v/>
      </c>
    </row>
    <row r="488" spans="1:12" x14ac:dyDescent="0.25">
      <c r="A488" s="64"/>
      <c r="B488" s="64"/>
      <c r="C488" s="65"/>
      <c r="D488" s="65"/>
      <c r="E488" s="65"/>
      <c r="F488" s="61"/>
      <c r="G488" s="61"/>
      <c r="H488" s="61"/>
      <c r="I488" s="61"/>
      <c r="J488" s="61"/>
      <c r="K488" s="3" t="str">
        <f t="shared" si="19"/>
        <v>fail</v>
      </c>
      <c r="L488" s="19" t="str">
        <f>IFERROR(IF(AND(MATCH(A488,Projection_classes,0),YEAR(current_date)='Example - Projections'!B488),"pass","fail"),"")</f>
        <v/>
      </c>
    </row>
    <row r="489" spans="1:12" x14ac:dyDescent="0.25">
      <c r="A489" s="64"/>
      <c r="B489" s="64"/>
      <c r="C489" s="65"/>
      <c r="D489" s="65"/>
      <c r="E489" s="65"/>
      <c r="F489" s="61"/>
      <c r="G489" s="61"/>
      <c r="H489" s="61"/>
      <c r="I489" s="61"/>
      <c r="J489" s="61"/>
      <c r="K489" s="3" t="str">
        <f t="shared" si="19"/>
        <v>fail</v>
      </c>
      <c r="L489" s="19" t="str">
        <f>IFERROR(IF(AND(MATCH(A489,Projection_classes,0),YEAR(current_date)='Example - Projections'!B489),"pass","fail"),"")</f>
        <v/>
      </c>
    </row>
    <row r="490" spans="1:12" x14ac:dyDescent="0.25">
      <c r="A490" s="64"/>
      <c r="B490" s="64"/>
      <c r="C490" s="65"/>
      <c r="D490" s="65"/>
      <c r="E490" s="65"/>
      <c r="F490" s="61"/>
      <c r="G490" s="61"/>
      <c r="H490" s="61"/>
      <c r="I490" s="61"/>
      <c r="J490" s="61"/>
      <c r="K490" s="3" t="str">
        <f t="shared" si="19"/>
        <v>fail</v>
      </c>
      <c r="L490" s="19" t="str">
        <f>IFERROR(IF(AND(MATCH(A490,Projection_classes,0),YEAR(current_date)='Example - Projections'!B490),"pass","fail"),"")</f>
        <v/>
      </c>
    </row>
    <row r="491" spans="1:12" x14ac:dyDescent="0.25">
      <c r="A491" s="64"/>
      <c r="B491" s="64"/>
      <c r="C491" s="65"/>
      <c r="D491" s="65"/>
      <c r="E491" s="65"/>
      <c r="F491" s="61"/>
      <c r="G491" s="61"/>
      <c r="H491" s="61"/>
      <c r="I491" s="61"/>
      <c r="J491" s="61"/>
      <c r="K491" s="3" t="str">
        <f t="shared" si="19"/>
        <v>fail</v>
      </c>
      <c r="L491" s="19" t="str">
        <f>IFERROR(IF(AND(MATCH(A491,Projection_classes,0),YEAR(current_date)='Example - Projections'!B491),"pass","fail"),"")</f>
        <v/>
      </c>
    </row>
    <row r="492" spans="1:12" x14ac:dyDescent="0.25">
      <c r="A492" s="64"/>
      <c r="B492" s="64"/>
      <c r="C492" s="65"/>
      <c r="D492" s="65"/>
      <c r="E492" s="65"/>
      <c r="F492" s="61"/>
      <c r="G492" s="61"/>
      <c r="H492" s="61"/>
      <c r="I492" s="61"/>
      <c r="J492" s="61"/>
      <c r="K492" s="3" t="str">
        <f t="shared" si="19"/>
        <v>fail</v>
      </c>
      <c r="L492" s="19" t="str">
        <f>IFERROR(IF(AND(MATCH(A492,Projection_classes,0),YEAR(current_date)='Example - Projections'!B492),"pass","fail"),"")</f>
        <v/>
      </c>
    </row>
    <row r="493" spans="1:12" x14ac:dyDescent="0.25">
      <c r="A493" s="64"/>
      <c r="B493" s="64"/>
      <c r="C493" s="65"/>
      <c r="D493" s="65"/>
      <c r="E493" s="65"/>
      <c r="F493" s="61"/>
      <c r="G493" s="61"/>
      <c r="H493" s="61"/>
      <c r="I493" s="61"/>
      <c r="J493" s="61"/>
      <c r="K493" s="3" t="str">
        <f t="shared" si="19"/>
        <v>fail</v>
      </c>
      <c r="L493" s="19" t="str">
        <f>IFERROR(IF(AND(MATCH(A493,Projection_classes,0),YEAR(current_date)='Example - Projections'!B493),"pass","fail"),"")</f>
        <v/>
      </c>
    </row>
    <row r="494" spans="1:12" x14ac:dyDescent="0.25">
      <c r="A494" s="64"/>
      <c r="B494" s="64"/>
      <c r="C494" s="65"/>
      <c r="D494" s="65"/>
      <c r="E494" s="65"/>
      <c r="F494" s="61"/>
      <c r="G494" s="61"/>
      <c r="H494" s="61"/>
      <c r="I494" s="61"/>
      <c r="J494" s="61"/>
      <c r="K494" s="3" t="str">
        <f t="shared" si="19"/>
        <v>fail</v>
      </c>
      <c r="L494" s="19" t="str">
        <f>IFERROR(IF(AND(MATCH(A494,Projection_classes,0),YEAR(current_date)='Example - Projections'!B494),"pass","fail"),"")</f>
        <v/>
      </c>
    </row>
    <row r="495" spans="1:12" x14ac:dyDescent="0.25">
      <c r="A495" s="64"/>
      <c r="B495" s="64"/>
      <c r="C495" s="65"/>
      <c r="D495" s="65"/>
      <c r="E495" s="65"/>
      <c r="F495" s="61"/>
      <c r="G495" s="61"/>
      <c r="H495" s="61"/>
      <c r="I495" s="61"/>
      <c r="J495" s="61"/>
      <c r="K495" s="3" t="str">
        <f t="shared" si="19"/>
        <v>fail</v>
      </c>
      <c r="L495" s="19" t="str">
        <f>IFERROR(IF(AND(MATCH(A495,Projection_classes,0),YEAR(current_date)='Example - Projections'!B495),"pass","fail"),"")</f>
        <v/>
      </c>
    </row>
    <row r="496" spans="1:12" x14ac:dyDescent="0.25">
      <c r="A496" s="64"/>
      <c r="B496" s="64"/>
      <c r="C496" s="65"/>
      <c r="D496" s="65"/>
      <c r="E496" s="65"/>
      <c r="F496" s="61"/>
      <c r="G496" s="61"/>
      <c r="H496" s="61"/>
      <c r="I496" s="61"/>
      <c r="J496" s="61"/>
      <c r="K496" s="3" t="str">
        <f t="shared" si="19"/>
        <v>fail</v>
      </c>
      <c r="L496" s="19" t="str">
        <f>IFERROR(IF(AND(MATCH(A496,Projection_classes,0),YEAR(current_date)='Example - Projections'!B496),"pass","fail"),"")</f>
        <v/>
      </c>
    </row>
    <row r="497" spans="1:12" x14ac:dyDescent="0.25">
      <c r="A497" s="64"/>
      <c r="B497" s="64"/>
      <c r="C497" s="65"/>
      <c r="D497" s="65"/>
      <c r="E497" s="65"/>
      <c r="F497" s="61"/>
      <c r="G497" s="61"/>
      <c r="H497" s="61"/>
      <c r="I497" s="61"/>
      <c r="J497" s="61"/>
      <c r="K497" s="3" t="str">
        <f t="shared" si="19"/>
        <v>fail</v>
      </c>
      <c r="L497" s="19" t="str">
        <f>IFERROR(IF(AND(MATCH(A497,Projection_classes,0),YEAR(current_date)='Example - Projections'!B497),"pass","fail"),"")</f>
        <v/>
      </c>
    </row>
    <row r="498" spans="1:12" x14ac:dyDescent="0.25">
      <c r="A498" s="64"/>
      <c r="B498" s="64"/>
      <c r="C498" s="65"/>
      <c r="D498" s="65"/>
      <c r="E498" s="65"/>
      <c r="F498" s="61"/>
      <c r="G498" s="61"/>
      <c r="H498" s="61"/>
      <c r="I498" s="61"/>
      <c r="J498" s="61"/>
      <c r="K498" s="3" t="str">
        <f t="shared" si="19"/>
        <v>fail</v>
      </c>
      <c r="L498" s="19" t="str">
        <f>IFERROR(IF(AND(MATCH(A498,Projection_classes,0),YEAR(current_date)='Example - Projections'!B498),"pass","fail"),"")</f>
        <v/>
      </c>
    </row>
    <row r="499" spans="1:12" x14ac:dyDescent="0.25">
      <c r="A499" s="64"/>
      <c r="B499" s="64"/>
      <c r="C499" s="65"/>
      <c r="D499" s="65"/>
      <c r="E499" s="65"/>
      <c r="F499" s="61"/>
      <c r="G499" s="61"/>
      <c r="H499" s="61"/>
      <c r="I499" s="61"/>
      <c r="J499" s="61"/>
      <c r="K499" s="3" t="str">
        <f t="shared" si="19"/>
        <v>fail</v>
      </c>
      <c r="L499" s="19" t="str">
        <f>IFERROR(IF(AND(MATCH(A499,Projection_classes,0),YEAR(current_date)='Example - Projections'!B499),"pass","fail"),"")</f>
        <v/>
      </c>
    </row>
    <row r="500" spans="1:12" x14ac:dyDescent="0.25">
      <c r="A500" s="64"/>
      <c r="B500" s="64"/>
      <c r="C500" s="65"/>
      <c r="D500" s="65"/>
      <c r="E500" s="65"/>
      <c r="F500" s="61"/>
      <c r="G500" s="61"/>
      <c r="H500" s="61"/>
      <c r="I500" s="61"/>
      <c r="J500" s="61"/>
      <c r="K500" s="3" t="str">
        <f t="shared" si="19"/>
        <v>fail</v>
      </c>
      <c r="L500" s="19" t="str">
        <f>IFERROR(IF(AND(MATCH(A500,Projection_classes,0),YEAR(current_date)='Example - Projections'!B500),"pass","fail"),"")</f>
        <v/>
      </c>
    </row>
    <row r="501" spans="1:12" x14ac:dyDescent="0.25">
      <c r="A501" s="64"/>
      <c r="B501" s="64"/>
      <c r="C501" s="65"/>
      <c r="D501" s="65"/>
      <c r="E501" s="65"/>
      <c r="F501" s="61"/>
      <c r="G501" s="61"/>
      <c r="H501" s="61"/>
      <c r="I501" s="61"/>
      <c r="J501" s="61"/>
      <c r="K501" s="3" t="str">
        <f t="shared" si="19"/>
        <v>fail</v>
      </c>
      <c r="L501" s="19" t="str">
        <f>IFERROR(IF(AND(MATCH(A501,Projection_classes,0),YEAR(current_date)='Example - Projections'!B501),"pass","fail"),"")</f>
        <v/>
      </c>
    </row>
    <row r="502" spans="1:12" x14ac:dyDescent="0.25">
      <c r="A502" s="64"/>
      <c r="B502" s="64"/>
      <c r="C502" s="65"/>
      <c r="D502" s="65"/>
      <c r="E502" s="65"/>
      <c r="F502" s="61"/>
      <c r="G502" s="61"/>
      <c r="H502" s="61"/>
      <c r="I502" s="61"/>
      <c r="J502" s="61"/>
      <c r="K502" s="3" t="str">
        <f t="shared" si="19"/>
        <v>fail</v>
      </c>
      <c r="L502" s="19" t="str">
        <f>IFERROR(IF(AND(MATCH(A502,Projection_classes,0),YEAR(current_date)='Example - Projections'!B502),"pass","fail"),"")</f>
        <v/>
      </c>
    </row>
    <row r="503" spans="1:12" x14ac:dyDescent="0.25">
      <c r="A503" s="64"/>
      <c r="B503" s="64"/>
      <c r="C503" s="65"/>
      <c r="D503" s="65"/>
      <c r="E503" s="65"/>
      <c r="F503" s="61"/>
      <c r="G503" s="61"/>
      <c r="H503" s="61"/>
      <c r="I503" s="61"/>
      <c r="J503" s="61"/>
      <c r="K503" s="3" t="str">
        <f t="shared" si="19"/>
        <v>fail</v>
      </c>
      <c r="L503" s="19" t="str">
        <f>IFERROR(IF(AND(MATCH(A503,Projection_classes,0),YEAR(current_date)='Example - Projections'!B503),"pass","fail"),"")</f>
        <v/>
      </c>
    </row>
    <row r="504" spans="1:12" x14ac:dyDescent="0.25">
      <c r="A504" s="64"/>
      <c r="B504" s="64"/>
      <c r="C504" s="65"/>
      <c r="D504" s="65"/>
      <c r="E504" s="65"/>
      <c r="F504" s="61"/>
      <c r="G504" s="61"/>
      <c r="H504" s="61"/>
      <c r="I504" s="61"/>
      <c r="J504" s="61"/>
      <c r="K504" s="3" t="str">
        <f t="shared" si="19"/>
        <v>fail</v>
      </c>
      <c r="L504" s="19" t="str">
        <f>IFERROR(IF(AND(MATCH(A504,Projection_classes,0),YEAR(current_date)='Example - Projections'!B504),"pass","fail"),"")</f>
        <v/>
      </c>
    </row>
    <row r="505" spans="1:12" x14ac:dyDescent="0.25">
      <c r="A505" s="64"/>
      <c r="B505" s="64"/>
      <c r="C505" s="65"/>
      <c r="D505" s="65"/>
      <c r="E505" s="65"/>
      <c r="F505" s="61"/>
      <c r="G505" s="61"/>
      <c r="H505" s="61"/>
      <c r="I505" s="61"/>
      <c r="J505" s="61"/>
      <c r="K505" s="3" t="str">
        <f t="shared" si="19"/>
        <v>fail</v>
      </c>
      <c r="L505" s="19" t="str">
        <f>IFERROR(IF(AND(MATCH(A505,Projection_classes,0),YEAR(current_date)='Example - Projections'!B505),"pass","fail"),"")</f>
        <v/>
      </c>
    </row>
    <row r="506" spans="1:12" x14ac:dyDescent="0.25">
      <c r="A506" s="64"/>
      <c r="B506" s="64"/>
      <c r="C506" s="65"/>
      <c r="D506" s="65"/>
      <c r="E506" s="65"/>
      <c r="F506" s="61"/>
      <c r="G506" s="61"/>
      <c r="H506" s="61"/>
      <c r="I506" s="61"/>
      <c r="J506" s="61"/>
      <c r="K506" s="3" t="str">
        <f t="shared" si="19"/>
        <v>fail</v>
      </c>
      <c r="L506" s="19" t="str">
        <f>IFERROR(IF(AND(MATCH(A506,Projection_classes,0),YEAR(current_date)='Example - Projections'!B506),"pass","fail"),"")</f>
        <v/>
      </c>
    </row>
    <row r="507" spans="1:12" x14ac:dyDescent="0.25">
      <c r="A507" s="64"/>
      <c r="B507" s="64"/>
      <c r="C507" s="65"/>
      <c r="D507" s="65"/>
      <c r="E507" s="65"/>
      <c r="F507" s="61"/>
      <c r="G507" s="61"/>
      <c r="H507" s="61"/>
      <c r="I507" s="61"/>
      <c r="J507" s="61"/>
      <c r="K507" s="3" t="str">
        <f t="shared" si="19"/>
        <v>fail</v>
      </c>
      <c r="L507" s="19" t="str">
        <f>IFERROR(IF(AND(MATCH(A507,Projection_classes,0),YEAR(current_date)='Example - Projections'!B507),"pass","fail"),"")</f>
        <v/>
      </c>
    </row>
    <row r="508" spans="1:12" x14ac:dyDescent="0.25">
      <c r="A508" s="64"/>
      <c r="B508" s="64"/>
      <c r="C508" s="65"/>
      <c r="D508" s="65"/>
      <c r="E508" s="65"/>
      <c r="F508" s="61"/>
      <c r="G508" s="61"/>
      <c r="H508" s="61"/>
      <c r="I508" s="61"/>
      <c r="J508" s="61"/>
      <c r="K508" s="3" t="str">
        <f t="shared" si="19"/>
        <v>fail</v>
      </c>
      <c r="L508" s="19" t="str">
        <f>IFERROR(IF(AND(MATCH(A508,Projection_classes,0),YEAR(current_date)='Example - Projections'!B508),"pass","fail"),"")</f>
        <v/>
      </c>
    </row>
    <row r="509" spans="1:12" x14ac:dyDescent="0.25">
      <c r="A509" s="64"/>
      <c r="B509" s="64"/>
      <c r="C509" s="65"/>
      <c r="D509" s="65"/>
      <c r="E509" s="65"/>
      <c r="F509" s="61"/>
      <c r="G509" s="61"/>
      <c r="H509" s="61"/>
      <c r="I509" s="61"/>
      <c r="J509" s="61"/>
      <c r="K509" s="3" t="str">
        <f t="shared" si="19"/>
        <v>fail</v>
      </c>
      <c r="L509" s="19" t="str">
        <f>IFERROR(IF(AND(MATCH(A509,Projection_classes,0),YEAR(current_date)='Example - Projections'!B509),"pass","fail"),"")</f>
        <v/>
      </c>
    </row>
    <row r="510" spans="1:12" x14ac:dyDescent="0.25">
      <c r="A510" s="64"/>
      <c r="B510" s="64"/>
      <c r="C510" s="65"/>
      <c r="D510" s="65"/>
      <c r="E510" s="65"/>
      <c r="F510" s="61"/>
      <c r="G510" s="61"/>
      <c r="H510" s="61"/>
      <c r="I510" s="61"/>
      <c r="J510" s="61"/>
      <c r="K510" s="3" t="str">
        <f t="shared" si="19"/>
        <v>fail</v>
      </c>
      <c r="L510" s="19" t="str">
        <f>IFERROR(IF(AND(MATCH(A510,Projection_classes,0),YEAR(current_date)='Example - Projections'!B510),"pass","fail"),"")</f>
        <v/>
      </c>
    </row>
    <row r="511" spans="1:12" x14ac:dyDescent="0.25">
      <c r="A511" s="64"/>
      <c r="B511" s="64"/>
      <c r="C511" s="65"/>
      <c r="D511" s="65"/>
      <c r="E511" s="65"/>
      <c r="F511" s="61"/>
      <c r="G511" s="61"/>
      <c r="H511" s="61"/>
      <c r="I511" s="61"/>
      <c r="J511" s="61"/>
      <c r="K511" s="3" t="str">
        <f t="shared" si="19"/>
        <v>fail</v>
      </c>
      <c r="L511" s="19" t="str">
        <f>IFERROR(IF(AND(MATCH(A511,Projection_classes,0),YEAR(current_date)='Example - Projections'!B511),"pass","fail"),"")</f>
        <v/>
      </c>
    </row>
    <row r="512" spans="1:12" x14ac:dyDescent="0.25">
      <c r="A512" s="64"/>
      <c r="B512" s="64"/>
      <c r="C512" s="65"/>
      <c r="D512" s="65"/>
      <c r="E512" s="65"/>
      <c r="F512" s="61"/>
      <c r="G512" s="61"/>
      <c r="H512" s="61"/>
      <c r="I512" s="61"/>
      <c r="J512" s="61"/>
      <c r="K512" s="3" t="str">
        <f t="shared" si="19"/>
        <v>fail</v>
      </c>
      <c r="L512" s="19" t="str">
        <f>IFERROR(IF(AND(MATCH(A512,Projection_classes,0),YEAR(current_date)='Example - Projections'!B512),"pass","fail"),"")</f>
        <v/>
      </c>
    </row>
    <row r="513" spans="1:12" x14ac:dyDescent="0.25">
      <c r="A513" s="64"/>
      <c r="B513" s="64"/>
      <c r="C513" s="65"/>
      <c r="D513" s="65"/>
      <c r="E513" s="65"/>
      <c r="F513" s="61"/>
      <c r="G513" s="61"/>
      <c r="H513" s="61"/>
      <c r="I513" s="61"/>
      <c r="J513" s="61"/>
      <c r="K513" s="3" t="str">
        <f t="shared" si="19"/>
        <v>fail</v>
      </c>
      <c r="L513" s="19" t="str">
        <f>IFERROR(IF(AND(MATCH(A513,Projection_classes,0),YEAR(current_date)='Example - Projections'!B513),"pass","fail"),"")</f>
        <v/>
      </c>
    </row>
    <row r="514" spans="1:12" x14ac:dyDescent="0.25">
      <c r="A514" s="64"/>
      <c r="B514" s="64"/>
      <c r="C514" s="65"/>
      <c r="D514" s="65"/>
      <c r="E514" s="65"/>
      <c r="F514" s="61"/>
      <c r="G514" s="61"/>
      <c r="H514" s="61"/>
      <c r="I514" s="61"/>
      <c r="J514" s="61"/>
      <c r="K514" s="3" t="str">
        <f t="shared" ref="K514:K577" si="20">IF(OR(B514&lt;$N$1,B514&gt;$P$1),"fail","pass")</f>
        <v>fail</v>
      </c>
      <c r="L514" s="19" t="str">
        <f>IFERROR(IF(AND(MATCH(A514,Projection_classes,0),YEAR(current_date)='Example - Projections'!B514),"pass","fail"),"")</f>
        <v/>
      </c>
    </row>
    <row r="515" spans="1:12" x14ac:dyDescent="0.25">
      <c r="A515" s="64"/>
      <c r="B515" s="64"/>
      <c r="C515" s="65"/>
      <c r="D515" s="65"/>
      <c r="E515" s="65"/>
      <c r="F515" s="61"/>
      <c r="G515" s="61"/>
      <c r="H515" s="61"/>
      <c r="I515" s="61"/>
      <c r="J515" s="61"/>
      <c r="K515" s="3" t="str">
        <f t="shared" si="20"/>
        <v>fail</v>
      </c>
      <c r="L515" s="19" t="str">
        <f>IFERROR(IF(AND(MATCH(A515,Projection_classes,0),YEAR(current_date)='Example - Projections'!B515),"pass","fail"),"")</f>
        <v/>
      </c>
    </row>
    <row r="516" spans="1:12" x14ac:dyDescent="0.25">
      <c r="A516" s="64"/>
      <c r="B516" s="64"/>
      <c r="C516" s="65"/>
      <c r="D516" s="65"/>
      <c r="E516" s="65"/>
      <c r="F516" s="61"/>
      <c r="G516" s="61"/>
      <c r="H516" s="61"/>
      <c r="I516" s="61"/>
      <c r="J516" s="61"/>
      <c r="K516" s="3" t="str">
        <f t="shared" si="20"/>
        <v>fail</v>
      </c>
      <c r="L516" s="19" t="str">
        <f>IFERROR(IF(AND(MATCH(A516,Projection_classes,0),YEAR(current_date)='Example - Projections'!B516),"pass","fail"),"")</f>
        <v/>
      </c>
    </row>
    <row r="517" spans="1:12" x14ac:dyDescent="0.25">
      <c r="A517" s="64"/>
      <c r="B517" s="64"/>
      <c r="C517" s="65"/>
      <c r="D517" s="65"/>
      <c r="E517" s="65"/>
      <c r="F517" s="61"/>
      <c r="G517" s="61"/>
      <c r="H517" s="61"/>
      <c r="I517" s="61"/>
      <c r="J517" s="61"/>
      <c r="K517" s="3" t="str">
        <f t="shared" si="20"/>
        <v>fail</v>
      </c>
      <c r="L517" s="19" t="str">
        <f>IFERROR(IF(AND(MATCH(A517,Projection_classes,0),YEAR(current_date)='Example - Projections'!B517),"pass","fail"),"")</f>
        <v/>
      </c>
    </row>
    <row r="518" spans="1:12" x14ac:dyDescent="0.25">
      <c r="A518" s="64"/>
      <c r="B518" s="64"/>
      <c r="C518" s="65"/>
      <c r="D518" s="65"/>
      <c r="E518" s="65"/>
      <c r="F518" s="61"/>
      <c r="G518" s="61"/>
      <c r="H518" s="61"/>
      <c r="I518" s="61"/>
      <c r="J518" s="61"/>
      <c r="K518" s="3" t="str">
        <f t="shared" si="20"/>
        <v>fail</v>
      </c>
      <c r="L518" s="19" t="str">
        <f>IFERROR(IF(AND(MATCH(A518,Projection_classes,0),YEAR(current_date)='Example - Projections'!B518),"pass","fail"),"")</f>
        <v/>
      </c>
    </row>
    <row r="519" spans="1:12" x14ac:dyDescent="0.25">
      <c r="A519" s="64"/>
      <c r="B519" s="64"/>
      <c r="C519" s="65"/>
      <c r="D519" s="65"/>
      <c r="E519" s="65"/>
      <c r="F519" s="61"/>
      <c r="G519" s="61"/>
      <c r="H519" s="61"/>
      <c r="I519" s="61"/>
      <c r="J519" s="61"/>
      <c r="K519" s="3" t="str">
        <f t="shared" si="20"/>
        <v>fail</v>
      </c>
      <c r="L519" s="19" t="str">
        <f>IFERROR(IF(AND(MATCH(A519,Projection_classes,0),YEAR(current_date)='Example - Projections'!B519),"pass","fail"),"")</f>
        <v/>
      </c>
    </row>
    <row r="520" spans="1:12" x14ac:dyDescent="0.25">
      <c r="A520" s="64"/>
      <c r="B520" s="64"/>
      <c r="C520" s="65"/>
      <c r="D520" s="65"/>
      <c r="E520" s="65"/>
      <c r="F520" s="61"/>
      <c r="G520" s="61"/>
      <c r="H520" s="61"/>
      <c r="I520" s="61"/>
      <c r="J520" s="61"/>
      <c r="K520" s="3" t="str">
        <f t="shared" si="20"/>
        <v>fail</v>
      </c>
      <c r="L520" s="19" t="str">
        <f>IFERROR(IF(AND(MATCH(A520,Projection_classes,0),YEAR(current_date)='Example - Projections'!B520),"pass","fail"),"")</f>
        <v/>
      </c>
    </row>
    <row r="521" spans="1:12" x14ac:dyDescent="0.25">
      <c r="A521" s="64"/>
      <c r="B521" s="64"/>
      <c r="C521" s="65"/>
      <c r="D521" s="65"/>
      <c r="E521" s="65"/>
      <c r="F521" s="61"/>
      <c r="G521" s="61"/>
      <c r="H521" s="61"/>
      <c r="I521" s="61"/>
      <c r="J521" s="61"/>
      <c r="K521" s="3" t="str">
        <f t="shared" si="20"/>
        <v>fail</v>
      </c>
      <c r="L521" s="19" t="str">
        <f>IFERROR(IF(AND(MATCH(A521,Projection_classes,0),YEAR(current_date)='Example - Projections'!B521),"pass","fail"),"")</f>
        <v/>
      </c>
    </row>
    <row r="522" spans="1:12" x14ac:dyDescent="0.25">
      <c r="A522" s="64"/>
      <c r="B522" s="64"/>
      <c r="C522" s="65"/>
      <c r="D522" s="65"/>
      <c r="E522" s="65"/>
      <c r="F522" s="61"/>
      <c r="G522" s="61"/>
      <c r="H522" s="61"/>
      <c r="I522" s="61"/>
      <c r="J522" s="61"/>
      <c r="K522" s="3" t="str">
        <f t="shared" si="20"/>
        <v>fail</v>
      </c>
      <c r="L522" s="19" t="str">
        <f>IFERROR(IF(AND(MATCH(A522,Projection_classes,0),YEAR(current_date)='Example - Projections'!B522),"pass","fail"),"")</f>
        <v/>
      </c>
    </row>
    <row r="523" spans="1:12" x14ac:dyDescent="0.25">
      <c r="A523" s="64"/>
      <c r="B523" s="64"/>
      <c r="C523" s="65"/>
      <c r="D523" s="65"/>
      <c r="E523" s="65"/>
      <c r="F523" s="61"/>
      <c r="G523" s="61"/>
      <c r="H523" s="61"/>
      <c r="I523" s="61"/>
      <c r="J523" s="61"/>
      <c r="K523" s="3" t="str">
        <f t="shared" si="20"/>
        <v>fail</v>
      </c>
      <c r="L523" s="19" t="str">
        <f>IFERROR(IF(AND(MATCH(A523,Projection_classes,0),YEAR(current_date)='Example - Projections'!B523),"pass","fail"),"")</f>
        <v/>
      </c>
    </row>
    <row r="524" spans="1:12" x14ac:dyDescent="0.25">
      <c r="A524" s="64"/>
      <c r="B524" s="64"/>
      <c r="C524" s="65"/>
      <c r="D524" s="65"/>
      <c r="E524" s="65"/>
      <c r="F524" s="61"/>
      <c r="G524" s="61"/>
      <c r="H524" s="61"/>
      <c r="I524" s="61"/>
      <c r="J524" s="61"/>
      <c r="K524" s="3" t="str">
        <f t="shared" si="20"/>
        <v>fail</v>
      </c>
      <c r="L524" s="19" t="str">
        <f>IFERROR(IF(AND(MATCH(A524,Projection_classes,0),YEAR(current_date)='Example - Projections'!B524),"pass","fail"),"")</f>
        <v/>
      </c>
    </row>
    <row r="525" spans="1:12" x14ac:dyDescent="0.25">
      <c r="A525" s="64"/>
      <c r="B525" s="64"/>
      <c r="C525" s="65"/>
      <c r="D525" s="65"/>
      <c r="E525" s="65"/>
      <c r="F525" s="61"/>
      <c r="G525" s="61"/>
      <c r="H525" s="61"/>
      <c r="I525" s="61"/>
      <c r="J525" s="61"/>
      <c r="K525" s="3" t="str">
        <f t="shared" si="20"/>
        <v>fail</v>
      </c>
      <c r="L525" s="19" t="str">
        <f>IFERROR(IF(AND(MATCH(A525,Projection_classes,0),YEAR(current_date)='Example - Projections'!B525),"pass","fail"),"")</f>
        <v/>
      </c>
    </row>
    <row r="526" spans="1:12" x14ac:dyDescent="0.25">
      <c r="A526" s="64"/>
      <c r="B526" s="64"/>
      <c r="C526" s="65"/>
      <c r="D526" s="65"/>
      <c r="E526" s="65"/>
      <c r="F526" s="61"/>
      <c r="G526" s="61"/>
      <c r="H526" s="61"/>
      <c r="I526" s="61"/>
      <c r="J526" s="61"/>
      <c r="K526" s="3" t="str">
        <f t="shared" si="20"/>
        <v>fail</v>
      </c>
      <c r="L526" s="19" t="str">
        <f>IFERROR(IF(AND(MATCH(A526,Projection_classes,0),YEAR(current_date)='Example - Projections'!B526),"pass","fail"),"")</f>
        <v/>
      </c>
    </row>
    <row r="527" spans="1:12" x14ac:dyDescent="0.25">
      <c r="A527" s="64"/>
      <c r="B527" s="64"/>
      <c r="C527" s="65"/>
      <c r="D527" s="65"/>
      <c r="E527" s="65"/>
      <c r="F527" s="61"/>
      <c r="G527" s="61"/>
      <c r="H527" s="61"/>
      <c r="I527" s="61"/>
      <c r="J527" s="61"/>
      <c r="K527" s="3" t="str">
        <f t="shared" si="20"/>
        <v>fail</v>
      </c>
      <c r="L527" s="19" t="str">
        <f>IFERROR(IF(AND(MATCH(A527,Projection_classes,0),YEAR(current_date)='Example - Projections'!B527),"pass","fail"),"")</f>
        <v/>
      </c>
    </row>
    <row r="528" spans="1:12" x14ac:dyDescent="0.25">
      <c r="A528" s="64"/>
      <c r="B528" s="64"/>
      <c r="C528" s="65"/>
      <c r="D528" s="65"/>
      <c r="E528" s="65"/>
      <c r="F528" s="61"/>
      <c r="G528" s="61"/>
      <c r="H528" s="61"/>
      <c r="I528" s="61"/>
      <c r="J528" s="61"/>
      <c r="K528" s="3" t="str">
        <f t="shared" si="20"/>
        <v>fail</v>
      </c>
      <c r="L528" s="19" t="str">
        <f>IFERROR(IF(AND(MATCH(A528,Projection_classes,0),YEAR(current_date)='Example - Projections'!B528),"pass","fail"),"")</f>
        <v/>
      </c>
    </row>
    <row r="529" spans="1:12" x14ac:dyDescent="0.25">
      <c r="A529" s="64"/>
      <c r="B529" s="64"/>
      <c r="C529" s="65"/>
      <c r="D529" s="65"/>
      <c r="E529" s="65"/>
      <c r="F529" s="61"/>
      <c r="G529" s="61"/>
      <c r="H529" s="61"/>
      <c r="I529" s="61"/>
      <c r="J529" s="61"/>
      <c r="K529" s="3" t="str">
        <f t="shared" si="20"/>
        <v>fail</v>
      </c>
      <c r="L529" s="19" t="str">
        <f>IFERROR(IF(AND(MATCH(A529,Projection_classes,0),YEAR(current_date)='Example - Projections'!B529),"pass","fail"),"")</f>
        <v/>
      </c>
    </row>
    <row r="530" spans="1:12" x14ac:dyDescent="0.25">
      <c r="A530" s="64"/>
      <c r="B530" s="64"/>
      <c r="C530" s="65"/>
      <c r="D530" s="65"/>
      <c r="E530" s="65"/>
      <c r="F530" s="61"/>
      <c r="G530" s="61"/>
      <c r="H530" s="61"/>
      <c r="I530" s="61"/>
      <c r="J530" s="61"/>
      <c r="K530" s="3" t="str">
        <f t="shared" si="20"/>
        <v>fail</v>
      </c>
      <c r="L530" s="19" t="str">
        <f>IFERROR(IF(AND(MATCH(A530,Projection_classes,0),YEAR(current_date)='Example - Projections'!B530),"pass","fail"),"")</f>
        <v/>
      </c>
    </row>
    <row r="531" spans="1:12" x14ac:dyDescent="0.25">
      <c r="A531" s="64"/>
      <c r="B531" s="64"/>
      <c r="C531" s="65"/>
      <c r="D531" s="65"/>
      <c r="E531" s="65"/>
      <c r="F531" s="61"/>
      <c r="G531" s="61"/>
      <c r="H531" s="61"/>
      <c r="I531" s="61"/>
      <c r="J531" s="61"/>
      <c r="K531" s="3" t="str">
        <f t="shared" si="20"/>
        <v>fail</v>
      </c>
      <c r="L531" s="19" t="str">
        <f>IFERROR(IF(AND(MATCH(A531,Projection_classes,0),YEAR(current_date)='Example - Projections'!B531),"pass","fail"),"")</f>
        <v/>
      </c>
    </row>
    <row r="532" spans="1:12" x14ac:dyDescent="0.25">
      <c r="A532" s="64"/>
      <c r="B532" s="64"/>
      <c r="C532" s="65"/>
      <c r="D532" s="65"/>
      <c r="E532" s="65"/>
      <c r="F532" s="61"/>
      <c r="G532" s="61"/>
      <c r="H532" s="61"/>
      <c r="I532" s="61"/>
      <c r="J532" s="61"/>
      <c r="K532" s="3" t="str">
        <f t="shared" si="20"/>
        <v>fail</v>
      </c>
      <c r="L532" s="19" t="str">
        <f>IFERROR(IF(AND(MATCH(A532,Projection_classes,0),YEAR(current_date)='Example - Projections'!B532),"pass","fail"),"")</f>
        <v/>
      </c>
    </row>
    <row r="533" spans="1:12" x14ac:dyDescent="0.25">
      <c r="A533" s="64"/>
      <c r="B533" s="64"/>
      <c r="C533" s="65"/>
      <c r="D533" s="65"/>
      <c r="E533" s="65"/>
      <c r="F533" s="61"/>
      <c r="G533" s="61"/>
      <c r="H533" s="61"/>
      <c r="I533" s="61"/>
      <c r="J533" s="61"/>
      <c r="K533" s="3" t="str">
        <f t="shared" si="20"/>
        <v>fail</v>
      </c>
      <c r="L533" s="19" t="str">
        <f>IFERROR(IF(AND(MATCH(A533,Projection_classes,0),YEAR(current_date)='Example - Projections'!B533),"pass","fail"),"")</f>
        <v/>
      </c>
    </row>
    <row r="534" spans="1:12" x14ac:dyDescent="0.25">
      <c r="A534" s="64"/>
      <c r="B534" s="64"/>
      <c r="C534" s="65"/>
      <c r="D534" s="65"/>
      <c r="E534" s="65"/>
      <c r="F534" s="61"/>
      <c r="G534" s="61"/>
      <c r="H534" s="61"/>
      <c r="I534" s="61"/>
      <c r="J534" s="61"/>
      <c r="K534" s="3" t="str">
        <f t="shared" si="20"/>
        <v>fail</v>
      </c>
      <c r="L534" s="19" t="str">
        <f>IFERROR(IF(AND(MATCH(A534,Projection_classes,0),YEAR(current_date)='Example - Projections'!B534),"pass","fail"),"")</f>
        <v/>
      </c>
    </row>
    <row r="535" spans="1:12" x14ac:dyDescent="0.25">
      <c r="A535" s="64"/>
      <c r="B535" s="64"/>
      <c r="C535" s="65"/>
      <c r="D535" s="65"/>
      <c r="E535" s="65"/>
      <c r="F535" s="61"/>
      <c r="G535" s="61"/>
      <c r="H535" s="61"/>
      <c r="I535" s="61"/>
      <c r="J535" s="61"/>
      <c r="K535" s="3" t="str">
        <f t="shared" si="20"/>
        <v>fail</v>
      </c>
      <c r="L535" s="19" t="str">
        <f>IFERROR(IF(AND(MATCH(A535,Projection_classes,0),YEAR(current_date)='Example - Projections'!B535),"pass","fail"),"")</f>
        <v/>
      </c>
    </row>
    <row r="536" spans="1:12" x14ac:dyDescent="0.25">
      <c r="A536" s="64"/>
      <c r="B536" s="64"/>
      <c r="C536" s="65"/>
      <c r="D536" s="65"/>
      <c r="E536" s="65"/>
      <c r="F536" s="61"/>
      <c r="G536" s="61"/>
      <c r="H536" s="61"/>
      <c r="I536" s="61"/>
      <c r="J536" s="61"/>
      <c r="K536" s="3" t="str">
        <f t="shared" si="20"/>
        <v>fail</v>
      </c>
      <c r="L536" s="19" t="str">
        <f>IFERROR(IF(AND(MATCH(A536,Projection_classes,0),YEAR(current_date)='Example - Projections'!B536),"pass","fail"),"")</f>
        <v/>
      </c>
    </row>
    <row r="537" spans="1:12" x14ac:dyDescent="0.25">
      <c r="A537" s="64"/>
      <c r="B537" s="64"/>
      <c r="C537" s="65"/>
      <c r="D537" s="65"/>
      <c r="E537" s="65"/>
      <c r="F537" s="61"/>
      <c r="G537" s="61"/>
      <c r="H537" s="61"/>
      <c r="I537" s="61"/>
      <c r="J537" s="61"/>
      <c r="K537" s="3" t="str">
        <f t="shared" si="20"/>
        <v>fail</v>
      </c>
      <c r="L537" s="19" t="str">
        <f>IFERROR(IF(AND(MATCH(A537,Projection_classes,0),YEAR(current_date)='Example - Projections'!B537),"pass","fail"),"")</f>
        <v/>
      </c>
    </row>
    <row r="538" spans="1:12" x14ac:dyDescent="0.25">
      <c r="A538" s="64"/>
      <c r="B538" s="64"/>
      <c r="C538" s="65"/>
      <c r="D538" s="65"/>
      <c r="E538" s="65"/>
      <c r="F538" s="61"/>
      <c r="G538" s="61"/>
      <c r="H538" s="61"/>
      <c r="I538" s="61"/>
      <c r="J538" s="61"/>
      <c r="K538" s="3" t="str">
        <f t="shared" si="20"/>
        <v>fail</v>
      </c>
      <c r="L538" s="19" t="str">
        <f>IFERROR(IF(AND(MATCH(A538,Projection_classes,0),YEAR(current_date)='Example - Projections'!B538),"pass","fail"),"")</f>
        <v/>
      </c>
    </row>
    <row r="539" spans="1:12" x14ac:dyDescent="0.25">
      <c r="A539" s="64"/>
      <c r="B539" s="64"/>
      <c r="C539" s="65"/>
      <c r="D539" s="65"/>
      <c r="E539" s="65"/>
      <c r="F539" s="61"/>
      <c r="G539" s="61"/>
      <c r="H539" s="61"/>
      <c r="I539" s="61"/>
      <c r="J539" s="61"/>
      <c r="K539" s="3" t="str">
        <f t="shared" si="20"/>
        <v>fail</v>
      </c>
      <c r="L539" s="19" t="str">
        <f>IFERROR(IF(AND(MATCH(A539,Projection_classes,0),YEAR(current_date)='Example - Projections'!B539),"pass","fail"),"")</f>
        <v/>
      </c>
    </row>
    <row r="540" spans="1:12" x14ac:dyDescent="0.25">
      <c r="A540" s="64"/>
      <c r="B540" s="64"/>
      <c r="C540" s="65"/>
      <c r="D540" s="65"/>
      <c r="E540" s="65"/>
      <c r="F540" s="61"/>
      <c r="G540" s="61"/>
      <c r="H540" s="61"/>
      <c r="I540" s="61"/>
      <c r="J540" s="61"/>
      <c r="K540" s="3" t="str">
        <f t="shared" si="20"/>
        <v>fail</v>
      </c>
      <c r="L540" s="19" t="str">
        <f>IFERROR(IF(AND(MATCH(A540,Projection_classes,0),YEAR(current_date)='Example - Projections'!B540),"pass","fail"),"")</f>
        <v/>
      </c>
    </row>
    <row r="541" spans="1:12" x14ac:dyDescent="0.25">
      <c r="A541" s="64"/>
      <c r="B541" s="64"/>
      <c r="C541" s="65"/>
      <c r="D541" s="65"/>
      <c r="E541" s="65"/>
      <c r="F541" s="61"/>
      <c r="G541" s="61"/>
      <c r="H541" s="61"/>
      <c r="I541" s="61"/>
      <c r="J541" s="61"/>
      <c r="K541" s="3" t="str">
        <f t="shared" si="20"/>
        <v>fail</v>
      </c>
      <c r="L541" s="19" t="str">
        <f>IFERROR(IF(AND(MATCH(A541,Projection_classes,0),YEAR(current_date)='Example - Projections'!B541),"pass","fail"),"")</f>
        <v/>
      </c>
    </row>
    <row r="542" spans="1:12" x14ac:dyDescent="0.25">
      <c r="A542" s="64"/>
      <c r="B542" s="64"/>
      <c r="C542" s="65"/>
      <c r="D542" s="65"/>
      <c r="E542" s="65"/>
      <c r="F542" s="61"/>
      <c r="G542" s="61"/>
      <c r="H542" s="61"/>
      <c r="I542" s="61"/>
      <c r="J542" s="61"/>
      <c r="K542" s="3" t="str">
        <f t="shared" si="20"/>
        <v>fail</v>
      </c>
      <c r="L542" s="19" t="str">
        <f>IFERROR(IF(AND(MATCH(A542,Projection_classes,0),YEAR(current_date)='Example - Projections'!B542),"pass","fail"),"")</f>
        <v/>
      </c>
    </row>
    <row r="543" spans="1:12" x14ac:dyDescent="0.25">
      <c r="A543" s="64"/>
      <c r="B543" s="64"/>
      <c r="C543" s="65"/>
      <c r="D543" s="65"/>
      <c r="E543" s="65"/>
      <c r="F543" s="61"/>
      <c r="G543" s="61"/>
      <c r="H543" s="61"/>
      <c r="I543" s="61"/>
      <c r="J543" s="61"/>
      <c r="K543" s="3" t="str">
        <f t="shared" si="20"/>
        <v>fail</v>
      </c>
      <c r="L543" s="19" t="str">
        <f>IFERROR(IF(AND(MATCH(A543,Projection_classes,0),YEAR(current_date)='Example - Projections'!B543),"pass","fail"),"")</f>
        <v/>
      </c>
    </row>
    <row r="544" spans="1:12" x14ac:dyDescent="0.25">
      <c r="A544" s="64"/>
      <c r="B544" s="64"/>
      <c r="C544" s="65"/>
      <c r="D544" s="65"/>
      <c r="E544" s="65"/>
      <c r="F544" s="61"/>
      <c r="G544" s="61"/>
      <c r="H544" s="61"/>
      <c r="I544" s="61"/>
      <c r="J544" s="61"/>
      <c r="K544" s="3" t="str">
        <f t="shared" si="20"/>
        <v>fail</v>
      </c>
      <c r="L544" s="19" t="str">
        <f>IFERROR(IF(AND(MATCH(A544,Projection_classes,0),YEAR(current_date)='Example - Projections'!B544),"pass","fail"),"")</f>
        <v/>
      </c>
    </row>
    <row r="545" spans="1:12" x14ac:dyDescent="0.25">
      <c r="A545" s="64"/>
      <c r="B545" s="64"/>
      <c r="C545" s="65"/>
      <c r="D545" s="65"/>
      <c r="E545" s="65"/>
      <c r="F545" s="61"/>
      <c r="G545" s="61"/>
      <c r="H545" s="61"/>
      <c r="I545" s="61"/>
      <c r="J545" s="61"/>
      <c r="K545" s="3" t="str">
        <f t="shared" si="20"/>
        <v>fail</v>
      </c>
      <c r="L545" s="19" t="str">
        <f>IFERROR(IF(AND(MATCH(A545,Projection_classes,0),YEAR(current_date)='Example - Projections'!B545),"pass","fail"),"")</f>
        <v/>
      </c>
    </row>
    <row r="546" spans="1:12" x14ac:dyDescent="0.25">
      <c r="A546" s="64"/>
      <c r="B546" s="64"/>
      <c r="C546" s="65"/>
      <c r="D546" s="65"/>
      <c r="E546" s="65"/>
      <c r="F546" s="61"/>
      <c r="G546" s="61"/>
      <c r="H546" s="61"/>
      <c r="I546" s="61"/>
      <c r="J546" s="61"/>
      <c r="K546" s="3" t="str">
        <f t="shared" si="20"/>
        <v>fail</v>
      </c>
      <c r="L546" s="19" t="str">
        <f>IFERROR(IF(AND(MATCH(A546,Projection_classes,0),YEAR(current_date)='Example - Projections'!B546),"pass","fail"),"")</f>
        <v/>
      </c>
    </row>
    <row r="547" spans="1:12" x14ac:dyDescent="0.25">
      <c r="A547" s="64"/>
      <c r="B547" s="64"/>
      <c r="C547" s="65"/>
      <c r="D547" s="65"/>
      <c r="E547" s="65"/>
      <c r="F547" s="61"/>
      <c r="G547" s="61"/>
      <c r="H547" s="61"/>
      <c r="I547" s="61"/>
      <c r="J547" s="61"/>
      <c r="K547" s="3" t="str">
        <f t="shared" si="20"/>
        <v>fail</v>
      </c>
      <c r="L547" s="19" t="str">
        <f>IFERROR(IF(AND(MATCH(A547,Projection_classes,0),YEAR(current_date)='Example - Projections'!B547),"pass","fail"),"")</f>
        <v/>
      </c>
    </row>
    <row r="548" spans="1:12" x14ac:dyDescent="0.25">
      <c r="A548" s="64"/>
      <c r="B548" s="64"/>
      <c r="C548" s="65"/>
      <c r="D548" s="65"/>
      <c r="E548" s="65"/>
      <c r="F548" s="61"/>
      <c r="G548" s="61"/>
      <c r="H548" s="61"/>
      <c r="I548" s="61"/>
      <c r="J548" s="61"/>
      <c r="K548" s="3" t="str">
        <f t="shared" si="20"/>
        <v>fail</v>
      </c>
      <c r="L548" s="19" t="str">
        <f>IFERROR(IF(AND(MATCH(A548,Projection_classes,0),YEAR(current_date)='Example - Projections'!B548),"pass","fail"),"")</f>
        <v/>
      </c>
    </row>
    <row r="549" spans="1:12" x14ac:dyDescent="0.25">
      <c r="A549" s="64"/>
      <c r="B549" s="64"/>
      <c r="C549" s="65"/>
      <c r="D549" s="65"/>
      <c r="E549" s="65"/>
      <c r="F549" s="61"/>
      <c r="G549" s="61"/>
      <c r="H549" s="61"/>
      <c r="I549" s="61"/>
      <c r="J549" s="61"/>
      <c r="K549" s="3" t="str">
        <f t="shared" si="20"/>
        <v>fail</v>
      </c>
      <c r="L549" s="19" t="str">
        <f>IFERROR(IF(AND(MATCH(A549,Projection_classes,0),YEAR(current_date)='Example - Projections'!B549),"pass","fail"),"")</f>
        <v/>
      </c>
    </row>
    <row r="550" spans="1:12" x14ac:dyDescent="0.25">
      <c r="A550" s="64"/>
      <c r="B550" s="64"/>
      <c r="C550" s="65"/>
      <c r="D550" s="65"/>
      <c r="E550" s="65"/>
      <c r="F550" s="61"/>
      <c r="G550" s="61"/>
      <c r="H550" s="61"/>
      <c r="I550" s="61"/>
      <c r="J550" s="61"/>
      <c r="K550" s="3" t="str">
        <f t="shared" si="20"/>
        <v>fail</v>
      </c>
      <c r="L550" s="19" t="str">
        <f>IFERROR(IF(AND(MATCH(A550,Projection_classes,0),YEAR(current_date)='Example - Projections'!B550),"pass","fail"),"")</f>
        <v/>
      </c>
    </row>
    <row r="551" spans="1:12" x14ac:dyDescent="0.25">
      <c r="A551" s="64"/>
      <c r="B551" s="64"/>
      <c r="C551" s="65"/>
      <c r="D551" s="65"/>
      <c r="E551" s="65"/>
      <c r="F551" s="61"/>
      <c r="G551" s="61"/>
      <c r="H551" s="61"/>
      <c r="I551" s="61"/>
      <c r="J551" s="61"/>
      <c r="K551" s="3" t="str">
        <f t="shared" si="20"/>
        <v>fail</v>
      </c>
      <c r="L551" s="19" t="str">
        <f>IFERROR(IF(AND(MATCH(A551,Projection_classes,0),YEAR(current_date)='Example - Projections'!B551),"pass","fail"),"")</f>
        <v/>
      </c>
    </row>
    <row r="552" spans="1:12" x14ac:dyDescent="0.25">
      <c r="A552" s="64"/>
      <c r="B552" s="64"/>
      <c r="C552" s="65"/>
      <c r="D552" s="65"/>
      <c r="E552" s="65"/>
      <c r="F552" s="61"/>
      <c r="G552" s="61"/>
      <c r="H552" s="61"/>
      <c r="I552" s="61"/>
      <c r="J552" s="61"/>
      <c r="K552" s="3" t="str">
        <f t="shared" si="20"/>
        <v>fail</v>
      </c>
      <c r="L552" s="19" t="str">
        <f>IFERROR(IF(AND(MATCH(A552,Projection_classes,0),YEAR(current_date)='Example - Projections'!B552),"pass","fail"),"")</f>
        <v/>
      </c>
    </row>
    <row r="553" spans="1:12" x14ac:dyDescent="0.25">
      <c r="A553" s="64"/>
      <c r="B553" s="64"/>
      <c r="C553" s="65"/>
      <c r="D553" s="65"/>
      <c r="E553" s="65"/>
      <c r="F553" s="61"/>
      <c r="G553" s="61"/>
      <c r="H553" s="61"/>
      <c r="I553" s="61"/>
      <c r="J553" s="61"/>
      <c r="K553" s="3" t="str">
        <f t="shared" si="20"/>
        <v>fail</v>
      </c>
      <c r="L553" s="19" t="str">
        <f>IFERROR(IF(AND(MATCH(A553,Projection_classes,0),YEAR(current_date)='Example - Projections'!B553),"pass","fail"),"")</f>
        <v/>
      </c>
    </row>
    <row r="554" spans="1:12" x14ac:dyDescent="0.25">
      <c r="A554" s="64"/>
      <c r="B554" s="64"/>
      <c r="C554" s="65"/>
      <c r="D554" s="65"/>
      <c r="E554" s="65"/>
      <c r="F554" s="61"/>
      <c r="G554" s="61"/>
      <c r="H554" s="61"/>
      <c r="I554" s="61"/>
      <c r="J554" s="61"/>
      <c r="K554" s="3" t="str">
        <f t="shared" si="20"/>
        <v>fail</v>
      </c>
      <c r="L554" s="19" t="str">
        <f>IFERROR(IF(AND(MATCH(A554,Projection_classes,0),YEAR(current_date)='Example - Projections'!B554),"pass","fail"),"")</f>
        <v/>
      </c>
    </row>
    <row r="555" spans="1:12" x14ac:dyDescent="0.25">
      <c r="A555" s="64"/>
      <c r="B555" s="64"/>
      <c r="C555" s="65"/>
      <c r="D555" s="65"/>
      <c r="E555" s="65"/>
      <c r="F555" s="61"/>
      <c r="G555" s="61"/>
      <c r="H555" s="61"/>
      <c r="I555" s="61"/>
      <c r="J555" s="61"/>
      <c r="K555" s="3" t="str">
        <f t="shared" si="20"/>
        <v>fail</v>
      </c>
      <c r="L555" s="19" t="str">
        <f>IFERROR(IF(AND(MATCH(A555,Projection_classes,0),YEAR(current_date)='Example - Projections'!B555),"pass","fail"),"")</f>
        <v/>
      </c>
    </row>
    <row r="556" spans="1:12" x14ac:dyDescent="0.25">
      <c r="A556" s="64"/>
      <c r="B556" s="64"/>
      <c r="C556" s="65"/>
      <c r="D556" s="65"/>
      <c r="E556" s="65"/>
      <c r="F556" s="61"/>
      <c r="G556" s="61"/>
      <c r="H556" s="61"/>
      <c r="I556" s="61"/>
      <c r="J556" s="61"/>
      <c r="K556" s="3" t="str">
        <f t="shared" si="20"/>
        <v>fail</v>
      </c>
      <c r="L556" s="19" t="str">
        <f>IFERROR(IF(AND(MATCH(A556,Projection_classes,0),YEAR(current_date)='Example - Projections'!B556),"pass","fail"),"")</f>
        <v/>
      </c>
    </row>
    <row r="557" spans="1:12" x14ac:dyDescent="0.25">
      <c r="A557" s="64"/>
      <c r="B557" s="64"/>
      <c r="C557" s="65"/>
      <c r="D557" s="65"/>
      <c r="E557" s="65"/>
      <c r="F557" s="61"/>
      <c r="G557" s="61"/>
      <c r="H557" s="61"/>
      <c r="I557" s="61"/>
      <c r="J557" s="61"/>
      <c r="K557" s="3" t="str">
        <f t="shared" si="20"/>
        <v>fail</v>
      </c>
      <c r="L557" s="19" t="str">
        <f>IFERROR(IF(AND(MATCH(A557,Projection_classes,0),YEAR(current_date)='Example - Projections'!B557),"pass","fail"),"")</f>
        <v/>
      </c>
    </row>
    <row r="558" spans="1:12" x14ac:dyDescent="0.25">
      <c r="A558" s="64"/>
      <c r="B558" s="64"/>
      <c r="C558" s="65"/>
      <c r="D558" s="65"/>
      <c r="E558" s="65"/>
      <c r="F558" s="61"/>
      <c r="G558" s="61"/>
      <c r="H558" s="61"/>
      <c r="I558" s="61"/>
      <c r="J558" s="61"/>
      <c r="K558" s="3" t="str">
        <f t="shared" si="20"/>
        <v>fail</v>
      </c>
      <c r="L558" s="19" t="str">
        <f>IFERROR(IF(AND(MATCH(A558,Projection_classes,0),YEAR(current_date)='Example - Projections'!B558),"pass","fail"),"")</f>
        <v/>
      </c>
    </row>
    <row r="559" spans="1:12" x14ac:dyDescent="0.25">
      <c r="A559" s="64"/>
      <c r="B559" s="64"/>
      <c r="C559" s="65"/>
      <c r="D559" s="65"/>
      <c r="E559" s="65"/>
      <c r="F559" s="61"/>
      <c r="G559" s="61"/>
      <c r="H559" s="61"/>
      <c r="I559" s="61"/>
      <c r="J559" s="61"/>
      <c r="K559" s="3" t="str">
        <f t="shared" si="20"/>
        <v>fail</v>
      </c>
      <c r="L559" s="19" t="str">
        <f>IFERROR(IF(AND(MATCH(A559,Projection_classes,0),YEAR(current_date)='Example - Projections'!B559),"pass","fail"),"")</f>
        <v/>
      </c>
    </row>
    <row r="560" spans="1:12" x14ac:dyDescent="0.25">
      <c r="A560" s="64"/>
      <c r="B560" s="64"/>
      <c r="C560" s="65"/>
      <c r="D560" s="65"/>
      <c r="E560" s="65"/>
      <c r="F560" s="61"/>
      <c r="G560" s="61"/>
      <c r="H560" s="61"/>
      <c r="I560" s="61"/>
      <c r="J560" s="61"/>
      <c r="K560" s="3" t="str">
        <f t="shared" si="20"/>
        <v>fail</v>
      </c>
      <c r="L560" s="19" t="str">
        <f>IFERROR(IF(AND(MATCH(A560,Projection_classes,0),YEAR(current_date)='Example - Projections'!B560),"pass","fail"),"")</f>
        <v/>
      </c>
    </row>
    <row r="561" spans="1:12" x14ac:dyDescent="0.25">
      <c r="A561" s="64"/>
      <c r="B561" s="64"/>
      <c r="C561" s="65"/>
      <c r="D561" s="65"/>
      <c r="E561" s="65"/>
      <c r="F561" s="61"/>
      <c r="G561" s="61"/>
      <c r="H561" s="61"/>
      <c r="I561" s="61"/>
      <c r="J561" s="61"/>
      <c r="K561" s="3" t="str">
        <f t="shared" si="20"/>
        <v>fail</v>
      </c>
      <c r="L561" s="19" t="str">
        <f>IFERROR(IF(AND(MATCH(A561,Projection_classes,0),YEAR(current_date)='Example - Projections'!B561),"pass","fail"),"")</f>
        <v/>
      </c>
    </row>
    <row r="562" spans="1:12" x14ac:dyDescent="0.25">
      <c r="A562" s="64"/>
      <c r="B562" s="64"/>
      <c r="C562" s="65"/>
      <c r="D562" s="65"/>
      <c r="E562" s="65"/>
      <c r="F562" s="61"/>
      <c r="G562" s="61"/>
      <c r="H562" s="61"/>
      <c r="I562" s="61"/>
      <c r="J562" s="61"/>
      <c r="K562" s="3" t="str">
        <f t="shared" si="20"/>
        <v>fail</v>
      </c>
      <c r="L562" s="19" t="str">
        <f>IFERROR(IF(AND(MATCH(A562,Projection_classes,0),YEAR(current_date)='Example - Projections'!B562),"pass","fail"),"")</f>
        <v/>
      </c>
    </row>
    <row r="563" spans="1:12" x14ac:dyDescent="0.25">
      <c r="A563" s="64"/>
      <c r="B563" s="64"/>
      <c r="C563" s="65"/>
      <c r="D563" s="65"/>
      <c r="E563" s="65"/>
      <c r="F563" s="61"/>
      <c r="G563" s="61"/>
      <c r="H563" s="61"/>
      <c r="I563" s="61"/>
      <c r="J563" s="61"/>
      <c r="K563" s="3" t="str">
        <f t="shared" si="20"/>
        <v>fail</v>
      </c>
      <c r="L563" s="19" t="str">
        <f>IFERROR(IF(AND(MATCH(A563,Projection_classes,0),YEAR(current_date)='Example - Projections'!B563),"pass","fail"),"")</f>
        <v/>
      </c>
    </row>
    <row r="564" spans="1:12" x14ac:dyDescent="0.25">
      <c r="A564" s="64"/>
      <c r="B564" s="64"/>
      <c r="C564" s="65"/>
      <c r="D564" s="65"/>
      <c r="E564" s="65"/>
      <c r="F564" s="61"/>
      <c r="G564" s="61"/>
      <c r="H564" s="61"/>
      <c r="I564" s="61"/>
      <c r="J564" s="61"/>
      <c r="K564" s="3" t="str">
        <f t="shared" si="20"/>
        <v>fail</v>
      </c>
      <c r="L564" s="19" t="str">
        <f>IFERROR(IF(AND(MATCH(A564,Projection_classes,0),YEAR(current_date)='Example - Projections'!B564),"pass","fail"),"")</f>
        <v/>
      </c>
    </row>
    <row r="565" spans="1:12" x14ac:dyDescent="0.25">
      <c r="A565" s="64"/>
      <c r="B565" s="64"/>
      <c r="C565" s="65"/>
      <c r="D565" s="65"/>
      <c r="E565" s="65"/>
      <c r="F565" s="61"/>
      <c r="G565" s="61"/>
      <c r="H565" s="61"/>
      <c r="I565" s="61"/>
      <c r="J565" s="61"/>
      <c r="K565" s="3" t="str">
        <f t="shared" si="20"/>
        <v>fail</v>
      </c>
      <c r="L565" s="19" t="str">
        <f>IFERROR(IF(AND(MATCH(A565,Projection_classes,0),YEAR(current_date)='Example - Projections'!B565),"pass","fail"),"")</f>
        <v/>
      </c>
    </row>
    <row r="566" spans="1:12" x14ac:dyDescent="0.25">
      <c r="A566" s="64"/>
      <c r="B566" s="64"/>
      <c r="C566" s="65"/>
      <c r="D566" s="65"/>
      <c r="E566" s="65"/>
      <c r="F566" s="61"/>
      <c r="G566" s="61"/>
      <c r="H566" s="61"/>
      <c r="I566" s="61"/>
      <c r="J566" s="61"/>
      <c r="K566" s="3" t="str">
        <f t="shared" si="20"/>
        <v>fail</v>
      </c>
      <c r="L566" s="19" t="str">
        <f>IFERROR(IF(AND(MATCH(A566,Projection_classes,0),YEAR(current_date)='Example - Projections'!B566),"pass","fail"),"")</f>
        <v/>
      </c>
    </row>
    <row r="567" spans="1:12" x14ac:dyDescent="0.25">
      <c r="A567" s="64"/>
      <c r="B567" s="64"/>
      <c r="C567" s="65"/>
      <c r="D567" s="65"/>
      <c r="E567" s="65"/>
      <c r="F567" s="61"/>
      <c r="G567" s="61"/>
      <c r="H567" s="61"/>
      <c r="I567" s="61"/>
      <c r="J567" s="61"/>
      <c r="K567" s="3" t="str">
        <f t="shared" si="20"/>
        <v>fail</v>
      </c>
      <c r="L567" s="19" t="str">
        <f>IFERROR(IF(AND(MATCH(A567,Projection_classes,0),YEAR(current_date)='Example - Projections'!B567),"pass","fail"),"")</f>
        <v/>
      </c>
    </row>
    <row r="568" spans="1:12" x14ac:dyDescent="0.25">
      <c r="A568" s="64"/>
      <c r="B568" s="64"/>
      <c r="C568" s="65"/>
      <c r="D568" s="65"/>
      <c r="E568" s="65"/>
      <c r="F568" s="61"/>
      <c r="G568" s="61"/>
      <c r="H568" s="61"/>
      <c r="I568" s="61"/>
      <c r="J568" s="61"/>
      <c r="K568" s="3" t="str">
        <f t="shared" si="20"/>
        <v>fail</v>
      </c>
      <c r="L568" s="19" t="str">
        <f>IFERROR(IF(AND(MATCH(A568,Projection_classes,0),YEAR(current_date)='Example - Projections'!B568),"pass","fail"),"")</f>
        <v/>
      </c>
    </row>
    <row r="569" spans="1:12" x14ac:dyDescent="0.25">
      <c r="A569" s="64"/>
      <c r="B569" s="64"/>
      <c r="C569" s="65"/>
      <c r="D569" s="65"/>
      <c r="E569" s="65"/>
      <c r="F569" s="61"/>
      <c r="G569" s="61"/>
      <c r="H569" s="61"/>
      <c r="I569" s="61"/>
      <c r="J569" s="61"/>
      <c r="K569" s="3" t="str">
        <f t="shared" si="20"/>
        <v>fail</v>
      </c>
      <c r="L569" s="19" t="str">
        <f>IFERROR(IF(AND(MATCH(A569,Projection_classes,0),YEAR(current_date)='Example - Projections'!B569),"pass","fail"),"")</f>
        <v/>
      </c>
    </row>
    <row r="570" spans="1:12" x14ac:dyDescent="0.25">
      <c r="A570" s="64"/>
      <c r="B570" s="64"/>
      <c r="C570" s="65"/>
      <c r="D570" s="65"/>
      <c r="E570" s="65"/>
      <c r="F570" s="61"/>
      <c r="G570" s="61"/>
      <c r="H570" s="61"/>
      <c r="I570" s="61"/>
      <c r="J570" s="61"/>
      <c r="K570" s="3" t="str">
        <f t="shared" si="20"/>
        <v>fail</v>
      </c>
      <c r="L570" s="19" t="str">
        <f>IFERROR(IF(AND(MATCH(A570,Projection_classes,0),YEAR(current_date)='Example - Projections'!B570),"pass","fail"),"")</f>
        <v/>
      </c>
    </row>
    <row r="571" spans="1:12" x14ac:dyDescent="0.25">
      <c r="A571" s="64"/>
      <c r="B571" s="64"/>
      <c r="C571" s="65"/>
      <c r="D571" s="65"/>
      <c r="E571" s="65"/>
      <c r="F571" s="61"/>
      <c r="G571" s="61"/>
      <c r="H571" s="61"/>
      <c r="I571" s="61"/>
      <c r="J571" s="61"/>
      <c r="K571" s="3" t="str">
        <f t="shared" si="20"/>
        <v>fail</v>
      </c>
      <c r="L571" s="19" t="str">
        <f>IFERROR(IF(AND(MATCH(A571,Projection_classes,0),YEAR(current_date)='Example - Projections'!B571),"pass","fail"),"")</f>
        <v/>
      </c>
    </row>
    <row r="572" spans="1:12" x14ac:dyDescent="0.25">
      <c r="A572" s="64"/>
      <c r="B572" s="64"/>
      <c r="C572" s="65"/>
      <c r="D572" s="65"/>
      <c r="E572" s="65"/>
      <c r="F572" s="61"/>
      <c r="G572" s="61"/>
      <c r="H572" s="61"/>
      <c r="I572" s="61"/>
      <c r="J572" s="61"/>
      <c r="K572" s="3" t="str">
        <f t="shared" si="20"/>
        <v>fail</v>
      </c>
      <c r="L572" s="19" t="str">
        <f>IFERROR(IF(AND(MATCH(A572,Projection_classes,0),YEAR(current_date)='Example - Projections'!B572),"pass","fail"),"")</f>
        <v/>
      </c>
    </row>
    <row r="573" spans="1:12" x14ac:dyDescent="0.25">
      <c r="A573" s="64"/>
      <c r="B573" s="64"/>
      <c r="C573" s="65"/>
      <c r="D573" s="65"/>
      <c r="E573" s="65"/>
      <c r="F573" s="61"/>
      <c r="G573" s="61"/>
      <c r="H573" s="61"/>
      <c r="I573" s="61"/>
      <c r="J573" s="61"/>
      <c r="K573" s="3" t="str">
        <f t="shared" si="20"/>
        <v>fail</v>
      </c>
      <c r="L573" s="19" t="str">
        <f>IFERROR(IF(AND(MATCH(A573,Projection_classes,0),YEAR(current_date)='Example - Projections'!B573),"pass","fail"),"")</f>
        <v/>
      </c>
    </row>
    <row r="574" spans="1:12" x14ac:dyDescent="0.25">
      <c r="A574" s="64"/>
      <c r="B574" s="64"/>
      <c r="C574" s="65"/>
      <c r="D574" s="65"/>
      <c r="E574" s="65"/>
      <c r="F574" s="61"/>
      <c r="G574" s="61"/>
      <c r="H574" s="61"/>
      <c r="I574" s="61"/>
      <c r="J574" s="61"/>
      <c r="K574" s="3" t="str">
        <f t="shared" si="20"/>
        <v>fail</v>
      </c>
      <c r="L574" s="19" t="str">
        <f>IFERROR(IF(AND(MATCH(A574,Projection_classes,0),YEAR(current_date)='Example - Projections'!B574),"pass","fail"),"")</f>
        <v/>
      </c>
    </row>
    <row r="575" spans="1:12" x14ac:dyDescent="0.25">
      <c r="A575" s="64"/>
      <c r="B575" s="64"/>
      <c r="C575" s="65"/>
      <c r="D575" s="65"/>
      <c r="E575" s="65"/>
      <c r="F575" s="61"/>
      <c r="G575" s="61"/>
      <c r="H575" s="61"/>
      <c r="I575" s="61"/>
      <c r="J575" s="61"/>
      <c r="K575" s="3" t="str">
        <f t="shared" si="20"/>
        <v>fail</v>
      </c>
      <c r="L575" s="19" t="str">
        <f>IFERROR(IF(AND(MATCH(A575,Projection_classes,0),YEAR(current_date)='Example - Projections'!B575),"pass","fail"),"")</f>
        <v/>
      </c>
    </row>
    <row r="576" spans="1:12" x14ac:dyDescent="0.25">
      <c r="A576" s="64"/>
      <c r="B576" s="64"/>
      <c r="C576" s="65"/>
      <c r="D576" s="65"/>
      <c r="E576" s="65"/>
      <c r="F576" s="61"/>
      <c r="G576" s="61"/>
      <c r="H576" s="61"/>
      <c r="I576" s="61"/>
      <c r="J576" s="61"/>
      <c r="K576" s="3" t="str">
        <f t="shared" si="20"/>
        <v>fail</v>
      </c>
      <c r="L576" s="19" t="str">
        <f>IFERROR(IF(AND(MATCH(A576,Projection_classes,0),YEAR(current_date)='Example - Projections'!B576),"pass","fail"),"")</f>
        <v/>
      </c>
    </row>
    <row r="577" spans="1:12" x14ac:dyDescent="0.25">
      <c r="A577" s="64"/>
      <c r="B577" s="64"/>
      <c r="C577" s="65"/>
      <c r="D577" s="65"/>
      <c r="E577" s="65"/>
      <c r="F577" s="61"/>
      <c r="G577" s="61"/>
      <c r="H577" s="61"/>
      <c r="I577" s="61"/>
      <c r="J577" s="61"/>
      <c r="K577" s="3" t="str">
        <f t="shared" si="20"/>
        <v>fail</v>
      </c>
      <c r="L577" s="19" t="str">
        <f>IFERROR(IF(AND(MATCH(A577,Projection_classes,0),YEAR(current_date)='Example - Projections'!B577),"pass","fail"),"")</f>
        <v/>
      </c>
    </row>
    <row r="578" spans="1:12" x14ac:dyDescent="0.25">
      <c r="A578" s="64"/>
      <c r="B578" s="64"/>
      <c r="C578" s="65"/>
      <c r="D578" s="65"/>
      <c r="E578" s="65"/>
      <c r="F578" s="61"/>
      <c r="G578" s="61"/>
      <c r="H578" s="61"/>
      <c r="I578" s="61"/>
      <c r="J578" s="61"/>
      <c r="K578" s="3" t="str">
        <f t="shared" ref="K578:K641" si="21">IF(OR(B578&lt;$N$1,B578&gt;$P$1),"fail","pass")</f>
        <v>fail</v>
      </c>
      <c r="L578" s="19" t="str">
        <f>IFERROR(IF(AND(MATCH(A578,Projection_classes,0),YEAR(current_date)='Example - Projections'!B578),"pass","fail"),"")</f>
        <v/>
      </c>
    </row>
    <row r="579" spans="1:12" x14ac:dyDescent="0.25">
      <c r="A579" s="64"/>
      <c r="B579" s="64"/>
      <c r="C579" s="65"/>
      <c r="D579" s="65"/>
      <c r="E579" s="65"/>
      <c r="F579" s="61"/>
      <c r="G579" s="61"/>
      <c r="H579" s="61"/>
      <c r="I579" s="61"/>
      <c r="J579" s="61"/>
      <c r="K579" s="3" t="str">
        <f t="shared" si="21"/>
        <v>fail</v>
      </c>
      <c r="L579" s="19" t="str">
        <f>IFERROR(IF(AND(MATCH(A579,Projection_classes,0),YEAR(current_date)='Example - Projections'!B579),"pass","fail"),"")</f>
        <v/>
      </c>
    </row>
    <row r="580" spans="1:12" x14ac:dyDescent="0.25">
      <c r="A580" s="64"/>
      <c r="B580" s="64"/>
      <c r="C580" s="65"/>
      <c r="D580" s="65"/>
      <c r="E580" s="65"/>
      <c r="F580" s="61"/>
      <c r="G580" s="61"/>
      <c r="H580" s="61"/>
      <c r="I580" s="61"/>
      <c r="J580" s="61"/>
      <c r="K580" s="3" t="str">
        <f t="shared" si="21"/>
        <v>fail</v>
      </c>
      <c r="L580" s="19" t="str">
        <f>IFERROR(IF(AND(MATCH(A580,Projection_classes,0),YEAR(current_date)='Example - Projections'!B580),"pass","fail"),"")</f>
        <v/>
      </c>
    </row>
    <row r="581" spans="1:12" x14ac:dyDescent="0.25">
      <c r="A581" s="64"/>
      <c r="B581" s="64"/>
      <c r="C581" s="65"/>
      <c r="D581" s="65"/>
      <c r="E581" s="65"/>
      <c r="F581" s="61"/>
      <c r="G581" s="61"/>
      <c r="H581" s="61"/>
      <c r="I581" s="61"/>
      <c r="J581" s="61"/>
      <c r="K581" s="3" t="str">
        <f t="shared" si="21"/>
        <v>fail</v>
      </c>
      <c r="L581" s="19" t="str">
        <f>IFERROR(IF(AND(MATCH(A581,Projection_classes,0),YEAR(current_date)='Example - Projections'!B581),"pass","fail"),"")</f>
        <v/>
      </c>
    </row>
    <row r="582" spans="1:12" x14ac:dyDescent="0.25">
      <c r="A582" s="64"/>
      <c r="B582" s="64"/>
      <c r="C582" s="65"/>
      <c r="D582" s="65"/>
      <c r="E582" s="65"/>
      <c r="F582" s="61"/>
      <c r="G582" s="61"/>
      <c r="H582" s="61"/>
      <c r="I582" s="61"/>
      <c r="J582" s="61"/>
      <c r="K582" s="3" t="str">
        <f t="shared" si="21"/>
        <v>fail</v>
      </c>
      <c r="L582" s="19" t="str">
        <f>IFERROR(IF(AND(MATCH(A582,Projection_classes,0),YEAR(current_date)='Example - Projections'!B582),"pass","fail"),"")</f>
        <v/>
      </c>
    </row>
    <row r="583" spans="1:12" x14ac:dyDescent="0.25">
      <c r="A583" s="64"/>
      <c r="B583" s="64"/>
      <c r="C583" s="65"/>
      <c r="D583" s="65"/>
      <c r="E583" s="65"/>
      <c r="F583" s="61"/>
      <c r="G583" s="61"/>
      <c r="H583" s="61"/>
      <c r="I583" s="61"/>
      <c r="J583" s="61"/>
      <c r="K583" s="3" t="str">
        <f t="shared" si="21"/>
        <v>fail</v>
      </c>
      <c r="L583" s="19" t="str">
        <f>IFERROR(IF(AND(MATCH(A583,Projection_classes,0),YEAR(current_date)='Example - Projections'!B583),"pass","fail"),"")</f>
        <v/>
      </c>
    </row>
    <row r="584" spans="1:12" x14ac:dyDescent="0.25">
      <c r="A584" s="64"/>
      <c r="B584" s="64"/>
      <c r="C584" s="65"/>
      <c r="D584" s="65"/>
      <c r="E584" s="65"/>
      <c r="F584" s="61"/>
      <c r="G584" s="61"/>
      <c r="H584" s="61"/>
      <c r="I584" s="61"/>
      <c r="J584" s="61"/>
      <c r="K584" s="3" t="str">
        <f t="shared" si="21"/>
        <v>fail</v>
      </c>
      <c r="L584" s="19" t="str">
        <f>IFERROR(IF(AND(MATCH(A584,Projection_classes,0),YEAR(current_date)='Example - Projections'!B584),"pass","fail"),"")</f>
        <v/>
      </c>
    </row>
    <row r="585" spans="1:12" x14ac:dyDescent="0.25">
      <c r="A585" s="64"/>
      <c r="B585" s="64"/>
      <c r="C585" s="65"/>
      <c r="D585" s="65"/>
      <c r="E585" s="65"/>
      <c r="F585" s="61"/>
      <c r="G585" s="61"/>
      <c r="H585" s="61"/>
      <c r="I585" s="61"/>
      <c r="J585" s="61"/>
      <c r="K585" s="3" t="str">
        <f t="shared" si="21"/>
        <v>fail</v>
      </c>
      <c r="L585" s="19" t="str">
        <f>IFERROR(IF(AND(MATCH(A585,Projection_classes,0),YEAR(current_date)='Example - Projections'!B585),"pass","fail"),"")</f>
        <v/>
      </c>
    </row>
    <row r="586" spans="1:12" x14ac:dyDescent="0.25">
      <c r="A586" s="64"/>
      <c r="B586" s="64"/>
      <c r="C586" s="65"/>
      <c r="D586" s="65"/>
      <c r="E586" s="65"/>
      <c r="F586" s="61"/>
      <c r="G586" s="61"/>
      <c r="H586" s="61"/>
      <c r="I586" s="61"/>
      <c r="J586" s="61"/>
      <c r="K586" s="3" t="str">
        <f t="shared" si="21"/>
        <v>fail</v>
      </c>
      <c r="L586" s="19" t="str">
        <f>IFERROR(IF(AND(MATCH(A586,Projection_classes,0),YEAR(current_date)='Example - Projections'!B586),"pass","fail"),"")</f>
        <v/>
      </c>
    </row>
    <row r="587" spans="1:12" x14ac:dyDescent="0.25">
      <c r="A587" s="64"/>
      <c r="B587" s="64"/>
      <c r="C587" s="65"/>
      <c r="D587" s="65"/>
      <c r="E587" s="65"/>
      <c r="F587" s="61"/>
      <c r="G587" s="61"/>
      <c r="H587" s="61"/>
      <c r="I587" s="61"/>
      <c r="J587" s="61"/>
      <c r="K587" s="3" t="str">
        <f t="shared" si="21"/>
        <v>fail</v>
      </c>
      <c r="L587" s="19" t="str">
        <f>IFERROR(IF(AND(MATCH(A587,Projection_classes,0),YEAR(current_date)='Example - Projections'!B587),"pass","fail"),"")</f>
        <v/>
      </c>
    </row>
    <row r="588" spans="1:12" x14ac:dyDescent="0.25">
      <c r="A588" s="64"/>
      <c r="B588" s="64"/>
      <c r="C588" s="65"/>
      <c r="D588" s="65"/>
      <c r="E588" s="65"/>
      <c r="F588" s="61"/>
      <c r="G588" s="61"/>
      <c r="H588" s="61"/>
      <c r="I588" s="61"/>
      <c r="J588" s="61"/>
      <c r="K588" s="3" t="str">
        <f t="shared" si="21"/>
        <v>fail</v>
      </c>
      <c r="L588" s="19" t="str">
        <f>IFERROR(IF(AND(MATCH(A588,Projection_classes,0),YEAR(current_date)='Example - Projections'!B588),"pass","fail"),"")</f>
        <v/>
      </c>
    </row>
    <row r="589" spans="1:12" x14ac:dyDescent="0.25">
      <c r="A589" s="64"/>
      <c r="B589" s="64"/>
      <c r="C589" s="65"/>
      <c r="D589" s="65"/>
      <c r="E589" s="65"/>
      <c r="F589" s="61"/>
      <c r="G589" s="61"/>
      <c r="H589" s="61"/>
      <c r="I589" s="61"/>
      <c r="J589" s="61"/>
      <c r="K589" s="3" t="str">
        <f t="shared" si="21"/>
        <v>fail</v>
      </c>
      <c r="L589" s="19" t="str">
        <f>IFERROR(IF(AND(MATCH(A589,Projection_classes,0),YEAR(current_date)='Example - Projections'!B589),"pass","fail"),"")</f>
        <v/>
      </c>
    </row>
    <row r="590" spans="1:12" x14ac:dyDescent="0.25">
      <c r="A590" s="64"/>
      <c r="B590" s="64"/>
      <c r="C590" s="65"/>
      <c r="D590" s="65"/>
      <c r="E590" s="65"/>
      <c r="F590" s="61"/>
      <c r="G590" s="61"/>
      <c r="H590" s="61"/>
      <c r="I590" s="61"/>
      <c r="J590" s="61"/>
      <c r="K590" s="3" t="str">
        <f t="shared" si="21"/>
        <v>fail</v>
      </c>
      <c r="L590" s="19" t="str">
        <f>IFERROR(IF(AND(MATCH(A590,Projection_classes,0),YEAR(current_date)='Example - Projections'!B590),"pass","fail"),"")</f>
        <v/>
      </c>
    </row>
    <row r="591" spans="1:12" x14ac:dyDescent="0.25">
      <c r="A591" s="64"/>
      <c r="B591" s="64"/>
      <c r="C591" s="65"/>
      <c r="D591" s="65"/>
      <c r="E591" s="65"/>
      <c r="F591" s="61"/>
      <c r="G591" s="61"/>
      <c r="H591" s="61"/>
      <c r="I591" s="61"/>
      <c r="J591" s="61"/>
      <c r="K591" s="3" t="str">
        <f t="shared" si="21"/>
        <v>fail</v>
      </c>
      <c r="L591" s="19" t="str">
        <f>IFERROR(IF(AND(MATCH(A591,Projection_classes,0),YEAR(current_date)='Example - Projections'!B591),"pass","fail"),"")</f>
        <v/>
      </c>
    </row>
    <row r="592" spans="1:12" x14ac:dyDescent="0.25">
      <c r="A592" s="64"/>
      <c r="B592" s="64"/>
      <c r="C592" s="65"/>
      <c r="D592" s="65"/>
      <c r="E592" s="65"/>
      <c r="F592" s="61"/>
      <c r="G592" s="61"/>
      <c r="H592" s="61"/>
      <c r="I592" s="61"/>
      <c r="J592" s="61"/>
      <c r="K592" s="3" t="str">
        <f t="shared" si="21"/>
        <v>fail</v>
      </c>
      <c r="L592" s="19" t="str">
        <f>IFERROR(IF(AND(MATCH(A592,Projection_classes,0),YEAR(current_date)='Example - Projections'!B592),"pass","fail"),"")</f>
        <v/>
      </c>
    </row>
    <row r="593" spans="1:12" x14ac:dyDescent="0.25">
      <c r="A593" s="64"/>
      <c r="B593" s="64"/>
      <c r="C593" s="65"/>
      <c r="D593" s="65"/>
      <c r="E593" s="65"/>
      <c r="F593" s="61"/>
      <c r="G593" s="61"/>
      <c r="H593" s="61"/>
      <c r="I593" s="61"/>
      <c r="J593" s="61"/>
      <c r="K593" s="3" t="str">
        <f t="shared" si="21"/>
        <v>fail</v>
      </c>
      <c r="L593" s="19" t="str">
        <f>IFERROR(IF(AND(MATCH(A593,Projection_classes,0),YEAR(current_date)='Example - Projections'!B593),"pass","fail"),"")</f>
        <v/>
      </c>
    </row>
    <row r="594" spans="1:12" x14ac:dyDescent="0.25">
      <c r="A594" s="64"/>
      <c r="B594" s="64"/>
      <c r="C594" s="65"/>
      <c r="D594" s="65"/>
      <c r="E594" s="65"/>
      <c r="F594" s="61"/>
      <c r="G594" s="61"/>
      <c r="H594" s="61"/>
      <c r="I594" s="61"/>
      <c r="J594" s="61"/>
      <c r="K594" s="3" t="str">
        <f t="shared" si="21"/>
        <v>fail</v>
      </c>
      <c r="L594" s="19" t="str">
        <f>IFERROR(IF(AND(MATCH(A594,Projection_classes,0),YEAR(current_date)='Example - Projections'!B594),"pass","fail"),"")</f>
        <v/>
      </c>
    </row>
    <row r="595" spans="1:12" x14ac:dyDescent="0.25">
      <c r="A595" s="64"/>
      <c r="B595" s="64"/>
      <c r="C595" s="65"/>
      <c r="D595" s="65"/>
      <c r="E595" s="65"/>
      <c r="F595" s="61"/>
      <c r="G595" s="61"/>
      <c r="H595" s="61"/>
      <c r="I595" s="61"/>
      <c r="J595" s="61"/>
      <c r="K595" s="3" t="str">
        <f t="shared" si="21"/>
        <v>fail</v>
      </c>
      <c r="L595" s="19" t="str">
        <f>IFERROR(IF(AND(MATCH(A595,Projection_classes,0),YEAR(current_date)='Example - Projections'!B595),"pass","fail"),"")</f>
        <v/>
      </c>
    </row>
    <row r="596" spans="1:12" x14ac:dyDescent="0.25">
      <c r="A596" s="64"/>
      <c r="B596" s="64"/>
      <c r="C596" s="65"/>
      <c r="D596" s="65"/>
      <c r="E596" s="65"/>
      <c r="F596" s="61"/>
      <c r="G596" s="61"/>
      <c r="H596" s="61"/>
      <c r="I596" s="61"/>
      <c r="J596" s="61"/>
      <c r="K596" s="3" t="str">
        <f t="shared" si="21"/>
        <v>fail</v>
      </c>
      <c r="L596" s="19" t="str">
        <f>IFERROR(IF(AND(MATCH(A596,Projection_classes,0),YEAR(current_date)='Example - Projections'!B596),"pass","fail"),"")</f>
        <v/>
      </c>
    </row>
    <row r="597" spans="1:12" x14ac:dyDescent="0.25">
      <c r="A597" s="64"/>
      <c r="B597" s="64"/>
      <c r="C597" s="65"/>
      <c r="D597" s="65"/>
      <c r="E597" s="65"/>
      <c r="F597" s="61"/>
      <c r="G597" s="61"/>
      <c r="H597" s="61"/>
      <c r="I597" s="61"/>
      <c r="J597" s="61"/>
      <c r="K597" s="3" t="str">
        <f t="shared" si="21"/>
        <v>fail</v>
      </c>
      <c r="L597" s="19" t="str">
        <f>IFERROR(IF(AND(MATCH(A597,Projection_classes,0),YEAR(current_date)='Example - Projections'!B597),"pass","fail"),"")</f>
        <v/>
      </c>
    </row>
    <row r="598" spans="1:12" x14ac:dyDescent="0.25">
      <c r="A598" s="64"/>
      <c r="B598" s="64"/>
      <c r="C598" s="65"/>
      <c r="D598" s="65"/>
      <c r="E598" s="65"/>
      <c r="F598" s="61"/>
      <c r="G598" s="61"/>
      <c r="H598" s="61"/>
      <c r="I598" s="61"/>
      <c r="J598" s="61"/>
      <c r="K598" s="3" t="str">
        <f t="shared" si="21"/>
        <v>fail</v>
      </c>
      <c r="L598" s="19" t="str">
        <f>IFERROR(IF(AND(MATCH(A598,Projection_classes,0),YEAR(current_date)='Example - Projections'!B598),"pass","fail"),"")</f>
        <v/>
      </c>
    </row>
    <row r="599" spans="1:12" x14ac:dyDescent="0.25">
      <c r="A599" s="64"/>
      <c r="B599" s="64"/>
      <c r="C599" s="65"/>
      <c r="D599" s="65"/>
      <c r="E599" s="65"/>
      <c r="F599" s="61"/>
      <c r="G599" s="61"/>
      <c r="H599" s="61"/>
      <c r="I599" s="61"/>
      <c r="J599" s="61"/>
      <c r="K599" s="3" t="str">
        <f t="shared" si="21"/>
        <v>fail</v>
      </c>
      <c r="L599" s="19" t="str">
        <f>IFERROR(IF(AND(MATCH(A599,Projection_classes,0),YEAR(current_date)='Example - Projections'!B599),"pass","fail"),"")</f>
        <v/>
      </c>
    </row>
    <row r="600" spans="1:12" x14ac:dyDescent="0.25">
      <c r="A600" s="64"/>
      <c r="B600" s="64"/>
      <c r="C600" s="65"/>
      <c r="D600" s="65"/>
      <c r="E600" s="65"/>
      <c r="F600" s="61"/>
      <c r="G600" s="61"/>
      <c r="H600" s="61"/>
      <c r="I600" s="61"/>
      <c r="J600" s="61"/>
      <c r="K600" s="3" t="str">
        <f t="shared" si="21"/>
        <v>fail</v>
      </c>
      <c r="L600" s="19" t="str">
        <f>IFERROR(IF(AND(MATCH(A600,Projection_classes,0),YEAR(current_date)='Example - Projections'!B600),"pass","fail"),"")</f>
        <v/>
      </c>
    </row>
    <row r="601" spans="1:12" x14ac:dyDescent="0.25">
      <c r="A601" s="64"/>
      <c r="B601" s="64"/>
      <c r="C601" s="65"/>
      <c r="D601" s="65"/>
      <c r="E601" s="65"/>
      <c r="F601" s="61"/>
      <c r="G601" s="61"/>
      <c r="H601" s="61"/>
      <c r="I601" s="61"/>
      <c r="J601" s="61"/>
      <c r="K601" s="3" t="str">
        <f t="shared" si="21"/>
        <v>fail</v>
      </c>
      <c r="L601" s="19" t="str">
        <f>IFERROR(IF(AND(MATCH(A601,Projection_classes,0),YEAR(current_date)='Example - Projections'!B601),"pass","fail"),"")</f>
        <v/>
      </c>
    </row>
    <row r="602" spans="1:12" x14ac:dyDescent="0.25">
      <c r="A602" s="64"/>
      <c r="B602" s="64"/>
      <c r="C602" s="65"/>
      <c r="D602" s="65"/>
      <c r="E602" s="65"/>
      <c r="F602" s="61"/>
      <c r="G602" s="61"/>
      <c r="H602" s="61"/>
      <c r="I602" s="61"/>
      <c r="J602" s="61"/>
      <c r="K602" s="3" t="str">
        <f t="shared" si="21"/>
        <v>fail</v>
      </c>
      <c r="L602" s="19" t="str">
        <f>IFERROR(IF(AND(MATCH(A602,Projection_classes,0),YEAR(current_date)='Example - Projections'!B602),"pass","fail"),"")</f>
        <v/>
      </c>
    </row>
    <row r="603" spans="1:12" x14ac:dyDescent="0.25">
      <c r="A603" s="64"/>
      <c r="B603" s="64"/>
      <c r="C603" s="65"/>
      <c r="D603" s="65"/>
      <c r="E603" s="65"/>
      <c r="F603" s="61"/>
      <c r="G603" s="61"/>
      <c r="H603" s="61"/>
      <c r="I603" s="61"/>
      <c r="J603" s="61"/>
      <c r="K603" s="3" t="str">
        <f t="shared" si="21"/>
        <v>fail</v>
      </c>
      <c r="L603" s="19" t="str">
        <f>IFERROR(IF(AND(MATCH(A603,Projection_classes,0),YEAR(current_date)='Example - Projections'!B603),"pass","fail"),"")</f>
        <v/>
      </c>
    </row>
    <row r="604" spans="1:12" x14ac:dyDescent="0.25">
      <c r="A604" s="64"/>
      <c r="B604" s="64"/>
      <c r="C604" s="65"/>
      <c r="D604" s="65"/>
      <c r="E604" s="65"/>
      <c r="F604" s="61"/>
      <c r="G604" s="61"/>
      <c r="H604" s="61"/>
      <c r="I604" s="61"/>
      <c r="J604" s="61"/>
      <c r="K604" s="3" t="str">
        <f t="shared" si="21"/>
        <v>fail</v>
      </c>
      <c r="L604" s="19" t="str">
        <f>IFERROR(IF(AND(MATCH(A604,Projection_classes,0),YEAR(current_date)='Example - Projections'!B604),"pass","fail"),"")</f>
        <v/>
      </c>
    </row>
    <row r="605" spans="1:12" x14ac:dyDescent="0.25">
      <c r="A605" s="64"/>
      <c r="B605" s="64"/>
      <c r="C605" s="65"/>
      <c r="D605" s="65"/>
      <c r="E605" s="65"/>
      <c r="F605" s="61"/>
      <c r="G605" s="61"/>
      <c r="H605" s="61"/>
      <c r="I605" s="61"/>
      <c r="J605" s="61"/>
      <c r="K605" s="3" t="str">
        <f t="shared" si="21"/>
        <v>fail</v>
      </c>
      <c r="L605" s="19" t="str">
        <f>IFERROR(IF(AND(MATCH(A605,Projection_classes,0),YEAR(current_date)='Example - Projections'!B605),"pass","fail"),"")</f>
        <v/>
      </c>
    </row>
    <row r="606" spans="1:12" x14ac:dyDescent="0.25">
      <c r="A606" s="64"/>
      <c r="B606" s="64"/>
      <c r="C606" s="65"/>
      <c r="D606" s="65"/>
      <c r="E606" s="65"/>
      <c r="F606" s="61"/>
      <c r="G606" s="61"/>
      <c r="H606" s="61"/>
      <c r="I606" s="61"/>
      <c r="J606" s="61"/>
      <c r="K606" s="3" t="str">
        <f t="shared" si="21"/>
        <v>fail</v>
      </c>
      <c r="L606" s="19" t="str">
        <f>IFERROR(IF(AND(MATCH(A606,Projection_classes,0),YEAR(current_date)='Example - Projections'!B606),"pass","fail"),"")</f>
        <v/>
      </c>
    </row>
    <row r="607" spans="1:12" x14ac:dyDescent="0.25">
      <c r="A607" s="64"/>
      <c r="B607" s="64"/>
      <c r="C607" s="65"/>
      <c r="D607" s="65"/>
      <c r="E607" s="65"/>
      <c r="F607" s="61"/>
      <c r="G607" s="61"/>
      <c r="H607" s="61"/>
      <c r="I607" s="61"/>
      <c r="J607" s="61"/>
      <c r="K607" s="3" t="str">
        <f t="shared" si="21"/>
        <v>fail</v>
      </c>
      <c r="L607" s="19" t="str">
        <f>IFERROR(IF(AND(MATCH(A607,Projection_classes,0),YEAR(current_date)='Example - Projections'!B607),"pass","fail"),"")</f>
        <v/>
      </c>
    </row>
    <row r="608" spans="1:12" x14ac:dyDescent="0.25">
      <c r="A608" s="64"/>
      <c r="B608" s="64"/>
      <c r="C608" s="65"/>
      <c r="D608" s="65"/>
      <c r="E608" s="65"/>
      <c r="F608" s="61"/>
      <c r="G608" s="61"/>
      <c r="H608" s="61"/>
      <c r="I608" s="61"/>
      <c r="J608" s="61"/>
      <c r="K608" s="3" t="str">
        <f t="shared" si="21"/>
        <v>fail</v>
      </c>
      <c r="L608" s="19" t="str">
        <f>IFERROR(IF(AND(MATCH(A608,Projection_classes,0),YEAR(current_date)='Example - Projections'!B608),"pass","fail"),"")</f>
        <v/>
      </c>
    </row>
    <row r="609" spans="1:12" x14ac:dyDescent="0.25">
      <c r="A609" s="64"/>
      <c r="B609" s="64"/>
      <c r="C609" s="65"/>
      <c r="D609" s="65"/>
      <c r="E609" s="65"/>
      <c r="F609" s="61"/>
      <c r="G609" s="61"/>
      <c r="H609" s="61"/>
      <c r="I609" s="61"/>
      <c r="J609" s="61"/>
      <c r="K609" s="3" t="str">
        <f t="shared" si="21"/>
        <v>fail</v>
      </c>
      <c r="L609" s="19" t="str">
        <f>IFERROR(IF(AND(MATCH(A609,Projection_classes,0),YEAR(current_date)='Example - Projections'!B609),"pass","fail"),"")</f>
        <v/>
      </c>
    </row>
    <row r="610" spans="1:12" x14ac:dyDescent="0.25">
      <c r="A610" s="64"/>
      <c r="B610" s="64"/>
      <c r="C610" s="65"/>
      <c r="D610" s="65"/>
      <c r="E610" s="65"/>
      <c r="F610" s="61"/>
      <c r="G610" s="61"/>
      <c r="H610" s="61"/>
      <c r="I610" s="61"/>
      <c r="J610" s="61"/>
      <c r="K610" s="3" t="str">
        <f t="shared" si="21"/>
        <v>fail</v>
      </c>
      <c r="L610" s="19" t="str">
        <f>IFERROR(IF(AND(MATCH(A610,Projection_classes,0),YEAR(current_date)='Example - Projections'!B610),"pass","fail"),"")</f>
        <v/>
      </c>
    </row>
    <row r="611" spans="1:12" x14ac:dyDescent="0.25">
      <c r="A611" s="64"/>
      <c r="B611" s="64"/>
      <c r="C611" s="65"/>
      <c r="D611" s="65"/>
      <c r="E611" s="65"/>
      <c r="F611" s="61"/>
      <c r="G611" s="61"/>
      <c r="H611" s="61"/>
      <c r="I611" s="61"/>
      <c r="J611" s="61"/>
      <c r="K611" s="3" t="str">
        <f t="shared" si="21"/>
        <v>fail</v>
      </c>
      <c r="L611" s="19" t="str">
        <f>IFERROR(IF(AND(MATCH(A611,Projection_classes,0),YEAR(current_date)='Example - Projections'!B611),"pass","fail"),"")</f>
        <v/>
      </c>
    </row>
    <row r="612" spans="1:12" x14ac:dyDescent="0.25">
      <c r="A612" s="64"/>
      <c r="B612" s="64"/>
      <c r="C612" s="65"/>
      <c r="D612" s="65"/>
      <c r="E612" s="65"/>
      <c r="F612" s="61"/>
      <c r="G612" s="61"/>
      <c r="H612" s="61"/>
      <c r="I612" s="61"/>
      <c r="J612" s="61"/>
      <c r="K612" s="3" t="str">
        <f t="shared" si="21"/>
        <v>fail</v>
      </c>
      <c r="L612" s="19" t="str">
        <f>IFERROR(IF(AND(MATCH(A612,Projection_classes,0),YEAR(current_date)='Example - Projections'!B612),"pass","fail"),"")</f>
        <v/>
      </c>
    </row>
    <row r="613" spans="1:12" x14ac:dyDescent="0.25">
      <c r="A613" s="64"/>
      <c r="B613" s="64"/>
      <c r="C613" s="65"/>
      <c r="D613" s="65"/>
      <c r="E613" s="65"/>
      <c r="F613" s="61"/>
      <c r="G613" s="61"/>
      <c r="H613" s="61"/>
      <c r="I613" s="61"/>
      <c r="J613" s="61"/>
      <c r="K613" s="3" t="str">
        <f t="shared" si="21"/>
        <v>fail</v>
      </c>
      <c r="L613" s="19" t="str">
        <f>IFERROR(IF(AND(MATCH(A613,Projection_classes,0),YEAR(current_date)='Example - Projections'!B613),"pass","fail"),"")</f>
        <v/>
      </c>
    </row>
    <row r="614" spans="1:12" x14ac:dyDescent="0.25">
      <c r="A614" s="64"/>
      <c r="B614" s="64"/>
      <c r="C614" s="65"/>
      <c r="D614" s="65"/>
      <c r="E614" s="65"/>
      <c r="F614" s="61"/>
      <c r="G614" s="61"/>
      <c r="H614" s="61"/>
      <c r="I614" s="61"/>
      <c r="J614" s="61"/>
      <c r="K614" s="3" t="str">
        <f t="shared" si="21"/>
        <v>fail</v>
      </c>
      <c r="L614" s="19" t="str">
        <f>IFERROR(IF(AND(MATCH(A614,Projection_classes,0),YEAR(current_date)='Example - Projections'!B614),"pass","fail"),"")</f>
        <v/>
      </c>
    </row>
    <row r="615" spans="1:12" x14ac:dyDescent="0.25">
      <c r="A615" s="64"/>
      <c r="B615" s="64"/>
      <c r="C615" s="65"/>
      <c r="D615" s="65"/>
      <c r="E615" s="65"/>
      <c r="F615" s="61"/>
      <c r="G615" s="61"/>
      <c r="H615" s="61"/>
      <c r="I615" s="61"/>
      <c r="J615" s="61"/>
      <c r="K615" s="3" t="str">
        <f t="shared" si="21"/>
        <v>fail</v>
      </c>
      <c r="L615" s="19" t="str">
        <f>IFERROR(IF(AND(MATCH(A615,Projection_classes,0),YEAR(current_date)='Example - Projections'!B615),"pass","fail"),"")</f>
        <v/>
      </c>
    </row>
    <row r="616" spans="1:12" x14ac:dyDescent="0.25">
      <c r="A616" s="64"/>
      <c r="B616" s="64"/>
      <c r="C616" s="65"/>
      <c r="D616" s="65"/>
      <c r="E616" s="65"/>
      <c r="F616" s="61"/>
      <c r="G616" s="61"/>
      <c r="H616" s="61"/>
      <c r="I616" s="61"/>
      <c r="J616" s="61"/>
      <c r="K616" s="3" t="str">
        <f t="shared" si="21"/>
        <v>fail</v>
      </c>
      <c r="L616" s="19" t="str">
        <f>IFERROR(IF(AND(MATCH(A616,Projection_classes,0),YEAR(current_date)='Example - Projections'!B616),"pass","fail"),"")</f>
        <v/>
      </c>
    </row>
    <row r="617" spans="1:12" x14ac:dyDescent="0.25">
      <c r="A617" s="64"/>
      <c r="B617" s="64"/>
      <c r="C617" s="65"/>
      <c r="D617" s="65"/>
      <c r="E617" s="65"/>
      <c r="F617" s="61"/>
      <c r="G617" s="61"/>
      <c r="H617" s="61"/>
      <c r="I617" s="61"/>
      <c r="J617" s="61"/>
      <c r="K617" s="3" t="str">
        <f t="shared" si="21"/>
        <v>fail</v>
      </c>
      <c r="L617" s="19" t="str">
        <f>IFERROR(IF(AND(MATCH(A617,Projection_classes,0),YEAR(current_date)='Example - Projections'!B617),"pass","fail"),"")</f>
        <v/>
      </c>
    </row>
    <row r="618" spans="1:12" x14ac:dyDescent="0.25">
      <c r="A618" s="64"/>
      <c r="B618" s="64"/>
      <c r="C618" s="65"/>
      <c r="D618" s="65"/>
      <c r="E618" s="65"/>
      <c r="F618" s="61"/>
      <c r="G618" s="61"/>
      <c r="H618" s="61"/>
      <c r="I618" s="61"/>
      <c r="J618" s="61"/>
      <c r="K618" s="3" t="str">
        <f t="shared" si="21"/>
        <v>fail</v>
      </c>
      <c r="L618" s="19" t="str">
        <f>IFERROR(IF(AND(MATCH(A618,Projection_classes,0),YEAR(current_date)='Example - Projections'!B618),"pass","fail"),"")</f>
        <v/>
      </c>
    </row>
    <row r="619" spans="1:12" x14ac:dyDescent="0.25">
      <c r="A619" s="64"/>
      <c r="B619" s="64"/>
      <c r="C619" s="65"/>
      <c r="D619" s="65"/>
      <c r="E619" s="65"/>
      <c r="F619" s="61"/>
      <c r="G619" s="61"/>
      <c r="H619" s="61"/>
      <c r="I619" s="61"/>
      <c r="J619" s="61"/>
      <c r="K619" s="3" t="str">
        <f t="shared" si="21"/>
        <v>fail</v>
      </c>
      <c r="L619" s="19" t="str">
        <f>IFERROR(IF(AND(MATCH(A619,Projection_classes,0),YEAR(current_date)='Example - Projections'!B619),"pass","fail"),"")</f>
        <v/>
      </c>
    </row>
    <row r="620" spans="1:12" x14ac:dyDescent="0.25">
      <c r="A620" s="64"/>
      <c r="B620" s="64"/>
      <c r="C620" s="65"/>
      <c r="D620" s="65"/>
      <c r="E620" s="65"/>
      <c r="F620" s="61"/>
      <c r="G620" s="61"/>
      <c r="H620" s="61"/>
      <c r="I620" s="61"/>
      <c r="J620" s="61"/>
      <c r="K620" s="3" t="str">
        <f t="shared" si="21"/>
        <v>fail</v>
      </c>
      <c r="L620" s="19" t="str">
        <f>IFERROR(IF(AND(MATCH(A620,Projection_classes,0),YEAR(current_date)='Example - Projections'!B620),"pass","fail"),"")</f>
        <v/>
      </c>
    </row>
    <row r="621" spans="1:12" x14ac:dyDescent="0.25">
      <c r="A621" s="64"/>
      <c r="B621" s="64"/>
      <c r="C621" s="65"/>
      <c r="D621" s="65"/>
      <c r="E621" s="65"/>
      <c r="F621" s="61"/>
      <c r="G621" s="61"/>
      <c r="H621" s="61"/>
      <c r="I621" s="61"/>
      <c r="J621" s="61"/>
      <c r="K621" s="3" t="str">
        <f t="shared" si="21"/>
        <v>fail</v>
      </c>
      <c r="L621" s="19" t="str">
        <f>IFERROR(IF(AND(MATCH(A621,Projection_classes,0),YEAR(current_date)='Example - Projections'!B621),"pass","fail"),"")</f>
        <v/>
      </c>
    </row>
    <row r="622" spans="1:12" x14ac:dyDescent="0.25">
      <c r="A622" s="64"/>
      <c r="B622" s="64"/>
      <c r="C622" s="65"/>
      <c r="D622" s="65"/>
      <c r="E622" s="65"/>
      <c r="F622" s="61"/>
      <c r="G622" s="61"/>
      <c r="H622" s="61"/>
      <c r="I622" s="61"/>
      <c r="J622" s="61"/>
      <c r="K622" s="3" t="str">
        <f t="shared" si="21"/>
        <v>fail</v>
      </c>
      <c r="L622" s="19" t="str">
        <f>IFERROR(IF(AND(MATCH(A622,Projection_classes,0),YEAR(current_date)='Example - Projections'!B622),"pass","fail"),"")</f>
        <v/>
      </c>
    </row>
    <row r="623" spans="1:12" x14ac:dyDescent="0.25">
      <c r="A623" s="64"/>
      <c r="B623" s="64"/>
      <c r="C623" s="65"/>
      <c r="D623" s="65"/>
      <c r="E623" s="65"/>
      <c r="F623" s="61"/>
      <c r="G623" s="61"/>
      <c r="H623" s="61"/>
      <c r="I623" s="61"/>
      <c r="J623" s="61"/>
      <c r="K623" s="3" t="str">
        <f t="shared" si="21"/>
        <v>fail</v>
      </c>
      <c r="L623" s="19" t="str">
        <f>IFERROR(IF(AND(MATCH(A623,Projection_classes,0),YEAR(current_date)='Example - Projections'!B623),"pass","fail"),"")</f>
        <v/>
      </c>
    </row>
    <row r="624" spans="1:12" x14ac:dyDescent="0.25">
      <c r="A624" s="64"/>
      <c r="B624" s="64"/>
      <c r="C624" s="65"/>
      <c r="D624" s="65"/>
      <c r="E624" s="65"/>
      <c r="F624" s="61"/>
      <c r="G624" s="61"/>
      <c r="H624" s="61"/>
      <c r="I624" s="61"/>
      <c r="J624" s="61"/>
      <c r="K624" s="3" t="str">
        <f t="shared" si="21"/>
        <v>fail</v>
      </c>
      <c r="L624" s="19" t="str">
        <f>IFERROR(IF(AND(MATCH(A624,Projection_classes,0),YEAR(current_date)='Example - Projections'!B624),"pass","fail"),"")</f>
        <v/>
      </c>
    </row>
    <row r="625" spans="1:12" x14ac:dyDescent="0.25">
      <c r="A625" s="64"/>
      <c r="B625" s="64"/>
      <c r="C625" s="65"/>
      <c r="D625" s="65"/>
      <c r="E625" s="65"/>
      <c r="F625" s="61"/>
      <c r="G625" s="61"/>
      <c r="H625" s="61"/>
      <c r="I625" s="61"/>
      <c r="J625" s="61"/>
      <c r="K625" s="3" t="str">
        <f t="shared" si="21"/>
        <v>fail</v>
      </c>
      <c r="L625" s="19" t="str">
        <f>IFERROR(IF(AND(MATCH(A625,Projection_classes,0),YEAR(current_date)='Example - Projections'!B625),"pass","fail"),"")</f>
        <v/>
      </c>
    </row>
    <row r="626" spans="1:12" x14ac:dyDescent="0.25">
      <c r="A626" s="64"/>
      <c r="B626" s="64"/>
      <c r="C626" s="65"/>
      <c r="D626" s="65"/>
      <c r="E626" s="65"/>
      <c r="F626" s="61"/>
      <c r="G626" s="61"/>
      <c r="H626" s="61"/>
      <c r="I626" s="61"/>
      <c r="J626" s="61"/>
      <c r="K626" s="3" t="str">
        <f t="shared" si="21"/>
        <v>fail</v>
      </c>
      <c r="L626" s="19" t="str">
        <f>IFERROR(IF(AND(MATCH(A626,Projection_classes,0),YEAR(current_date)='Example - Projections'!B626),"pass","fail"),"")</f>
        <v/>
      </c>
    </row>
    <row r="627" spans="1:12" x14ac:dyDescent="0.25">
      <c r="A627" s="64"/>
      <c r="B627" s="64"/>
      <c r="C627" s="65"/>
      <c r="D627" s="65"/>
      <c r="E627" s="65"/>
      <c r="F627" s="61"/>
      <c r="G627" s="61"/>
      <c r="H627" s="61"/>
      <c r="I627" s="61"/>
      <c r="J627" s="61"/>
      <c r="K627" s="3" t="str">
        <f t="shared" si="21"/>
        <v>fail</v>
      </c>
      <c r="L627" s="19" t="str">
        <f>IFERROR(IF(AND(MATCH(A627,Projection_classes,0),YEAR(current_date)='Example - Projections'!B627),"pass","fail"),"")</f>
        <v/>
      </c>
    </row>
    <row r="628" spans="1:12" x14ac:dyDescent="0.25">
      <c r="A628" s="64"/>
      <c r="B628" s="64"/>
      <c r="C628" s="65"/>
      <c r="D628" s="65"/>
      <c r="E628" s="65"/>
      <c r="F628" s="61"/>
      <c r="G628" s="61"/>
      <c r="H628" s="61"/>
      <c r="I628" s="61"/>
      <c r="J628" s="61"/>
      <c r="K628" s="3" t="str">
        <f t="shared" si="21"/>
        <v>fail</v>
      </c>
      <c r="L628" s="19" t="str">
        <f>IFERROR(IF(AND(MATCH(A628,Projection_classes,0),YEAR(current_date)='Example - Projections'!B628),"pass","fail"),"")</f>
        <v/>
      </c>
    </row>
    <row r="629" spans="1:12" x14ac:dyDescent="0.25">
      <c r="A629" s="64"/>
      <c r="B629" s="64"/>
      <c r="C629" s="65"/>
      <c r="D629" s="65"/>
      <c r="E629" s="65"/>
      <c r="F629" s="61"/>
      <c r="G629" s="61"/>
      <c r="H629" s="61"/>
      <c r="I629" s="61"/>
      <c r="J629" s="61"/>
      <c r="K629" s="3" t="str">
        <f t="shared" si="21"/>
        <v>fail</v>
      </c>
      <c r="L629" s="19" t="str">
        <f>IFERROR(IF(AND(MATCH(A629,Projection_classes,0),YEAR(current_date)='Example - Projections'!B629),"pass","fail"),"")</f>
        <v/>
      </c>
    </row>
    <row r="630" spans="1:12" x14ac:dyDescent="0.25">
      <c r="A630" s="64"/>
      <c r="B630" s="64"/>
      <c r="C630" s="65"/>
      <c r="D630" s="65"/>
      <c r="E630" s="65"/>
      <c r="F630" s="61"/>
      <c r="G630" s="61"/>
      <c r="H630" s="61"/>
      <c r="I630" s="61"/>
      <c r="J630" s="61"/>
      <c r="K630" s="3" t="str">
        <f t="shared" si="21"/>
        <v>fail</v>
      </c>
      <c r="L630" s="19" t="str">
        <f>IFERROR(IF(AND(MATCH(A630,Projection_classes,0),YEAR(current_date)='Example - Projections'!B630),"pass","fail"),"")</f>
        <v/>
      </c>
    </row>
    <row r="631" spans="1:12" x14ac:dyDescent="0.25">
      <c r="A631" s="64"/>
      <c r="B631" s="64"/>
      <c r="C631" s="65"/>
      <c r="D631" s="65"/>
      <c r="E631" s="65"/>
      <c r="F631" s="61"/>
      <c r="G631" s="61"/>
      <c r="H631" s="61"/>
      <c r="I631" s="61"/>
      <c r="J631" s="61"/>
      <c r="K631" s="3" t="str">
        <f t="shared" si="21"/>
        <v>fail</v>
      </c>
      <c r="L631" s="19" t="str">
        <f>IFERROR(IF(AND(MATCH(A631,Projection_classes,0),YEAR(current_date)='Example - Projections'!B631),"pass","fail"),"")</f>
        <v/>
      </c>
    </row>
    <row r="632" spans="1:12" x14ac:dyDescent="0.25">
      <c r="A632" s="64"/>
      <c r="B632" s="64"/>
      <c r="C632" s="65"/>
      <c r="D632" s="65"/>
      <c r="E632" s="65"/>
      <c r="F632" s="61"/>
      <c r="G632" s="61"/>
      <c r="H632" s="61"/>
      <c r="I632" s="61"/>
      <c r="J632" s="61"/>
      <c r="K632" s="3" t="str">
        <f t="shared" si="21"/>
        <v>fail</v>
      </c>
      <c r="L632" s="19" t="str">
        <f>IFERROR(IF(AND(MATCH(A632,Projection_classes,0),YEAR(current_date)='Example - Projections'!B632),"pass","fail"),"")</f>
        <v/>
      </c>
    </row>
    <row r="633" spans="1:12" x14ac:dyDescent="0.25">
      <c r="A633" s="64"/>
      <c r="B633" s="64"/>
      <c r="C633" s="65"/>
      <c r="D633" s="65"/>
      <c r="E633" s="65"/>
      <c r="F633" s="61"/>
      <c r="G633" s="61"/>
      <c r="H633" s="61"/>
      <c r="I633" s="61"/>
      <c r="J633" s="61"/>
      <c r="K633" s="3" t="str">
        <f t="shared" si="21"/>
        <v>fail</v>
      </c>
      <c r="L633" s="19" t="str">
        <f>IFERROR(IF(AND(MATCH(A633,Projection_classes,0),YEAR(current_date)='Example - Projections'!B633),"pass","fail"),"")</f>
        <v/>
      </c>
    </row>
    <row r="634" spans="1:12" x14ac:dyDescent="0.25">
      <c r="A634" s="64"/>
      <c r="B634" s="64"/>
      <c r="C634" s="65"/>
      <c r="D634" s="65"/>
      <c r="E634" s="65"/>
      <c r="F634" s="61"/>
      <c r="G634" s="61"/>
      <c r="H634" s="61"/>
      <c r="I634" s="61"/>
      <c r="J634" s="61"/>
      <c r="K634" s="3" t="str">
        <f t="shared" si="21"/>
        <v>fail</v>
      </c>
      <c r="L634" s="19" t="str">
        <f>IFERROR(IF(AND(MATCH(A634,Projection_classes,0),YEAR(current_date)='Example - Projections'!B634),"pass","fail"),"")</f>
        <v/>
      </c>
    </row>
    <row r="635" spans="1:12" x14ac:dyDescent="0.25">
      <c r="A635" s="64"/>
      <c r="B635" s="64"/>
      <c r="C635" s="65"/>
      <c r="D635" s="65"/>
      <c r="E635" s="65"/>
      <c r="F635" s="61"/>
      <c r="G635" s="61"/>
      <c r="H635" s="61"/>
      <c r="I635" s="61"/>
      <c r="J635" s="61"/>
      <c r="K635" s="3" t="str">
        <f t="shared" si="21"/>
        <v>fail</v>
      </c>
      <c r="L635" s="19" t="str">
        <f>IFERROR(IF(AND(MATCH(A635,Projection_classes,0),YEAR(current_date)='Example - Projections'!B635),"pass","fail"),"")</f>
        <v/>
      </c>
    </row>
    <row r="636" spans="1:12" x14ac:dyDescent="0.25">
      <c r="A636" s="64"/>
      <c r="B636" s="64"/>
      <c r="C636" s="65"/>
      <c r="D636" s="65"/>
      <c r="E636" s="65"/>
      <c r="F636" s="61"/>
      <c r="G636" s="61"/>
      <c r="H636" s="61"/>
      <c r="I636" s="61"/>
      <c r="J636" s="61"/>
      <c r="K636" s="3" t="str">
        <f t="shared" si="21"/>
        <v>fail</v>
      </c>
      <c r="L636" s="19" t="str">
        <f>IFERROR(IF(AND(MATCH(A636,Projection_classes,0),YEAR(current_date)='Example - Projections'!B636),"pass","fail"),"")</f>
        <v/>
      </c>
    </row>
    <row r="637" spans="1:12" x14ac:dyDescent="0.25">
      <c r="A637" s="64"/>
      <c r="B637" s="64"/>
      <c r="C637" s="65"/>
      <c r="D637" s="65"/>
      <c r="E637" s="65"/>
      <c r="F637" s="61"/>
      <c r="G637" s="61"/>
      <c r="H637" s="61"/>
      <c r="I637" s="61"/>
      <c r="J637" s="61"/>
      <c r="K637" s="3" t="str">
        <f t="shared" si="21"/>
        <v>fail</v>
      </c>
      <c r="L637" s="19" t="str">
        <f>IFERROR(IF(AND(MATCH(A637,Projection_classes,0),YEAR(current_date)='Example - Projections'!B637),"pass","fail"),"")</f>
        <v/>
      </c>
    </row>
    <row r="638" spans="1:12" x14ac:dyDescent="0.25">
      <c r="A638" s="64"/>
      <c r="B638" s="64"/>
      <c r="C638" s="65"/>
      <c r="D638" s="65"/>
      <c r="E638" s="65"/>
      <c r="F638" s="61"/>
      <c r="G638" s="61"/>
      <c r="H638" s="61"/>
      <c r="I638" s="61"/>
      <c r="J638" s="61"/>
      <c r="K638" s="3" t="str">
        <f t="shared" si="21"/>
        <v>fail</v>
      </c>
      <c r="L638" s="19" t="str">
        <f>IFERROR(IF(AND(MATCH(A638,Projection_classes,0),YEAR(current_date)='Example - Projections'!B638),"pass","fail"),"")</f>
        <v/>
      </c>
    </row>
    <row r="639" spans="1:12" x14ac:dyDescent="0.25">
      <c r="A639" s="64"/>
      <c r="B639" s="64"/>
      <c r="C639" s="65"/>
      <c r="D639" s="65"/>
      <c r="E639" s="65"/>
      <c r="F639" s="61"/>
      <c r="G639" s="61"/>
      <c r="H639" s="61"/>
      <c r="I639" s="61"/>
      <c r="J639" s="61"/>
      <c r="K639" s="3" t="str">
        <f t="shared" si="21"/>
        <v>fail</v>
      </c>
      <c r="L639" s="19" t="str">
        <f>IFERROR(IF(AND(MATCH(A639,Projection_classes,0),YEAR(current_date)='Example - Projections'!B639),"pass","fail"),"")</f>
        <v/>
      </c>
    </row>
    <row r="640" spans="1:12" x14ac:dyDescent="0.25">
      <c r="A640" s="64"/>
      <c r="B640" s="64"/>
      <c r="C640" s="65"/>
      <c r="D640" s="65"/>
      <c r="E640" s="65"/>
      <c r="F640" s="61"/>
      <c r="G640" s="61"/>
      <c r="H640" s="61"/>
      <c r="I640" s="61"/>
      <c r="J640" s="61"/>
      <c r="K640" s="3" t="str">
        <f t="shared" si="21"/>
        <v>fail</v>
      </c>
      <c r="L640" s="19" t="str">
        <f>IFERROR(IF(AND(MATCH(A640,Projection_classes,0),YEAR(current_date)='Example - Projections'!B640),"pass","fail"),"")</f>
        <v/>
      </c>
    </row>
    <row r="641" spans="1:12" x14ac:dyDescent="0.25">
      <c r="A641" s="64"/>
      <c r="B641" s="64"/>
      <c r="C641" s="65"/>
      <c r="D641" s="65"/>
      <c r="E641" s="65"/>
      <c r="F641" s="61"/>
      <c r="G641" s="61"/>
      <c r="H641" s="61"/>
      <c r="I641" s="61"/>
      <c r="J641" s="61"/>
      <c r="K641" s="3" t="str">
        <f t="shared" si="21"/>
        <v>fail</v>
      </c>
      <c r="L641" s="19" t="str">
        <f>IFERROR(IF(AND(MATCH(A641,Projection_classes,0),YEAR(current_date)='Example - Projections'!B641),"pass","fail"),"")</f>
        <v/>
      </c>
    </row>
    <row r="642" spans="1:12" x14ac:dyDescent="0.25">
      <c r="A642" s="64"/>
      <c r="B642" s="64"/>
      <c r="C642" s="65"/>
      <c r="D642" s="65"/>
      <c r="E642" s="65"/>
      <c r="F642" s="61"/>
      <c r="G642" s="61"/>
      <c r="H642" s="61"/>
      <c r="I642" s="61"/>
      <c r="J642" s="61"/>
      <c r="K642" s="3" t="str">
        <f t="shared" ref="K642:K705" si="22">IF(OR(B642&lt;$N$1,B642&gt;$P$1),"fail","pass")</f>
        <v>fail</v>
      </c>
      <c r="L642" s="19" t="str">
        <f>IFERROR(IF(AND(MATCH(A642,Projection_classes,0),YEAR(current_date)='Example - Projections'!B642),"pass","fail"),"")</f>
        <v/>
      </c>
    </row>
    <row r="643" spans="1:12" x14ac:dyDescent="0.25">
      <c r="A643" s="64"/>
      <c r="B643" s="64"/>
      <c r="C643" s="65"/>
      <c r="D643" s="65"/>
      <c r="E643" s="65"/>
      <c r="F643" s="61"/>
      <c r="G643" s="61"/>
      <c r="H643" s="61"/>
      <c r="I643" s="61"/>
      <c r="J643" s="61"/>
      <c r="K643" s="3" t="str">
        <f t="shared" si="22"/>
        <v>fail</v>
      </c>
      <c r="L643" s="19" t="str">
        <f>IFERROR(IF(AND(MATCH(A643,Projection_classes,0),YEAR(current_date)='Example - Projections'!B643),"pass","fail"),"")</f>
        <v/>
      </c>
    </row>
    <row r="644" spans="1:12" x14ac:dyDescent="0.25">
      <c r="A644" s="64"/>
      <c r="B644" s="64"/>
      <c r="C644" s="65"/>
      <c r="D644" s="65"/>
      <c r="E644" s="65"/>
      <c r="F644" s="61"/>
      <c r="G644" s="61"/>
      <c r="H644" s="61"/>
      <c r="I644" s="61"/>
      <c r="J644" s="61"/>
      <c r="K644" s="3" t="str">
        <f t="shared" si="22"/>
        <v>fail</v>
      </c>
      <c r="L644" s="19" t="str">
        <f>IFERROR(IF(AND(MATCH(A644,Projection_classes,0),YEAR(current_date)='Example - Projections'!B644),"pass","fail"),"")</f>
        <v/>
      </c>
    </row>
    <row r="645" spans="1:12" x14ac:dyDescent="0.25">
      <c r="A645" s="64"/>
      <c r="B645" s="64"/>
      <c r="C645" s="65"/>
      <c r="D645" s="65"/>
      <c r="E645" s="65"/>
      <c r="F645" s="61"/>
      <c r="G645" s="61"/>
      <c r="H645" s="61"/>
      <c r="I645" s="61"/>
      <c r="J645" s="61"/>
      <c r="K645" s="3" t="str">
        <f t="shared" si="22"/>
        <v>fail</v>
      </c>
      <c r="L645" s="19" t="str">
        <f>IFERROR(IF(AND(MATCH(A645,Projection_classes,0),YEAR(current_date)='Example - Projections'!B645),"pass","fail"),"")</f>
        <v/>
      </c>
    </row>
    <row r="646" spans="1:12" x14ac:dyDescent="0.25">
      <c r="A646" s="64"/>
      <c r="B646" s="64"/>
      <c r="C646" s="65"/>
      <c r="D646" s="65"/>
      <c r="E646" s="65"/>
      <c r="F646" s="61"/>
      <c r="G646" s="61"/>
      <c r="H646" s="61"/>
      <c r="I646" s="61"/>
      <c r="J646" s="61"/>
      <c r="K646" s="3" t="str">
        <f t="shared" si="22"/>
        <v>fail</v>
      </c>
      <c r="L646" s="19" t="str">
        <f>IFERROR(IF(AND(MATCH(A646,Projection_classes,0),YEAR(current_date)='Example - Projections'!B646),"pass","fail"),"")</f>
        <v/>
      </c>
    </row>
    <row r="647" spans="1:12" x14ac:dyDescent="0.25">
      <c r="A647" s="64"/>
      <c r="B647" s="64"/>
      <c r="C647" s="65"/>
      <c r="D647" s="65"/>
      <c r="E647" s="65"/>
      <c r="F647" s="61"/>
      <c r="G647" s="61"/>
      <c r="H647" s="61"/>
      <c r="I647" s="61"/>
      <c r="J647" s="61"/>
      <c r="K647" s="3" t="str">
        <f t="shared" si="22"/>
        <v>fail</v>
      </c>
      <c r="L647" s="19" t="str">
        <f>IFERROR(IF(AND(MATCH(A647,Projection_classes,0),YEAR(current_date)='Example - Projections'!B647),"pass","fail"),"")</f>
        <v/>
      </c>
    </row>
    <row r="648" spans="1:12" x14ac:dyDescent="0.25">
      <c r="A648" s="64"/>
      <c r="B648" s="64"/>
      <c r="C648" s="65"/>
      <c r="D648" s="65"/>
      <c r="E648" s="65"/>
      <c r="F648" s="61"/>
      <c r="G648" s="61"/>
      <c r="H648" s="61"/>
      <c r="I648" s="61"/>
      <c r="J648" s="61"/>
      <c r="K648" s="3" t="str">
        <f t="shared" si="22"/>
        <v>fail</v>
      </c>
      <c r="L648" s="19" t="str">
        <f>IFERROR(IF(AND(MATCH(A648,Projection_classes,0),YEAR(current_date)='Example - Projections'!B648),"pass","fail"),"")</f>
        <v/>
      </c>
    </row>
    <row r="649" spans="1:12" x14ac:dyDescent="0.25">
      <c r="A649" s="64"/>
      <c r="B649" s="64"/>
      <c r="C649" s="65"/>
      <c r="D649" s="65"/>
      <c r="E649" s="65"/>
      <c r="F649" s="61"/>
      <c r="G649" s="61"/>
      <c r="H649" s="61"/>
      <c r="I649" s="61"/>
      <c r="J649" s="61"/>
      <c r="K649" s="3" t="str">
        <f t="shared" si="22"/>
        <v>fail</v>
      </c>
      <c r="L649" s="19" t="str">
        <f>IFERROR(IF(AND(MATCH(A649,Projection_classes,0),YEAR(current_date)='Example - Projections'!B649),"pass","fail"),"")</f>
        <v/>
      </c>
    </row>
    <row r="650" spans="1:12" x14ac:dyDescent="0.25">
      <c r="A650" s="64"/>
      <c r="B650" s="64"/>
      <c r="C650" s="65"/>
      <c r="D650" s="65"/>
      <c r="E650" s="65"/>
      <c r="F650" s="61"/>
      <c r="G650" s="61"/>
      <c r="H650" s="61"/>
      <c r="I650" s="61"/>
      <c r="J650" s="61"/>
      <c r="K650" s="3" t="str">
        <f t="shared" si="22"/>
        <v>fail</v>
      </c>
      <c r="L650" s="19" t="str">
        <f>IFERROR(IF(AND(MATCH(A650,Projection_classes,0),YEAR(current_date)='Example - Projections'!B650),"pass","fail"),"")</f>
        <v/>
      </c>
    </row>
    <row r="651" spans="1:12" x14ac:dyDescent="0.25">
      <c r="A651" s="64"/>
      <c r="B651" s="64"/>
      <c r="C651" s="65"/>
      <c r="D651" s="65"/>
      <c r="E651" s="65"/>
      <c r="F651" s="61"/>
      <c r="G651" s="61"/>
      <c r="H651" s="61"/>
      <c r="I651" s="61"/>
      <c r="J651" s="61"/>
      <c r="K651" s="3" t="str">
        <f t="shared" si="22"/>
        <v>fail</v>
      </c>
      <c r="L651" s="19" t="str">
        <f>IFERROR(IF(AND(MATCH(A651,Projection_classes,0),YEAR(current_date)='Example - Projections'!B651),"pass","fail"),"")</f>
        <v/>
      </c>
    </row>
    <row r="652" spans="1:12" x14ac:dyDescent="0.25">
      <c r="A652" s="64"/>
      <c r="B652" s="64"/>
      <c r="C652" s="65"/>
      <c r="D652" s="65"/>
      <c r="E652" s="65"/>
      <c r="F652" s="61"/>
      <c r="G652" s="61"/>
      <c r="H652" s="61"/>
      <c r="I652" s="61"/>
      <c r="J652" s="61"/>
      <c r="K652" s="3" t="str">
        <f t="shared" si="22"/>
        <v>fail</v>
      </c>
      <c r="L652" s="19" t="str">
        <f>IFERROR(IF(AND(MATCH(A652,Projection_classes,0),YEAR(current_date)='Example - Projections'!B652),"pass","fail"),"")</f>
        <v/>
      </c>
    </row>
    <row r="653" spans="1:12" x14ac:dyDescent="0.25">
      <c r="A653" s="64"/>
      <c r="B653" s="64"/>
      <c r="C653" s="65"/>
      <c r="D653" s="65"/>
      <c r="E653" s="65"/>
      <c r="F653" s="61"/>
      <c r="G653" s="61"/>
      <c r="H653" s="61"/>
      <c r="I653" s="61"/>
      <c r="J653" s="61"/>
      <c r="K653" s="3" t="str">
        <f t="shared" si="22"/>
        <v>fail</v>
      </c>
      <c r="L653" s="19" t="str">
        <f>IFERROR(IF(AND(MATCH(A653,Projection_classes,0),YEAR(current_date)='Example - Projections'!B653),"pass","fail"),"")</f>
        <v/>
      </c>
    </row>
    <row r="654" spans="1:12" x14ac:dyDescent="0.25">
      <c r="A654" s="64"/>
      <c r="B654" s="64"/>
      <c r="C654" s="65"/>
      <c r="D654" s="65"/>
      <c r="E654" s="65"/>
      <c r="F654" s="61"/>
      <c r="G654" s="61"/>
      <c r="H654" s="61"/>
      <c r="I654" s="61"/>
      <c r="J654" s="61"/>
      <c r="K654" s="3" t="str">
        <f t="shared" si="22"/>
        <v>fail</v>
      </c>
      <c r="L654" s="19" t="str">
        <f>IFERROR(IF(AND(MATCH(A654,Projection_classes,0),YEAR(current_date)='Example - Projections'!B654),"pass","fail"),"")</f>
        <v/>
      </c>
    </row>
    <row r="655" spans="1:12" x14ac:dyDescent="0.25">
      <c r="A655" s="64"/>
      <c r="B655" s="64"/>
      <c r="C655" s="65"/>
      <c r="D655" s="65"/>
      <c r="E655" s="65"/>
      <c r="F655" s="61"/>
      <c r="G655" s="61"/>
      <c r="H655" s="61"/>
      <c r="I655" s="61"/>
      <c r="J655" s="61"/>
      <c r="K655" s="3" t="str">
        <f t="shared" si="22"/>
        <v>fail</v>
      </c>
      <c r="L655" s="19" t="str">
        <f>IFERROR(IF(AND(MATCH(A655,Projection_classes,0),YEAR(current_date)='Example - Projections'!B655),"pass","fail"),"")</f>
        <v/>
      </c>
    </row>
    <row r="656" spans="1:12" x14ac:dyDescent="0.25">
      <c r="A656" s="64"/>
      <c r="B656" s="64"/>
      <c r="C656" s="65"/>
      <c r="D656" s="65"/>
      <c r="E656" s="65"/>
      <c r="F656" s="61"/>
      <c r="G656" s="61"/>
      <c r="H656" s="61"/>
      <c r="I656" s="61"/>
      <c r="J656" s="61"/>
      <c r="K656" s="3" t="str">
        <f t="shared" si="22"/>
        <v>fail</v>
      </c>
      <c r="L656" s="19" t="str">
        <f>IFERROR(IF(AND(MATCH(A656,Projection_classes,0),YEAR(current_date)='Example - Projections'!B656),"pass","fail"),"")</f>
        <v/>
      </c>
    </row>
    <row r="657" spans="1:12" x14ac:dyDescent="0.25">
      <c r="A657" s="64"/>
      <c r="B657" s="64"/>
      <c r="C657" s="65"/>
      <c r="D657" s="65"/>
      <c r="E657" s="65"/>
      <c r="F657" s="61"/>
      <c r="G657" s="61"/>
      <c r="H657" s="61"/>
      <c r="I657" s="61"/>
      <c r="J657" s="61"/>
      <c r="K657" s="3" t="str">
        <f t="shared" si="22"/>
        <v>fail</v>
      </c>
      <c r="L657" s="19" t="str">
        <f>IFERROR(IF(AND(MATCH(A657,Projection_classes,0),YEAR(current_date)='Example - Projections'!B657),"pass","fail"),"")</f>
        <v/>
      </c>
    </row>
    <row r="658" spans="1:12" x14ac:dyDescent="0.25">
      <c r="A658" s="64"/>
      <c r="B658" s="64"/>
      <c r="C658" s="65"/>
      <c r="D658" s="65"/>
      <c r="E658" s="65"/>
      <c r="F658" s="61"/>
      <c r="G658" s="61"/>
      <c r="H658" s="61"/>
      <c r="I658" s="61"/>
      <c r="J658" s="61"/>
      <c r="K658" s="3" t="str">
        <f t="shared" si="22"/>
        <v>fail</v>
      </c>
      <c r="L658" s="19" t="str">
        <f>IFERROR(IF(AND(MATCH(A658,Projection_classes,0),YEAR(current_date)='Example - Projections'!B658),"pass","fail"),"")</f>
        <v/>
      </c>
    </row>
    <row r="659" spans="1:12" x14ac:dyDescent="0.25">
      <c r="A659" s="64"/>
      <c r="B659" s="64"/>
      <c r="C659" s="65"/>
      <c r="D659" s="65"/>
      <c r="E659" s="65"/>
      <c r="F659" s="61"/>
      <c r="G659" s="61"/>
      <c r="H659" s="61"/>
      <c r="I659" s="61"/>
      <c r="J659" s="61"/>
      <c r="K659" s="3" t="str">
        <f t="shared" si="22"/>
        <v>fail</v>
      </c>
      <c r="L659" s="19" t="str">
        <f>IFERROR(IF(AND(MATCH(A659,Projection_classes,0),YEAR(current_date)='Example - Projections'!B659),"pass","fail"),"")</f>
        <v/>
      </c>
    </row>
    <row r="660" spans="1:12" x14ac:dyDescent="0.25">
      <c r="A660" s="64"/>
      <c r="B660" s="64"/>
      <c r="C660" s="65"/>
      <c r="D660" s="65"/>
      <c r="E660" s="65"/>
      <c r="F660" s="61"/>
      <c r="G660" s="61"/>
      <c r="H660" s="61"/>
      <c r="I660" s="61"/>
      <c r="J660" s="61"/>
      <c r="K660" s="3" t="str">
        <f t="shared" si="22"/>
        <v>fail</v>
      </c>
      <c r="L660" s="19" t="str">
        <f>IFERROR(IF(AND(MATCH(A660,Projection_classes,0),YEAR(current_date)='Example - Projections'!B660),"pass","fail"),"")</f>
        <v/>
      </c>
    </row>
    <row r="661" spans="1:12" x14ac:dyDescent="0.25">
      <c r="A661" s="64"/>
      <c r="B661" s="64"/>
      <c r="C661" s="65"/>
      <c r="D661" s="65"/>
      <c r="E661" s="65"/>
      <c r="F661" s="61"/>
      <c r="G661" s="61"/>
      <c r="H661" s="61"/>
      <c r="I661" s="61"/>
      <c r="J661" s="61"/>
      <c r="K661" s="3" t="str">
        <f t="shared" si="22"/>
        <v>fail</v>
      </c>
      <c r="L661" s="19" t="str">
        <f>IFERROR(IF(AND(MATCH(A661,Projection_classes,0),YEAR(current_date)='Example - Projections'!B661),"pass","fail"),"")</f>
        <v/>
      </c>
    </row>
    <row r="662" spans="1:12" x14ac:dyDescent="0.25">
      <c r="A662" s="64"/>
      <c r="B662" s="64"/>
      <c r="C662" s="65"/>
      <c r="D662" s="65"/>
      <c r="E662" s="65"/>
      <c r="F662" s="61"/>
      <c r="G662" s="61"/>
      <c r="H662" s="61"/>
      <c r="I662" s="61"/>
      <c r="J662" s="61"/>
      <c r="K662" s="3" t="str">
        <f t="shared" si="22"/>
        <v>fail</v>
      </c>
      <c r="L662" s="19" t="str">
        <f>IFERROR(IF(AND(MATCH(A662,Projection_classes,0),YEAR(current_date)='Example - Projections'!B662),"pass","fail"),"")</f>
        <v/>
      </c>
    </row>
    <row r="663" spans="1:12" x14ac:dyDescent="0.25">
      <c r="A663" s="64"/>
      <c r="B663" s="64"/>
      <c r="C663" s="65"/>
      <c r="D663" s="65"/>
      <c r="E663" s="65"/>
      <c r="F663" s="61"/>
      <c r="G663" s="61"/>
      <c r="H663" s="61"/>
      <c r="I663" s="61"/>
      <c r="J663" s="61"/>
      <c r="K663" s="3" t="str">
        <f t="shared" si="22"/>
        <v>fail</v>
      </c>
      <c r="L663" s="19" t="str">
        <f>IFERROR(IF(AND(MATCH(A663,Projection_classes,0),YEAR(current_date)='Example - Projections'!B663),"pass","fail"),"")</f>
        <v/>
      </c>
    </row>
    <row r="664" spans="1:12" x14ac:dyDescent="0.25">
      <c r="A664" s="64"/>
      <c r="B664" s="64"/>
      <c r="C664" s="65"/>
      <c r="D664" s="65"/>
      <c r="E664" s="65"/>
      <c r="F664" s="61"/>
      <c r="G664" s="61"/>
      <c r="H664" s="61"/>
      <c r="I664" s="61"/>
      <c r="J664" s="61"/>
      <c r="K664" s="3" t="str">
        <f t="shared" si="22"/>
        <v>fail</v>
      </c>
      <c r="L664" s="19" t="str">
        <f>IFERROR(IF(AND(MATCH(A664,Projection_classes,0),YEAR(current_date)='Example - Projections'!B664),"pass","fail"),"")</f>
        <v/>
      </c>
    </row>
    <row r="665" spans="1:12" x14ac:dyDescent="0.25">
      <c r="A665" s="64"/>
      <c r="B665" s="64"/>
      <c r="C665" s="65"/>
      <c r="D665" s="65"/>
      <c r="E665" s="65"/>
      <c r="F665" s="61"/>
      <c r="G665" s="61"/>
      <c r="H665" s="61"/>
      <c r="I665" s="61"/>
      <c r="J665" s="61"/>
      <c r="K665" s="3" t="str">
        <f t="shared" si="22"/>
        <v>fail</v>
      </c>
      <c r="L665" s="19" t="str">
        <f>IFERROR(IF(AND(MATCH(A665,Projection_classes,0),YEAR(current_date)='Example - Projections'!B665),"pass","fail"),"")</f>
        <v/>
      </c>
    </row>
    <row r="666" spans="1:12" x14ac:dyDescent="0.25">
      <c r="A666" s="64"/>
      <c r="B666" s="64"/>
      <c r="C666" s="65"/>
      <c r="D666" s="65"/>
      <c r="E666" s="65"/>
      <c r="F666" s="61"/>
      <c r="G666" s="61"/>
      <c r="H666" s="61"/>
      <c r="I666" s="61"/>
      <c r="J666" s="61"/>
      <c r="K666" s="3" t="str">
        <f t="shared" si="22"/>
        <v>fail</v>
      </c>
      <c r="L666" s="19" t="str">
        <f>IFERROR(IF(AND(MATCH(A666,Projection_classes,0),YEAR(current_date)='Example - Projections'!B666),"pass","fail"),"")</f>
        <v/>
      </c>
    </row>
    <row r="667" spans="1:12" x14ac:dyDescent="0.25">
      <c r="A667" s="64"/>
      <c r="B667" s="64"/>
      <c r="C667" s="65"/>
      <c r="D667" s="65"/>
      <c r="E667" s="65"/>
      <c r="F667" s="61"/>
      <c r="G667" s="61"/>
      <c r="H667" s="61"/>
      <c r="I667" s="61"/>
      <c r="J667" s="61"/>
      <c r="K667" s="3" t="str">
        <f t="shared" si="22"/>
        <v>fail</v>
      </c>
      <c r="L667" s="19" t="str">
        <f>IFERROR(IF(AND(MATCH(A667,Projection_classes,0),YEAR(current_date)='Example - Projections'!B667),"pass","fail"),"")</f>
        <v/>
      </c>
    </row>
    <row r="668" spans="1:12" x14ac:dyDescent="0.25">
      <c r="A668" s="64"/>
      <c r="B668" s="64"/>
      <c r="C668" s="65"/>
      <c r="D668" s="65"/>
      <c r="E668" s="65"/>
      <c r="F668" s="61"/>
      <c r="G668" s="61"/>
      <c r="H668" s="61"/>
      <c r="I668" s="61"/>
      <c r="J668" s="61"/>
      <c r="K668" s="3" t="str">
        <f t="shared" si="22"/>
        <v>fail</v>
      </c>
      <c r="L668" s="19" t="str">
        <f>IFERROR(IF(AND(MATCH(A668,Projection_classes,0),YEAR(current_date)='Example - Projections'!B668),"pass","fail"),"")</f>
        <v/>
      </c>
    </row>
    <row r="669" spans="1:12" x14ac:dyDescent="0.25">
      <c r="A669" s="64"/>
      <c r="B669" s="64"/>
      <c r="C669" s="65"/>
      <c r="D669" s="65"/>
      <c r="E669" s="65"/>
      <c r="F669" s="61"/>
      <c r="G669" s="61"/>
      <c r="H669" s="61"/>
      <c r="I669" s="61"/>
      <c r="J669" s="61"/>
      <c r="K669" s="3" t="str">
        <f t="shared" si="22"/>
        <v>fail</v>
      </c>
      <c r="L669" s="19" t="str">
        <f>IFERROR(IF(AND(MATCH(A669,Projection_classes,0),YEAR(current_date)='Example - Projections'!B669),"pass","fail"),"")</f>
        <v/>
      </c>
    </row>
    <row r="670" spans="1:12" x14ac:dyDescent="0.25">
      <c r="A670" s="64"/>
      <c r="B670" s="64"/>
      <c r="C670" s="65"/>
      <c r="D670" s="65"/>
      <c r="E670" s="65"/>
      <c r="F670" s="61"/>
      <c r="G670" s="61"/>
      <c r="H670" s="61"/>
      <c r="I670" s="61"/>
      <c r="J670" s="61"/>
      <c r="K670" s="3" t="str">
        <f t="shared" si="22"/>
        <v>fail</v>
      </c>
      <c r="L670" s="19" t="str">
        <f>IFERROR(IF(AND(MATCH(A670,Projection_classes,0),YEAR(current_date)='Example - Projections'!B670),"pass","fail"),"")</f>
        <v/>
      </c>
    </row>
    <row r="671" spans="1:12" x14ac:dyDescent="0.25">
      <c r="A671" s="64"/>
      <c r="B671" s="64"/>
      <c r="C671" s="65"/>
      <c r="D671" s="65"/>
      <c r="E671" s="65"/>
      <c r="F671" s="61"/>
      <c r="G671" s="61"/>
      <c r="H671" s="61"/>
      <c r="I671" s="61"/>
      <c r="J671" s="61"/>
      <c r="K671" s="3" t="str">
        <f t="shared" si="22"/>
        <v>fail</v>
      </c>
      <c r="L671" s="19" t="str">
        <f>IFERROR(IF(AND(MATCH(A671,Projection_classes,0),YEAR(current_date)='Example - Projections'!B671),"pass","fail"),"")</f>
        <v/>
      </c>
    </row>
    <row r="672" spans="1:12" x14ac:dyDescent="0.25">
      <c r="A672" s="64"/>
      <c r="B672" s="64"/>
      <c r="C672" s="65"/>
      <c r="D672" s="65"/>
      <c r="E672" s="65"/>
      <c r="F672" s="61"/>
      <c r="G672" s="61"/>
      <c r="H672" s="61"/>
      <c r="I672" s="61"/>
      <c r="J672" s="61"/>
      <c r="K672" s="3" t="str">
        <f t="shared" si="22"/>
        <v>fail</v>
      </c>
      <c r="L672" s="19" t="str">
        <f>IFERROR(IF(AND(MATCH(A672,Projection_classes,0),YEAR(current_date)='Example - Projections'!B672),"pass","fail"),"")</f>
        <v/>
      </c>
    </row>
    <row r="673" spans="1:12" x14ac:dyDescent="0.25">
      <c r="A673" s="64"/>
      <c r="B673" s="64"/>
      <c r="C673" s="65"/>
      <c r="D673" s="65"/>
      <c r="E673" s="65"/>
      <c r="F673" s="61"/>
      <c r="G673" s="61"/>
      <c r="H673" s="61"/>
      <c r="I673" s="61"/>
      <c r="J673" s="61"/>
      <c r="K673" s="3" t="str">
        <f t="shared" si="22"/>
        <v>fail</v>
      </c>
      <c r="L673" s="19" t="str">
        <f>IFERROR(IF(AND(MATCH(A673,Projection_classes,0),YEAR(current_date)='Example - Projections'!B673),"pass","fail"),"")</f>
        <v/>
      </c>
    </row>
    <row r="674" spans="1:12" x14ac:dyDescent="0.25">
      <c r="A674" s="64"/>
      <c r="B674" s="64"/>
      <c r="C674" s="65"/>
      <c r="D674" s="65"/>
      <c r="E674" s="65"/>
      <c r="F674" s="61"/>
      <c r="G674" s="61"/>
      <c r="H674" s="61"/>
      <c r="I674" s="61"/>
      <c r="J674" s="61"/>
      <c r="K674" s="3" t="str">
        <f t="shared" si="22"/>
        <v>fail</v>
      </c>
      <c r="L674" s="19" t="str">
        <f>IFERROR(IF(AND(MATCH(A674,Projection_classes,0),YEAR(current_date)='Example - Projections'!B674),"pass","fail"),"")</f>
        <v/>
      </c>
    </row>
    <row r="675" spans="1:12" x14ac:dyDescent="0.25">
      <c r="A675" s="64"/>
      <c r="B675" s="64"/>
      <c r="C675" s="65"/>
      <c r="D675" s="65"/>
      <c r="E675" s="65"/>
      <c r="F675" s="61"/>
      <c r="G675" s="61"/>
      <c r="H675" s="61"/>
      <c r="I675" s="61"/>
      <c r="J675" s="61"/>
      <c r="K675" s="3" t="str">
        <f t="shared" si="22"/>
        <v>fail</v>
      </c>
      <c r="L675" s="19" t="str">
        <f>IFERROR(IF(AND(MATCH(A675,Projection_classes,0),YEAR(current_date)='Example - Projections'!B675),"pass","fail"),"")</f>
        <v/>
      </c>
    </row>
    <row r="676" spans="1:12" x14ac:dyDescent="0.25">
      <c r="A676" s="64"/>
      <c r="B676" s="64"/>
      <c r="C676" s="65"/>
      <c r="D676" s="65"/>
      <c r="E676" s="65"/>
      <c r="F676" s="61"/>
      <c r="G676" s="61"/>
      <c r="H676" s="61"/>
      <c r="I676" s="61"/>
      <c r="J676" s="61"/>
      <c r="K676" s="3" t="str">
        <f t="shared" si="22"/>
        <v>fail</v>
      </c>
      <c r="L676" s="19" t="str">
        <f>IFERROR(IF(AND(MATCH(A676,Projection_classes,0),YEAR(current_date)='Example - Projections'!B676),"pass","fail"),"")</f>
        <v/>
      </c>
    </row>
    <row r="677" spans="1:12" x14ac:dyDescent="0.25">
      <c r="A677" s="64"/>
      <c r="B677" s="64"/>
      <c r="C677" s="65"/>
      <c r="D677" s="65"/>
      <c r="E677" s="65"/>
      <c r="F677" s="61"/>
      <c r="G677" s="61"/>
      <c r="H677" s="61"/>
      <c r="I677" s="61"/>
      <c r="J677" s="61"/>
      <c r="K677" s="3" t="str">
        <f t="shared" si="22"/>
        <v>fail</v>
      </c>
      <c r="L677" s="19" t="str">
        <f>IFERROR(IF(AND(MATCH(A677,Projection_classes,0),YEAR(current_date)='Example - Projections'!B677),"pass","fail"),"")</f>
        <v/>
      </c>
    </row>
    <row r="678" spans="1:12" x14ac:dyDescent="0.25">
      <c r="A678" s="64"/>
      <c r="B678" s="64"/>
      <c r="C678" s="65"/>
      <c r="D678" s="65"/>
      <c r="E678" s="65"/>
      <c r="F678" s="61"/>
      <c r="G678" s="61"/>
      <c r="H678" s="61"/>
      <c r="I678" s="61"/>
      <c r="J678" s="61"/>
      <c r="K678" s="3" t="str">
        <f t="shared" si="22"/>
        <v>fail</v>
      </c>
      <c r="L678" s="19" t="str">
        <f>IFERROR(IF(AND(MATCH(A678,Projection_classes,0),YEAR(current_date)='Example - Projections'!B678),"pass","fail"),"")</f>
        <v/>
      </c>
    </row>
    <row r="679" spans="1:12" x14ac:dyDescent="0.25">
      <c r="A679" s="64"/>
      <c r="B679" s="64"/>
      <c r="C679" s="65"/>
      <c r="D679" s="65"/>
      <c r="E679" s="65"/>
      <c r="F679" s="61"/>
      <c r="G679" s="61"/>
      <c r="H679" s="61"/>
      <c r="I679" s="61"/>
      <c r="J679" s="61"/>
      <c r="K679" s="3" t="str">
        <f t="shared" si="22"/>
        <v>fail</v>
      </c>
      <c r="L679" s="19" t="str">
        <f>IFERROR(IF(AND(MATCH(A679,Projection_classes,0),YEAR(current_date)='Example - Projections'!B679),"pass","fail"),"")</f>
        <v/>
      </c>
    </row>
    <row r="680" spans="1:12" x14ac:dyDescent="0.25">
      <c r="A680" s="64"/>
      <c r="B680" s="64"/>
      <c r="C680" s="65"/>
      <c r="D680" s="65"/>
      <c r="E680" s="65"/>
      <c r="F680" s="61"/>
      <c r="G680" s="61"/>
      <c r="H680" s="61"/>
      <c r="I680" s="61"/>
      <c r="J680" s="61"/>
      <c r="K680" s="3" t="str">
        <f t="shared" si="22"/>
        <v>fail</v>
      </c>
      <c r="L680" s="19" t="str">
        <f>IFERROR(IF(AND(MATCH(A680,Projection_classes,0),YEAR(current_date)='Example - Projections'!B680),"pass","fail"),"")</f>
        <v/>
      </c>
    </row>
    <row r="681" spans="1:12" x14ac:dyDescent="0.25">
      <c r="A681" s="64"/>
      <c r="B681" s="64"/>
      <c r="C681" s="65"/>
      <c r="D681" s="65"/>
      <c r="E681" s="65"/>
      <c r="F681" s="61"/>
      <c r="G681" s="61"/>
      <c r="H681" s="61"/>
      <c r="I681" s="61"/>
      <c r="J681" s="61"/>
      <c r="K681" s="3" t="str">
        <f t="shared" si="22"/>
        <v>fail</v>
      </c>
      <c r="L681" s="19" t="str">
        <f>IFERROR(IF(AND(MATCH(A681,Projection_classes,0),YEAR(current_date)='Example - Projections'!B681),"pass","fail"),"")</f>
        <v/>
      </c>
    </row>
    <row r="682" spans="1:12" x14ac:dyDescent="0.25">
      <c r="A682" s="64"/>
      <c r="B682" s="64"/>
      <c r="C682" s="65"/>
      <c r="D682" s="65"/>
      <c r="E682" s="65"/>
      <c r="F682" s="61"/>
      <c r="G682" s="61"/>
      <c r="H682" s="61"/>
      <c r="I682" s="61"/>
      <c r="J682" s="61"/>
      <c r="K682" s="3" t="str">
        <f t="shared" si="22"/>
        <v>fail</v>
      </c>
      <c r="L682" s="19" t="str">
        <f>IFERROR(IF(AND(MATCH(A682,Projection_classes,0),YEAR(current_date)='Example - Projections'!B682),"pass","fail"),"")</f>
        <v/>
      </c>
    </row>
    <row r="683" spans="1:12" x14ac:dyDescent="0.25">
      <c r="A683" s="64"/>
      <c r="B683" s="64"/>
      <c r="C683" s="65"/>
      <c r="D683" s="65"/>
      <c r="E683" s="65"/>
      <c r="F683" s="61"/>
      <c r="G683" s="61"/>
      <c r="H683" s="61"/>
      <c r="I683" s="61"/>
      <c r="J683" s="61"/>
      <c r="K683" s="3" t="str">
        <f t="shared" si="22"/>
        <v>fail</v>
      </c>
      <c r="L683" s="19" t="str">
        <f>IFERROR(IF(AND(MATCH(A683,Projection_classes,0),YEAR(current_date)='Example - Projections'!B683),"pass","fail"),"")</f>
        <v/>
      </c>
    </row>
    <row r="684" spans="1:12" x14ac:dyDescent="0.25">
      <c r="A684" s="64"/>
      <c r="B684" s="64"/>
      <c r="C684" s="65"/>
      <c r="D684" s="65"/>
      <c r="E684" s="65"/>
      <c r="F684" s="61"/>
      <c r="G684" s="61"/>
      <c r="H684" s="61"/>
      <c r="I684" s="61"/>
      <c r="J684" s="61"/>
      <c r="K684" s="3" t="str">
        <f t="shared" si="22"/>
        <v>fail</v>
      </c>
      <c r="L684" s="19" t="str">
        <f>IFERROR(IF(AND(MATCH(A684,Projection_classes,0),YEAR(current_date)='Example - Projections'!B684),"pass","fail"),"")</f>
        <v/>
      </c>
    </row>
    <row r="685" spans="1:12" x14ac:dyDescent="0.25">
      <c r="A685" s="64"/>
      <c r="B685" s="64"/>
      <c r="C685" s="65"/>
      <c r="D685" s="65"/>
      <c r="E685" s="65"/>
      <c r="F685" s="61"/>
      <c r="G685" s="61"/>
      <c r="H685" s="61"/>
      <c r="I685" s="61"/>
      <c r="J685" s="61"/>
      <c r="K685" s="3" t="str">
        <f t="shared" si="22"/>
        <v>fail</v>
      </c>
      <c r="L685" s="19" t="str">
        <f>IFERROR(IF(AND(MATCH(A685,Projection_classes,0),YEAR(current_date)='Example - Projections'!B685),"pass","fail"),"")</f>
        <v/>
      </c>
    </row>
    <row r="686" spans="1:12" x14ac:dyDescent="0.25">
      <c r="A686" s="64"/>
      <c r="B686" s="64"/>
      <c r="C686" s="65"/>
      <c r="D686" s="65"/>
      <c r="E686" s="65"/>
      <c r="F686" s="61"/>
      <c r="G686" s="61"/>
      <c r="H686" s="61"/>
      <c r="I686" s="61"/>
      <c r="J686" s="61"/>
      <c r="K686" s="3" t="str">
        <f t="shared" si="22"/>
        <v>fail</v>
      </c>
      <c r="L686" s="19" t="str">
        <f>IFERROR(IF(AND(MATCH(A686,Projection_classes,0),YEAR(current_date)='Example - Projections'!B686),"pass","fail"),"")</f>
        <v/>
      </c>
    </row>
    <row r="687" spans="1:12" x14ac:dyDescent="0.25">
      <c r="A687" s="64"/>
      <c r="B687" s="64"/>
      <c r="C687" s="65"/>
      <c r="D687" s="65"/>
      <c r="E687" s="65"/>
      <c r="F687" s="61"/>
      <c r="G687" s="61"/>
      <c r="H687" s="61"/>
      <c r="I687" s="61"/>
      <c r="J687" s="61"/>
      <c r="K687" s="3" t="str">
        <f t="shared" si="22"/>
        <v>fail</v>
      </c>
      <c r="L687" s="19" t="str">
        <f>IFERROR(IF(AND(MATCH(A687,Projection_classes,0),YEAR(current_date)='Example - Projections'!B687),"pass","fail"),"")</f>
        <v/>
      </c>
    </row>
    <row r="688" spans="1:12" x14ac:dyDescent="0.25">
      <c r="A688" s="64"/>
      <c r="B688" s="64"/>
      <c r="C688" s="65"/>
      <c r="D688" s="65"/>
      <c r="E688" s="65"/>
      <c r="F688" s="61"/>
      <c r="G688" s="61"/>
      <c r="H688" s="61"/>
      <c r="I688" s="61"/>
      <c r="J688" s="61"/>
      <c r="K688" s="3" t="str">
        <f t="shared" si="22"/>
        <v>fail</v>
      </c>
      <c r="L688" s="19" t="str">
        <f>IFERROR(IF(AND(MATCH(A688,Projection_classes,0),YEAR(current_date)='Example - Projections'!B688),"pass","fail"),"")</f>
        <v/>
      </c>
    </row>
    <row r="689" spans="1:12" x14ac:dyDescent="0.25">
      <c r="A689" s="64"/>
      <c r="B689" s="64"/>
      <c r="C689" s="65"/>
      <c r="D689" s="65"/>
      <c r="E689" s="65"/>
      <c r="F689" s="61"/>
      <c r="G689" s="61"/>
      <c r="H689" s="61"/>
      <c r="I689" s="61"/>
      <c r="J689" s="61"/>
      <c r="K689" s="3" t="str">
        <f t="shared" si="22"/>
        <v>fail</v>
      </c>
      <c r="L689" s="19" t="str">
        <f>IFERROR(IF(AND(MATCH(A689,Projection_classes,0),YEAR(current_date)='Example - Projections'!B689),"pass","fail"),"")</f>
        <v/>
      </c>
    </row>
    <row r="690" spans="1:12" x14ac:dyDescent="0.25">
      <c r="A690" s="64"/>
      <c r="B690" s="64"/>
      <c r="C690" s="65"/>
      <c r="D690" s="65"/>
      <c r="E690" s="65"/>
      <c r="F690" s="61"/>
      <c r="G690" s="61"/>
      <c r="H690" s="61"/>
      <c r="I690" s="61"/>
      <c r="J690" s="61"/>
      <c r="K690" s="3" t="str">
        <f t="shared" si="22"/>
        <v>fail</v>
      </c>
      <c r="L690" s="19" t="str">
        <f>IFERROR(IF(AND(MATCH(A690,Projection_classes,0),YEAR(current_date)='Example - Projections'!B690),"pass","fail"),"")</f>
        <v/>
      </c>
    </row>
    <row r="691" spans="1:12" x14ac:dyDescent="0.25">
      <c r="A691" s="64"/>
      <c r="B691" s="64"/>
      <c r="C691" s="65"/>
      <c r="D691" s="65"/>
      <c r="E691" s="65"/>
      <c r="F691" s="61"/>
      <c r="G691" s="61"/>
      <c r="H691" s="61"/>
      <c r="I691" s="61"/>
      <c r="J691" s="61"/>
      <c r="K691" s="3" t="str">
        <f t="shared" si="22"/>
        <v>fail</v>
      </c>
      <c r="L691" s="19" t="str">
        <f>IFERROR(IF(AND(MATCH(A691,Projection_classes,0),YEAR(current_date)='Example - Projections'!B691),"pass","fail"),"")</f>
        <v/>
      </c>
    </row>
    <row r="692" spans="1:12" x14ac:dyDescent="0.25">
      <c r="A692" s="64"/>
      <c r="B692" s="64"/>
      <c r="C692" s="65"/>
      <c r="D692" s="65"/>
      <c r="E692" s="65"/>
      <c r="F692" s="61"/>
      <c r="G692" s="61"/>
      <c r="H692" s="61"/>
      <c r="I692" s="61"/>
      <c r="J692" s="61"/>
      <c r="K692" s="3" t="str">
        <f t="shared" si="22"/>
        <v>fail</v>
      </c>
      <c r="L692" s="19" t="str">
        <f>IFERROR(IF(AND(MATCH(A692,Projection_classes,0),YEAR(current_date)='Example - Projections'!B692),"pass","fail"),"")</f>
        <v/>
      </c>
    </row>
    <row r="693" spans="1:12" x14ac:dyDescent="0.25">
      <c r="A693" s="64"/>
      <c r="B693" s="64"/>
      <c r="C693" s="65"/>
      <c r="D693" s="65"/>
      <c r="E693" s="65"/>
      <c r="F693" s="61"/>
      <c r="G693" s="61"/>
      <c r="H693" s="61"/>
      <c r="I693" s="61"/>
      <c r="J693" s="61"/>
      <c r="K693" s="3" t="str">
        <f t="shared" si="22"/>
        <v>fail</v>
      </c>
      <c r="L693" s="19" t="str">
        <f>IFERROR(IF(AND(MATCH(A693,Projection_classes,0),YEAR(current_date)='Example - Projections'!B693),"pass","fail"),"")</f>
        <v/>
      </c>
    </row>
    <row r="694" spans="1:12" x14ac:dyDescent="0.25">
      <c r="A694" s="64"/>
      <c r="B694" s="64"/>
      <c r="C694" s="65"/>
      <c r="D694" s="65"/>
      <c r="E694" s="65"/>
      <c r="F694" s="61"/>
      <c r="G694" s="61"/>
      <c r="H694" s="61"/>
      <c r="I694" s="61"/>
      <c r="J694" s="61"/>
      <c r="K694" s="3" t="str">
        <f t="shared" si="22"/>
        <v>fail</v>
      </c>
      <c r="L694" s="19" t="str">
        <f>IFERROR(IF(AND(MATCH(A694,Projection_classes,0),YEAR(current_date)='Example - Projections'!B694),"pass","fail"),"")</f>
        <v/>
      </c>
    </row>
    <row r="695" spans="1:12" x14ac:dyDescent="0.25">
      <c r="A695" s="64"/>
      <c r="B695" s="64"/>
      <c r="C695" s="65"/>
      <c r="D695" s="65"/>
      <c r="E695" s="65"/>
      <c r="F695" s="61"/>
      <c r="G695" s="61"/>
      <c r="H695" s="61"/>
      <c r="I695" s="61"/>
      <c r="J695" s="61"/>
      <c r="K695" s="3" t="str">
        <f t="shared" si="22"/>
        <v>fail</v>
      </c>
      <c r="L695" s="19" t="str">
        <f>IFERROR(IF(AND(MATCH(A695,Projection_classes,0),YEAR(current_date)='Example - Projections'!B695),"pass","fail"),"")</f>
        <v/>
      </c>
    </row>
    <row r="696" spans="1:12" x14ac:dyDescent="0.25">
      <c r="A696" s="64"/>
      <c r="B696" s="64"/>
      <c r="C696" s="65"/>
      <c r="D696" s="65"/>
      <c r="E696" s="65"/>
      <c r="F696" s="61"/>
      <c r="G696" s="61"/>
      <c r="H696" s="61"/>
      <c r="I696" s="61"/>
      <c r="J696" s="61"/>
      <c r="K696" s="3" t="str">
        <f t="shared" si="22"/>
        <v>fail</v>
      </c>
      <c r="L696" s="19" t="str">
        <f>IFERROR(IF(AND(MATCH(A696,Projection_classes,0),YEAR(current_date)='Example - Projections'!B696),"pass","fail"),"")</f>
        <v/>
      </c>
    </row>
    <row r="697" spans="1:12" x14ac:dyDescent="0.25">
      <c r="A697" s="64"/>
      <c r="B697" s="64"/>
      <c r="C697" s="65"/>
      <c r="D697" s="65"/>
      <c r="E697" s="65"/>
      <c r="F697" s="61"/>
      <c r="G697" s="61"/>
      <c r="H697" s="61"/>
      <c r="I697" s="61"/>
      <c r="J697" s="61"/>
      <c r="K697" s="3" t="str">
        <f t="shared" si="22"/>
        <v>fail</v>
      </c>
      <c r="L697" s="19" t="str">
        <f>IFERROR(IF(AND(MATCH(A697,Projection_classes,0),YEAR(current_date)='Example - Projections'!B697),"pass","fail"),"")</f>
        <v/>
      </c>
    </row>
    <row r="698" spans="1:12" x14ac:dyDescent="0.25">
      <c r="A698" s="64"/>
      <c r="B698" s="64"/>
      <c r="C698" s="65"/>
      <c r="D698" s="65"/>
      <c r="E698" s="65"/>
      <c r="F698" s="61"/>
      <c r="G698" s="61"/>
      <c r="H698" s="61"/>
      <c r="I698" s="61"/>
      <c r="J698" s="61"/>
      <c r="K698" s="3" t="str">
        <f t="shared" si="22"/>
        <v>fail</v>
      </c>
      <c r="L698" s="19" t="str">
        <f>IFERROR(IF(AND(MATCH(A698,Projection_classes,0),YEAR(current_date)='Example - Projections'!B698),"pass","fail"),"")</f>
        <v/>
      </c>
    </row>
    <row r="699" spans="1:12" x14ac:dyDescent="0.25">
      <c r="A699" s="64"/>
      <c r="B699" s="64"/>
      <c r="C699" s="65"/>
      <c r="D699" s="65"/>
      <c r="E699" s="65"/>
      <c r="F699" s="61"/>
      <c r="G699" s="61"/>
      <c r="H699" s="61"/>
      <c r="I699" s="61"/>
      <c r="J699" s="61"/>
      <c r="K699" s="3" t="str">
        <f t="shared" si="22"/>
        <v>fail</v>
      </c>
      <c r="L699" s="19" t="str">
        <f>IFERROR(IF(AND(MATCH(A699,Projection_classes,0),YEAR(current_date)='Example - Projections'!B699),"pass","fail"),"")</f>
        <v/>
      </c>
    </row>
    <row r="700" spans="1:12" x14ac:dyDescent="0.25">
      <c r="A700" s="64"/>
      <c r="B700" s="64"/>
      <c r="C700" s="65"/>
      <c r="D700" s="65"/>
      <c r="E700" s="65"/>
      <c r="F700" s="61"/>
      <c r="G700" s="61"/>
      <c r="H700" s="61"/>
      <c r="I700" s="61"/>
      <c r="J700" s="61"/>
      <c r="K700" s="3" t="str">
        <f t="shared" si="22"/>
        <v>fail</v>
      </c>
      <c r="L700" s="19" t="str">
        <f>IFERROR(IF(AND(MATCH(A700,Projection_classes,0),YEAR(current_date)='Example - Projections'!B700),"pass","fail"),"")</f>
        <v/>
      </c>
    </row>
    <row r="701" spans="1:12" x14ac:dyDescent="0.25">
      <c r="A701" s="64"/>
      <c r="B701" s="64"/>
      <c r="C701" s="65"/>
      <c r="D701" s="65"/>
      <c r="E701" s="65"/>
      <c r="F701" s="61"/>
      <c r="G701" s="61"/>
      <c r="H701" s="61"/>
      <c r="I701" s="61"/>
      <c r="J701" s="61"/>
      <c r="K701" s="3" t="str">
        <f t="shared" si="22"/>
        <v>fail</v>
      </c>
      <c r="L701" s="19" t="str">
        <f>IFERROR(IF(AND(MATCH(A701,Projection_classes,0),YEAR(current_date)='Example - Projections'!B701),"pass","fail"),"")</f>
        <v/>
      </c>
    </row>
    <row r="702" spans="1:12" x14ac:dyDescent="0.25">
      <c r="A702" s="64"/>
      <c r="B702" s="64"/>
      <c r="C702" s="65"/>
      <c r="D702" s="65"/>
      <c r="E702" s="65"/>
      <c r="F702" s="61"/>
      <c r="G702" s="61"/>
      <c r="H702" s="61"/>
      <c r="I702" s="61"/>
      <c r="J702" s="61"/>
      <c r="K702" s="3" t="str">
        <f t="shared" si="22"/>
        <v>fail</v>
      </c>
      <c r="L702" s="19" t="str">
        <f>IFERROR(IF(AND(MATCH(A702,Projection_classes,0),YEAR(current_date)='Example - Projections'!B702),"pass","fail"),"")</f>
        <v/>
      </c>
    </row>
    <row r="703" spans="1:12" x14ac:dyDescent="0.25">
      <c r="A703" s="64"/>
      <c r="B703" s="64"/>
      <c r="C703" s="65"/>
      <c r="D703" s="65"/>
      <c r="E703" s="65"/>
      <c r="F703" s="61"/>
      <c r="G703" s="61"/>
      <c r="H703" s="61"/>
      <c r="I703" s="61"/>
      <c r="J703" s="61"/>
      <c r="K703" s="3" t="str">
        <f t="shared" si="22"/>
        <v>fail</v>
      </c>
      <c r="L703" s="19" t="str">
        <f>IFERROR(IF(AND(MATCH(A703,Projection_classes,0),YEAR(current_date)='Example - Projections'!B703),"pass","fail"),"")</f>
        <v/>
      </c>
    </row>
    <row r="704" spans="1:12" x14ac:dyDescent="0.25">
      <c r="A704" s="64"/>
      <c r="B704" s="64"/>
      <c r="C704" s="65"/>
      <c r="D704" s="65"/>
      <c r="E704" s="65"/>
      <c r="F704" s="61"/>
      <c r="G704" s="61"/>
      <c r="H704" s="61"/>
      <c r="I704" s="61"/>
      <c r="J704" s="61"/>
      <c r="K704" s="3" t="str">
        <f t="shared" si="22"/>
        <v>fail</v>
      </c>
      <c r="L704" s="19" t="str">
        <f>IFERROR(IF(AND(MATCH(A704,Projection_classes,0),YEAR(current_date)='Example - Projections'!B704),"pass","fail"),"")</f>
        <v/>
      </c>
    </row>
    <row r="705" spans="1:12" x14ac:dyDescent="0.25">
      <c r="A705" s="64"/>
      <c r="B705" s="64"/>
      <c r="C705" s="65"/>
      <c r="D705" s="65"/>
      <c r="E705" s="65"/>
      <c r="F705" s="61"/>
      <c r="G705" s="61"/>
      <c r="H705" s="61"/>
      <c r="I705" s="61"/>
      <c r="J705" s="61"/>
      <c r="K705" s="3" t="str">
        <f t="shared" si="22"/>
        <v>fail</v>
      </c>
      <c r="L705" s="19" t="str">
        <f>IFERROR(IF(AND(MATCH(A705,Projection_classes,0),YEAR(current_date)='Example - Projections'!B705),"pass","fail"),"")</f>
        <v/>
      </c>
    </row>
    <row r="706" spans="1:12" x14ac:dyDescent="0.25">
      <c r="A706" s="64"/>
      <c r="B706" s="64"/>
      <c r="C706" s="65"/>
      <c r="D706" s="65"/>
      <c r="E706" s="65"/>
      <c r="F706" s="61"/>
      <c r="G706" s="61"/>
      <c r="H706" s="61"/>
      <c r="I706" s="61"/>
      <c r="J706" s="61"/>
      <c r="K706" s="3" t="str">
        <f t="shared" ref="K706:K769" si="23">IF(OR(B706&lt;$N$1,B706&gt;$P$1),"fail","pass")</f>
        <v>fail</v>
      </c>
      <c r="L706" s="19" t="str">
        <f>IFERROR(IF(AND(MATCH(A706,Projection_classes,0),YEAR(current_date)='Example - Projections'!B706),"pass","fail"),"")</f>
        <v/>
      </c>
    </row>
    <row r="707" spans="1:12" x14ac:dyDescent="0.25">
      <c r="A707" s="64"/>
      <c r="B707" s="64"/>
      <c r="C707" s="65"/>
      <c r="D707" s="65"/>
      <c r="E707" s="65"/>
      <c r="F707" s="61"/>
      <c r="G707" s="61"/>
      <c r="H707" s="61"/>
      <c r="I707" s="61"/>
      <c r="J707" s="61"/>
      <c r="K707" s="3" t="str">
        <f t="shared" si="23"/>
        <v>fail</v>
      </c>
      <c r="L707" s="19" t="str">
        <f>IFERROR(IF(AND(MATCH(A707,Projection_classes,0),YEAR(current_date)='Example - Projections'!B707),"pass","fail"),"")</f>
        <v/>
      </c>
    </row>
    <row r="708" spans="1:12" x14ac:dyDescent="0.25">
      <c r="A708" s="64"/>
      <c r="B708" s="64"/>
      <c r="C708" s="65"/>
      <c r="D708" s="65"/>
      <c r="E708" s="65"/>
      <c r="F708" s="61"/>
      <c r="G708" s="61"/>
      <c r="H708" s="61"/>
      <c r="I708" s="61"/>
      <c r="J708" s="61"/>
      <c r="K708" s="3" t="str">
        <f t="shared" si="23"/>
        <v>fail</v>
      </c>
      <c r="L708" s="19" t="str">
        <f>IFERROR(IF(AND(MATCH(A708,Projection_classes,0),YEAR(current_date)='Example - Projections'!B708),"pass","fail"),"")</f>
        <v/>
      </c>
    </row>
    <row r="709" spans="1:12" x14ac:dyDescent="0.25">
      <c r="A709" s="64"/>
      <c r="B709" s="64"/>
      <c r="C709" s="65"/>
      <c r="D709" s="65"/>
      <c r="E709" s="65"/>
      <c r="F709" s="61"/>
      <c r="G709" s="61"/>
      <c r="H709" s="61"/>
      <c r="I709" s="61"/>
      <c r="J709" s="61"/>
      <c r="K709" s="3" t="str">
        <f t="shared" si="23"/>
        <v>fail</v>
      </c>
      <c r="L709" s="19" t="str">
        <f>IFERROR(IF(AND(MATCH(A709,Projection_classes,0),YEAR(current_date)='Example - Projections'!B709),"pass","fail"),"")</f>
        <v/>
      </c>
    </row>
    <row r="710" spans="1:12" x14ac:dyDescent="0.25">
      <c r="A710" s="64"/>
      <c r="B710" s="64"/>
      <c r="C710" s="65"/>
      <c r="D710" s="65"/>
      <c r="E710" s="65"/>
      <c r="F710" s="61"/>
      <c r="G710" s="61"/>
      <c r="H710" s="61"/>
      <c r="I710" s="61"/>
      <c r="J710" s="61"/>
      <c r="K710" s="3" t="str">
        <f t="shared" si="23"/>
        <v>fail</v>
      </c>
      <c r="L710" s="19" t="str">
        <f>IFERROR(IF(AND(MATCH(A710,Projection_classes,0),YEAR(current_date)='Example - Projections'!B710),"pass","fail"),"")</f>
        <v/>
      </c>
    </row>
    <row r="711" spans="1:12" x14ac:dyDescent="0.25">
      <c r="A711" s="64"/>
      <c r="B711" s="64"/>
      <c r="C711" s="65"/>
      <c r="D711" s="65"/>
      <c r="E711" s="65"/>
      <c r="F711" s="61"/>
      <c r="G711" s="61"/>
      <c r="H711" s="61"/>
      <c r="I711" s="61"/>
      <c r="J711" s="61"/>
      <c r="K711" s="3" t="str">
        <f t="shared" si="23"/>
        <v>fail</v>
      </c>
      <c r="L711" s="19" t="str">
        <f>IFERROR(IF(AND(MATCH(A711,Projection_classes,0),YEAR(current_date)='Example - Projections'!B711),"pass","fail"),"")</f>
        <v/>
      </c>
    </row>
    <row r="712" spans="1:12" x14ac:dyDescent="0.25">
      <c r="A712" s="64"/>
      <c r="B712" s="64"/>
      <c r="C712" s="65"/>
      <c r="D712" s="65"/>
      <c r="E712" s="65"/>
      <c r="F712" s="61"/>
      <c r="G712" s="61"/>
      <c r="H712" s="61"/>
      <c r="I712" s="61"/>
      <c r="J712" s="61"/>
      <c r="K712" s="3" t="str">
        <f t="shared" si="23"/>
        <v>fail</v>
      </c>
      <c r="L712" s="19" t="str">
        <f>IFERROR(IF(AND(MATCH(A712,Projection_classes,0),YEAR(current_date)='Example - Projections'!B712),"pass","fail"),"")</f>
        <v/>
      </c>
    </row>
    <row r="713" spans="1:12" x14ac:dyDescent="0.25">
      <c r="A713" s="64"/>
      <c r="B713" s="64"/>
      <c r="C713" s="65"/>
      <c r="D713" s="65"/>
      <c r="E713" s="65"/>
      <c r="F713" s="61"/>
      <c r="G713" s="61"/>
      <c r="H713" s="61"/>
      <c r="I713" s="61"/>
      <c r="J713" s="61"/>
      <c r="K713" s="3" t="str">
        <f t="shared" si="23"/>
        <v>fail</v>
      </c>
      <c r="L713" s="19" t="str">
        <f>IFERROR(IF(AND(MATCH(A713,Projection_classes,0),YEAR(current_date)='Example - Projections'!B713),"pass","fail"),"")</f>
        <v/>
      </c>
    </row>
    <row r="714" spans="1:12" x14ac:dyDescent="0.25">
      <c r="A714" s="64"/>
      <c r="B714" s="64"/>
      <c r="C714" s="65"/>
      <c r="D714" s="65"/>
      <c r="E714" s="65"/>
      <c r="F714" s="61"/>
      <c r="G714" s="61"/>
      <c r="H714" s="61"/>
      <c r="I714" s="61"/>
      <c r="J714" s="61"/>
      <c r="K714" s="3" t="str">
        <f t="shared" si="23"/>
        <v>fail</v>
      </c>
      <c r="L714" s="19" t="str">
        <f>IFERROR(IF(AND(MATCH(A714,Projection_classes,0),YEAR(current_date)='Example - Projections'!B714),"pass","fail"),"")</f>
        <v/>
      </c>
    </row>
    <row r="715" spans="1:12" x14ac:dyDescent="0.25">
      <c r="A715" s="64"/>
      <c r="B715" s="64"/>
      <c r="C715" s="65"/>
      <c r="D715" s="65"/>
      <c r="E715" s="65"/>
      <c r="F715" s="61"/>
      <c r="G715" s="61"/>
      <c r="H715" s="61"/>
      <c r="I715" s="61"/>
      <c r="J715" s="61"/>
      <c r="K715" s="3" t="str">
        <f t="shared" si="23"/>
        <v>fail</v>
      </c>
      <c r="L715" s="19" t="str">
        <f>IFERROR(IF(AND(MATCH(A715,Projection_classes,0),YEAR(current_date)='Example - Projections'!B715),"pass","fail"),"")</f>
        <v/>
      </c>
    </row>
    <row r="716" spans="1:12" x14ac:dyDescent="0.25">
      <c r="A716" s="64"/>
      <c r="B716" s="64"/>
      <c r="C716" s="65"/>
      <c r="D716" s="65"/>
      <c r="E716" s="65"/>
      <c r="F716" s="61"/>
      <c r="G716" s="61"/>
      <c r="H716" s="61"/>
      <c r="I716" s="61"/>
      <c r="J716" s="61"/>
      <c r="K716" s="3" t="str">
        <f t="shared" si="23"/>
        <v>fail</v>
      </c>
      <c r="L716" s="19" t="str">
        <f>IFERROR(IF(AND(MATCH(A716,Projection_classes,0),YEAR(current_date)='Example - Projections'!B716),"pass","fail"),"")</f>
        <v/>
      </c>
    </row>
    <row r="717" spans="1:12" x14ac:dyDescent="0.25">
      <c r="A717" s="64"/>
      <c r="B717" s="64"/>
      <c r="C717" s="65"/>
      <c r="D717" s="65"/>
      <c r="E717" s="65"/>
      <c r="F717" s="61"/>
      <c r="G717" s="61"/>
      <c r="H717" s="61"/>
      <c r="I717" s="61"/>
      <c r="J717" s="61"/>
      <c r="K717" s="3" t="str">
        <f t="shared" si="23"/>
        <v>fail</v>
      </c>
      <c r="L717" s="19" t="str">
        <f>IFERROR(IF(AND(MATCH(A717,Projection_classes,0),YEAR(current_date)='Example - Projections'!B717),"pass","fail"),"")</f>
        <v/>
      </c>
    </row>
    <row r="718" spans="1:12" x14ac:dyDescent="0.25">
      <c r="A718" s="64"/>
      <c r="B718" s="64"/>
      <c r="C718" s="65"/>
      <c r="D718" s="65"/>
      <c r="E718" s="65"/>
      <c r="F718" s="61"/>
      <c r="G718" s="61"/>
      <c r="H718" s="61"/>
      <c r="I718" s="61"/>
      <c r="J718" s="61"/>
      <c r="K718" s="3" t="str">
        <f t="shared" si="23"/>
        <v>fail</v>
      </c>
      <c r="L718" s="19" t="str">
        <f>IFERROR(IF(AND(MATCH(A718,Projection_classes,0),YEAR(current_date)='Example - Projections'!B718),"pass","fail"),"")</f>
        <v/>
      </c>
    </row>
    <row r="719" spans="1:12" x14ac:dyDescent="0.25">
      <c r="A719" s="64"/>
      <c r="B719" s="64"/>
      <c r="C719" s="65"/>
      <c r="D719" s="65"/>
      <c r="E719" s="65"/>
      <c r="F719" s="61"/>
      <c r="G719" s="61"/>
      <c r="H719" s="61"/>
      <c r="I719" s="61"/>
      <c r="J719" s="61"/>
      <c r="K719" s="3" t="str">
        <f t="shared" si="23"/>
        <v>fail</v>
      </c>
      <c r="L719" s="19" t="str">
        <f>IFERROR(IF(AND(MATCH(A719,Projection_classes,0),YEAR(current_date)='Example - Projections'!B719),"pass","fail"),"")</f>
        <v/>
      </c>
    </row>
    <row r="720" spans="1:12" x14ac:dyDescent="0.25">
      <c r="A720" s="64"/>
      <c r="B720" s="64"/>
      <c r="C720" s="65"/>
      <c r="D720" s="65"/>
      <c r="E720" s="65"/>
      <c r="F720" s="61"/>
      <c r="G720" s="61"/>
      <c r="H720" s="61"/>
      <c r="I720" s="61"/>
      <c r="J720" s="61"/>
      <c r="K720" s="3" t="str">
        <f t="shared" si="23"/>
        <v>fail</v>
      </c>
      <c r="L720" s="19" t="str">
        <f>IFERROR(IF(AND(MATCH(A720,Projection_classes,0),YEAR(current_date)='Example - Projections'!B720),"pass","fail"),"")</f>
        <v/>
      </c>
    </row>
    <row r="721" spans="1:12" x14ac:dyDescent="0.25">
      <c r="A721" s="64"/>
      <c r="B721" s="64"/>
      <c r="C721" s="65"/>
      <c r="D721" s="65"/>
      <c r="E721" s="65"/>
      <c r="F721" s="61"/>
      <c r="G721" s="61"/>
      <c r="H721" s="61"/>
      <c r="I721" s="61"/>
      <c r="J721" s="61"/>
      <c r="K721" s="3" t="str">
        <f t="shared" si="23"/>
        <v>fail</v>
      </c>
      <c r="L721" s="19" t="str">
        <f>IFERROR(IF(AND(MATCH(A721,Projection_classes,0),YEAR(current_date)='Example - Projections'!B721),"pass","fail"),"")</f>
        <v/>
      </c>
    </row>
    <row r="722" spans="1:12" x14ac:dyDescent="0.25">
      <c r="A722" s="64"/>
      <c r="B722" s="64"/>
      <c r="C722" s="65"/>
      <c r="D722" s="65"/>
      <c r="E722" s="65"/>
      <c r="F722" s="61"/>
      <c r="G722" s="61"/>
      <c r="H722" s="61"/>
      <c r="I722" s="61"/>
      <c r="J722" s="61"/>
      <c r="K722" s="3" t="str">
        <f t="shared" si="23"/>
        <v>fail</v>
      </c>
      <c r="L722" s="19" t="str">
        <f>IFERROR(IF(AND(MATCH(A722,Projection_classes,0),YEAR(current_date)='Example - Projections'!B722),"pass","fail"),"")</f>
        <v/>
      </c>
    </row>
    <row r="723" spans="1:12" x14ac:dyDescent="0.25">
      <c r="A723" s="64"/>
      <c r="B723" s="64"/>
      <c r="C723" s="65"/>
      <c r="D723" s="65"/>
      <c r="E723" s="65"/>
      <c r="F723" s="61"/>
      <c r="G723" s="61"/>
      <c r="H723" s="61"/>
      <c r="I723" s="61"/>
      <c r="J723" s="61"/>
      <c r="K723" s="3" t="str">
        <f t="shared" si="23"/>
        <v>fail</v>
      </c>
      <c r="L723" s="19" t="str">
        <f>IFERROR(IF(AND(MATCH(A723,Projection_classes,0),YEAR(current_date)='Example - Projections'!B723),"pass","fail"),"")</f>
        <v/>
      </c>
    </row>
    <row r="724" spans="1:12" x14ac:dyDescent="0.25">
      <c r="A724" s="64"/>
      <c r="B724" s="64"/>
      <c r="C724" s="65"/>
      <c r="D724" s="65"/>
      <c r="E724" s="65"/>
      <c r="F724" s="61"/>
      <c r="G724" s="61"/>
      <c r="H724" s="61"/>
      <c r="I724" s="61"/>
      <c r="J724" s="61"/>
      <c r="K724" s="3" t="str">
        <f t="shared" si="23"/>
        <v>fail</v>
      </c>
      <c r="L724" s="19" t="str">
        <f>IFERROR(IF(AND(MATCH(A724,Projection_classes,0),YEAR(current_date)='Example - Projections'!B724),"pass","fail"),"")</f>
        <v/>
      </c>
    </row>
    <row r="725" spans="1:12" x14ac:dyDescent="0.25">
      <c r="A725" s="64"/>
      <c r="B725" s="64"/>
      <c r="C725" s="65"/>
      <c r="D725" s="65"/>
      <c r="E725" s="65"/>
      <c r="F725" s="61"/>
      <c r="G725" s="61"/>
      <c r="H725" s="61"/>
      <c r="I725" s="61"/>
      <c r="J725" s="61"/>
      <c r="K725" s="3" t="str">
        <f t="shared" si="23"/>
        <v>fail</v>
      </c>
      <c r="L725" s="19" t="str">
        <f>IFERROR(IF(AND(MATCH(A725,Projection_classes,0),YEAR(current_date)='Example - Projections'!B725),"pass","fail"),"")</f>
        <v/>
      </c>
    </row>
    <row r="726" spans="1:12" x14ac:dyDescent="0.25">
      <c r="A726" s="64"/>
      <c r="B726" s="64"/>
      <c r="C726" s="65"/>
      <c r="D726" s="65"/>
      <c r="E726" s="65"/>
      <c r="F726" s="61"/>
      <c r="G726" s="61"/>
      <c r="H726" s="61"/>
      <c r="I726" s="61"/>
      <c r="J726" s="61"/>
      <c r="K726" s="3" t="str">
        <f t="shared" si="23"/>
        <v>fail</v>
      </c>
      <c r="L726" s="19" t="str">
        <f>IFERROR(IF(AND(MATCH(A726,Projection_classes,0),YEAR(current_date)='Example - Projections'!B726),"pass","fail"),"")</f>
        <v/>
      </c>
    </row>
    <row r="727" spans="1:12" x14ac:dyDescent="0.25">
      <c r="A727" s="64"/>
      <c r="B727" s="64"/>
      <c r="C727" s="65"/>
      <c r="D727" s="65"/>
      <c r="E727" s="65"/>
      <c r="F727" s="61"/>
      <c r="G727" s="61"/>
      <c r="H727" s="61"/>
      <c r="I727" s="61"/>
      <c r="J727" s="61"/>
      <c r="K727" s="3" t="str">
        <f t="shared" si="23"/>
        <v>fail</v>
      </c>
      <c r="L727" s="19" t="str">
        <f>IFERROR(IF(AND(MATCH(A727,Projection_classes,0),YEAR(current_date)='Example - Projections'!B727),"pass","fail"),"")</f>
        <v/>
      </c>
    </row>
    <row r="728" spans="1:12" x14ac:dyDescent="0.25">
      <c r="A728" s="64"/>
      <c r="B728" s="64"/>
      <c r="C728" s="65"/>
      <c r="D728" s="65"/>
      <c r="E728" s="65"/>
      <c r="F728" s="61"/>
      <c r="G728" s="61"/>
      <c r="H728" s="61"/>
      <c r="I728" s="61"/>
      <c r="J728" s="61"/>
      <c r="K728" s="3" t="str">
        <f t="shared" si="23"/>
        <v>fail</v>
      </c>
      <c r="L728" s="19" t="str">
        <f>IFERROR(IF(AND(MATCH(A728,Projection_classes,0),YEAR(current_date)='Example - Projections'!B728),"pass","fail"),"")</f>
        <v/>
      </c>
    </row>
    <row r="729" spans="1:12" x14ac:dyDescent="0.25">
      <c r="A729" s="64"/>
      <c r="B729" s="64"/>
      <c r="C729" s="65"/>
      <c r="D729" s="65"/>
      <c r="E729" s="65"/>
      <c r="F729" s="61"/>
      <c r="G729" s="61"/>
      <c r="H729" s="61"/>
      <c r="I729" s="61"/>
      <c r="J729" s="61"/>
      <c r="K729" s="3" t="str">
        <f t="shared" si="23"/>
        <v>fail</v>
      </c>
      <c r="L729" s="19" t="str">
        <f>IFERROR(IF(AND(MATCH(A729,Projection_classes,0),YEAR(current_date)='Example - Projections'!B729),"pass","fail"),"")</f>
        <v/>
      </c>
    </row>
    <row r="730" spans="1:12" x14ac:dyDescent="0.25">
      <c r="A730" s="64"/>
      <c r="B730" s="64"/>
      <c r="C730" s="65"/>
      <c r="D730" s="65"/>
      <c r="E730" s="65"/>
      <c r="F730" s="61"/>
      <c r="G730" s="61"/>
      <c r="H730" s="61"/>
      <c r="I730" s="61"/>
      <c r="J730" s="61"/>
      <c r="K730" s="3" t="str">
        <f t="shared" si="23"/>
        <v>fail</v>
      </c>
      <c r="L730" s="19" t="str">
        <f>IFERROR(IF(AND(MATCH(A730,Projection_classes,0),YEAR(current_date)='Example - Projections'!B730),"pass","fail"),"")</f>
        <v/>
      </c>
    </row>
    <row r="731" spans="1:12" x14ac:dyDescent="0.25">
      <c r="A731" s="64"/>
      <c r="B731" s="64"/>
      <c r="C731" s="65"/>
      <c r="D731" s="65"/>
      <c r="E731" s="65"/>
      <c r="F731" s="61"/>
      <c r="G731" s="61"/>
      <c r="H731" s="61"/>
      <c r="I731" s="61"/>
      <c r="J731" s="61"/>
      <c r="K731" s="3" t="str">
        <f t="shared" si="23"/>
        <v>fail</v>
      </c>
      <c r="L731" s="19" t="str">
        <f>IFERROR(IF(AND(MATCH(A731,Projection_classes,0),YEAR(current_date)='Example - Projections'!B731),"pass","fail"),"")</f>
        <v/>
      </c>
    </row>
    <row r="732" spans="1:12" x14ac:dyDescent="0.25">
      <c r="A732" s="64"/>
      <c r="B732" s="64"/>
      <c r="C732" s="65"/>
      <c r="D732" s="65"/>
      <c r="E732" s="65"/>
      <c r="F732" s="61"/>
      <c r="G732" s="61"/>
      <c r="H732" s="61"/>
      <c r="I732" s="61"/>
      <c r="J732" s="61"/>
      <c r="K732" s="3" t="str">
        <f t="shared" si="23"/>
        <v>fail</v>
      </c>
      <c r="L732" s="19" t="str">
        <f>IFERROR(IF(AND(MATCH(A732,Projection_classes,0),YEAR(current_date)='Example - Projections'!B732),"pass","fail"),"")</f>
        <v/>
      </c>
    </row>
    <row r="733" spans="1:12" x14ac:dyDescent="0.25">
      <c r="A733" s="64"/>
      <c r="B733" s="64"/>
      <c r="C733" s="65"/>
      <c r="D733" s="65"/>
      <c r="E733" s="65"/>
      <c r="F733" s="61"/>
      <c r="G733" s="61"/>
      <c r="H733" s="61"/>
      <c r="I733" s="61"/>
      <c r="J733" s="61"/>
      <c r="K733" s="3" t="str">
        <f t="shared" si="23"/>
        <v>fail</v>
      </c>
      <c r="L733" s="19" t="str">
        <f>IFERROR(IF(AND(MATCH(A733,Projection_classes,0),YEAR(current_date)='Example - Projections'!B733),"pass","fail"),"")</f>
        <v/>
      </c>
    </row>
    <row r="734" spans="1:12" x14ac:dyDescent="0.25">
      <c r="A734" s="64"/>
      <c r="B734" s="64"/>
      <c r="C734" s="65"/>
      <c r="D734" s="65"/>
      <c r="E734" s="65"/>
      <c r="F734" s="61"/>
      <c r="G734" s="61"/>
      <c r="H734" s="61"/>
      <c r="I734" s="61"/>
      <c r="J734" s="61"/>
      <c r="K734" s="3" t="str">
        <f t="shared" si="23"/>
        <v>fail</v>
      </c>
      <c r="L734" s="19" t="str">
        <f>IFERROR(IF(AND(MATCH(A734,Projection_classes,0),YEAR(current_date)='Example - Projections'!B734),"pass","fail"),"")</f>
        <v/>
      </c>
    </row>
    <row r="735" spans="1:12" x14ac:dyDescent="0.25">
      <c r="A735" s="64"/>
      <c r="B735" s="64"/>
      <c r="C735" s="65"/>
      <c r="D735" s="65"/>
      <c r="E735" s="65"/>
      <c r="F735" s="61"/>
      <c r="G735" s="61"/>
      <c r="H735" s="61"/>
      <c r="I735" s="61"/>
      <c r="J735" s="61"/>
      <c r="K735" s="3" t="str">
        <f t="shared" si="23"/>
        <v>fail</v>
      </c>
      <c r="L735" s="19" t="str">
        <f>IFERROR(IF(AND(MATCH(A735,Projection_classes,0),YEAR(current_date)='Example - Projections'!B735),"pass","fail"),"")</f>
        <v/>
      </c>
    </row>
    <row r="736" spans="1:12" x14ac:dyDescent="0.25">
      <c r="A736" s="64"/>
      <c r="B736" s="64"/>
      <c r="C736" s="65"/>
      <c r="D736" s="65"/>
      <c r="E736" s="65"/>
      <c r="F736" s="61"/>
      <c r="G736" s="61"/>
      <c r="H736" s="61"/>
      <c r="I736" s="61"/>
      <c r="J736" s="61"/>
      <c r="K736" s="3" t="str">
        <f t="shared" si="23"/>
        <v>fail</v>
      </c>
      <c r="L736" s="19" t="str">
        <f>IFERROR(IF(AND(MATCH(A736,Projection_classes,0),YEAR(current_date)='Example - Projections'!B736),"pass","fail"),"")</f>
        <v/>
      </c>
    </row>
    <row r="737" spans="1:12" x14ac:dyDescent="0.25">
      <c r="A737" s="64"/>
      <c r="B737" s="64"/>
      <c r="C737" s="65"/>
      <c r="D737" s="65"/>
      <c r="E737" s="65"/>
      <c r="F737" s="61"/>
      <c r="G737" s="61"/>
      <c r="H737" s="61"/>
      <c r="I737" s="61"/>
      <c r="J737" s="61"/>
      <c r="K737" s="3" t="str">
        <f t="shared" si="23"/>
        <v>fail</v>
      </c>
      <c r="L737" s="19" t="str">
        <f>IFERROR(IF(AND(MATCH(A737,Projection_classes,0),YEAR(current_date)='Example - Projections'!B737),"pass","fail"),"")</f>
        <v/>
      </c>
    </row>
    <row r="738" spans="1:12" x14ac:dyDescent="0.25">
      <c r="A738" s="64"/>
      <c r="B738" s="64"/>
      <c r="C738" s="65"/>
      <c r="D738" s="65"/>
      <c r="E738" s="65"/>
      <c r="F738" s="61"/>
      <c r="G738" s="61"/>
      <c r="H738" s="61"/>
      <c r="I738" s="61"/>
      <c r="J738" s="61"/>
      <c r="K738" s="3" t="str">
        <f t="shared" si="23"/>
        <v>fail</v>
      </c>
      <c r="L738" s="19" t="str">
        <f>IFERROR(IF(AND(MATCH(A738,Projection_classes,0),YEAR(current_date)='Example - Projections'!B738),"pass","fail"),"")</f>
        <v/>
      </c>
    </row>
    <row r="739" spans="1:12" x14ac:dyDescent="0.25">
      <c r="A739" s="64"/>
      <c r="B739" s="64"/>
      <c r="C739" s="65"/>
      <c r="D739" s="65"/>
      <c r="E739" s="65"/>
      <c r="F739" s="61"/>
      <c r="G739" s="61"/>
      <c r="H739" s="61"/>
      <c r="I739" s="61"/>
      <c r="J739" s="61"/>
      <c r="K739" s="3" t="str">
        <f t="shared" si="23"/>
        <v>fail</v>
      </c>
      <c r="L739" s="19" t="str">
        <f>IFERROR(IF(AND(MATCH(A739,Projection_classes,0),YEAR(current_date)='Example - Projections'!B739),"pass","fail"),"")</f>
        <v/>
      </c>
    </row>
    <row r="740" spans="1:12" x14ac:dyDescent="0.25">
      <c r="A740" s="64"/>
      <c r="B740" s="64"/>
      <c r="C740" s="65"/>
      <c r="D740" s="65"/>
      <c r="E740" s="65"/>
      <c r="F740" s="61"/>
      <c r="G740" s="61"/>
      <c r="H740" s="61"/>
      <c r="I740" s="61"/>
      <c r="J740" s="61"/>
      <c r="K740" s="3" t="str">
        <f t="shared" si="23"/>
        <v>fail</v>
      </c>
      <c r="L740" s="19" t="str">
        <f>IFERROR(IF(AND(MATCH(A740,Projection_classes,0),YEAR(current_date)='Example - Projections'!B740),"pass","fail"),"")</f>
        <v/>
      </c>
    </row>
    <row r="741" spans="1:12" x14ac:dyDescent="0.25">
      <c r="A741" s="64"/>
      <c r="B741" s="64"/>
      <c r="C741" s="65"/>
      <c r="D741" s="65"/>
      <c r="E741" s="65"/>
      <c r="F741" s="61"/>
      <c r="G741" s="61"/>
      <c r="H741" s="61"/>
      <c r="I741" s="61"/>
      <c r="J741" s="61"/>
      <c r="K741" s="3" t="str">
        <f t="shared" si="23"/>
        <v>fail</v>
      </c>
      <c r="L741" s="19" t="str">
        <f>IFERROR(IF(AND(MATCH(A741,Projection_classes,0),YEAR(current_date)='Example - Projections'!B741),"pass","fail"),"")</f>
        <v/>
      </c>
    </row>
    <row r="742" spans="1:12" x14ac:dyDescent="0.25">
      <c r="A742" s="64"/>
      <c r="B742" s="64"/>
      <c r="C742" s="65"/>
      <c r="D742" s="65"/>
      <c r="E742" s="65"/>
      <c r="F742" s="61"/>
      <c r="G742" s="61"/>
      <c r="H742" s="61"/>
      <c r="I742" s="61"/>
      <c r="J742" s="61"/>
      <c r="K742" s="3" t="str">
        <f t="shared" si="23"/>
        <v>fail</v>
      </c>
      <c r="L742" s="19" t="str">
        <f>IFERROR(IF(AND(MATCH(A742,Projection_classes,0),YEAR(current_date)='Example - Projections'!B742),"pass","fail"),"")</f>
        <v/>
      </c>
    </row>
    <row r="743" spans="1:12" x14ac:dyDescent="0.25">
      <c r="A743" s="64"/>
      <c r="B743" s="64"/>
      <c r="C743" s="65"/>
      <c r="D743" s="65"/>
      <c r="E743" s="65"/>
      <c r="F743" s="61"/>
      <c r="G743" s="61"/>
      <c r="H743" s="61"/>
      <c r="I743" s="61"/>
      <c r="J743" s="61"/>
      <c r="K743" s="3" t="str">
        <f t="shared" si="23"/>
        <v>fail</v>
      </c>
      <c r="L743" s="19" t="str">
        <f>IFERROR(IF(AND(MATCH(A743,Projection_classes,0),YEAR(current_date)='Example - Projections'!B743),"pass","fail"),"")</f>
        <v/>
      </c>
    </row>
    <row r="744" spans="1:12" x14ac:dyDescent="0.25">
      <c r="A744" s="64"/>
      <c r="B744" s="64"/>
      <c r="C744" s="65"/>
      <c r="D744" s="65"/>
      <c r="E744" s="65"/>
      <c r="F744" s="61"/>
      <c r="G744" s="61"/>
      <c r="H744" s="61"/>
      <c r="I744" s="61"/>
      <c r="J744" s="61"/>
      <c r="K744" s="3" t="str">
        <f t="shared" si="23"/>
        <v>fail</v>
      </c>
      <c r="L744" s="19" t="str">
        <f>IFERROR(IF(AND(MATCH(A744,Projection_classes,0),YEAR(current_date)='Example - Projections'!B744),"pass","fail"),"")</f>
        <v/>
      </c>
    </row>
    <row r="745" spans="1:12" x14ac:dyDescent="0.25">
      <c r="A745" s="64"/>
      <c r="B745" s="64"/>
      <c r="C745" s="65"/>
      <c r="D745" s="65"/>
      <c r="E745" s="65"/>
      <c r="F745" s="61"/>
      <c r="G745" s="61"/>
      <c r="H745" s="61"/>
      <c r="I745" s="61"/>
      <c r="J745" s="61"/>
      <c r="K745" s="3" t="str">
        <f t="shared" si="23"/>
        <v>fail</v>
      </c>
      <c r="L745" s="19" t="str">
        <f>IFERROR(IF(AND(MATCH(A745,Projection_classes,0),YEAR(current_date)='Example - Projections'!B745),"pass","fail"),"")</f>
        <v/>
      </c>
    </row>
    <row r="746" spans="1:12" x14ac:dyDescent="0.25">
      <c r="A746" s="64"/>
      <c r="B746" s="64"/>
      <c r="C746" s="65"/>
      <c r="D746" s="65"/>
      <c r="E746" s="65"/>
      <c r="F746" s="61"/>
      <c r="G746" s="61"/>
      <c r="H746" s="61"/>
      <c r="I746" s="61"/>
      <c r="J746" s="61"/>
      <c r="K746" s="3" t="str">
        <f t="shared" si="23"/>
        <v>fail</v>
      </c>
      <c r="L746" s="19" t="str">
        <f>IFERROR(IF(AND(MATCH(A746,Projection_classes,0),YEAR(current_date)='Example - Projections'!B746),"pass","fail"),"")</f>
        <v/>
      </c>
    </row>
    <row r="747" spans="1:12" x14ac:dyDescent="0.25">
      <c r="A747" s="64"/>
      <c r="B747" s="64"/>
      <c r="C747" s="65"/>
      <c r="D747" s="65"/>
      <c r="E747" s="65"/>
      <c r="F747" s="61"/>
      <c r="G747" s="61"/>
      <c r="H747" s="61"/>
      <c r="I747" s="61"/>
      <c r="J747" s="61"/>
      <c r="K747" s="3" t="str">
        <f t="shared" si="23"/>
        <v>fail</v>
      </c>
      <c r="L747" s="19" t="str">
        <f>IFERROR(IF(AND(MATCH(A747,Projection_classes,0),YEAR(current_date)='Example - Projections'!B747),"pass","fail"),"")</f>
        <v/>
      </c>
    </row>
    <row r="748" spans="1:12" x14ac:dyDescent="0.25">
      <c r="A748" s="64"/>
      <c r="B748" s="64"/>
      <c r="C748" s="65"/>
      <c r="D748" s="65"/>
      <c r="E748" s="65"/>
      <c r="F748" s="61"/>
      <c r="G748" s="61"/>
      <c r="H748" s="61"/>
      <c r="I748" s="61"/>
      <c r="J748" s="61"/>
      <c r="K748" s="3" t="str">
        <f t="shared" si="23"/>
        <v>fail</v>
      </c>
      <c r="L748" s="19" t="str">
        <f>IFERROR(IF(AND(MATCH(A748,Projection_classes,0),YEAR(current_date)='Example - Projections'!B748),"pass","fail"),"")</f>
        <v/>
      </c>
    </row>
    <row r="749" spans="1:12" x14ac:dyDescent="0.25">
      <c r="A749" s="64"/>
      <c r="B749" s="64"/>
      <c r="C749" s="65"/>
      <c r="D749" s="65"/>
      <c r="E749" s="65"/>
      <c r="F749" s="61"/>
      <c r="G749" s="61"/>
      <c r="H749" s="61"/>
      <c r="I749" s="61"/>
      <c r="J749" s="61"/>
      <c r="K749" s="3" t="str">
        <f t="shared" si="23"/>
        <v>fail</v>
      </c>
      <c r="L749" s="19" t="str">
        <f>IFERROR(IF(AND(MATCH(A749,Projection_classes,0),YEAR(current_date)='Example - Projections'!B749),"pass","fail"),"")</f>
        <v/>
      </c>
    </row>
    <row r="750" spans="1:12" x14ac:dyDescent="0.25">
      <c r="A750" s="64"/>
      <c r="B750" s="64"/>
      <c r="C750" s="65"/>
      <c r="D750" s="65"/>
      <c r="E750" s="65"/>
      <c r="F750" s="61"/>
      <c r="G750" s="61"/>
      <c r="H750" s="61"/>
      <c r="I750" s="61"/>
      <c r="J750" s="61"/>
      <c r="K750" s="3" t="str">
        <f t="shared" si="23"/>
        <v>fail</v>
      </c>
      <c r="L750" s="19" t="str">
        <f>IFERROR(IF(AND(MATCH(A750,Projection_classes,0),YEAR(current_date)='Example - Projections'!B750),"pass","fail"),"")</f>
        <v/>
      </c>
    </row>
    <row r="751" spans="1:12" x14ac:dyDescent="0.25">
      <c r="A751" s="64"/>
      <c r="B751" s="64"/>
      <c r="C751" s="65"/>
      <c r="D751" s="65"/>
      <c r="E751" s="65"/>
      <c r="F751" s="61"/>
      <c r="G751" s="61"/>
      <c r="H751" s="61"/>
      <c r="I751" s="61"/>
      <c r="J751" s="61"/>
      <c r="K751" s="3" t="str">
        <f t="shared" si="23"/>
        <v>fail</v>
      </c>
      <c r="L751" s="19" t="str">
        <f>IFERROR(IF(AND(MATCH(A751,Projection_classes,0),YEAR(current_date)='Example - Projections'!B751),"pass","fail"),"")</f>
        <v/>
      </c>
    </row>
    <row r="752" spans="1:12" x14ac:dyDescent="0.25">
      <c r="A752" s="64"/>
      <c r="B752" s="64"/>
      <c r="C752" s="65"/>
      <c r="D752" s="65"/>
      <c r="E752" s="65"/>
      <c r="F752" s="61"/>
      <c r="G752" s="61"/>
      <c r="H752" s="61"/>
      <c r="I752" s="61"/>
      <c r="J752" s="61"/>
      <c r="K752" s="3" t="str">
        <f t="shared" si="23"/>
        <v>fail</v>
      </c>
      <c r="L752" s="19" t="str">
        <f>IFERROR(IF(AND(MATCH(A752,Projection_classes,0),YEAR(current_date)='Example - Projections'!B752),"pass","fail"),"")</f>
        <v/>
      </c>
    </row>
    <row r="753" spans="1:12" x14ac:dyDescent="0.25">
      <c r="A753" s="64"/>
      <c r="B753" s="64"/>
      <c r="C753" s="65"/>
      <c r="D753" s="65"/>
      <c r="E753" s="65"/>
      <c r="F753" s="61"/>
      <c r="G753" s="61"/>
      <c r="H753" s="61"/>
      <c r="I753" s="61"/>
      <c r="J753" s="61"/>
      <c r="K753" s="3" t="str">
        <f t="shared" si="23"/>
        <v>fail</v>
      </c>
      <c r="L753" s="19" t="str">
        <f>IFERROR(IF(AND(MATCH(A753,Projection_classes,0),YEAR(current_date)='Example - Projections'!B753),"pass","fail"),"")</f>
        <v/>
      </c>
    </row>
    <row r="754" spans="1:12" x14ac:dyDescent="0.25">
      <c r="A754" s="64"/>
      <c r="B754" s="64"/>
      <c r="C754" s="65"/>
      <c r="D754" s="65"/>
      <c r="E754" s="65"/>
      <c r="F754" s="61"/>
      <c r="G754" s="61"/>
      <c r="H754" s="61"/>
      <c r="I754" s="61"/>
      <c r="J754" s="61"/>
      <c r="K754" s="3" t="str">
        <f t="shared" si="23"/>
        <v>fail</v>
      </c>
      <c r="L754" s="19" t="str">
        <f>IFERROR(IF(AND(MATCH(A754,Projection_classes,0),YEAR(current_date)='Example - Projections'!B754),"pass","fail"),"")</f>
        <v/>
      </c>
    </row>
    <row r="755" spans="1:12" x14ac:dyDescent="0.25">
      <c r="A755" s="64"/>
      <c r="B755" s="64"/>
      <c r="C755" s="65"/>
      <c r="D755" s="65"/>
      <c r="E755" s="65"/>
      <c r="F755" s="61"/>
      <c r="G755" s="61"/>
      <c r="H755" s="61"/>
      <c r="I755" s="61"/>
      <c r="J755" s="61"/>
      <c r="K755" s="3" t="str">
        <f t="shared" si="23"/>
        <v>fail</v>
      </c>
      <c r="L755" s="19" t="str">
        <f>IFERROR(IF(AND(MATCH(A755,Projection_classes,0),YEAR(current_date)='Example - Projections'!B755),"pass","fail"),"")</f>
        <v/>
      </c>
    </row>
    <row r="756" spans="1:12" x14ac:dyDescent="0.25">
      <c r="A756" s="64"/>
      <c r="B756" s="64"/>
      <c r="C756" s="65"/>
      <c r="D756" s="65"/>
      <c r="E756" s="65"/>
      <c r="F756" s="61"/>
      <c r="G756" s="61"/>
      <c r="H756" s="61"/>
      <c r="I756" s="61"/>
      <c r="J756" s="61"/>
      <c r="K756" s="3" t="str">
        <f t="shared" si="23"/>
        <v>fail</v>
      </c>
      <c r="L756" s="19" t="str">
        <f>IFERROR(IF(AND(MATCH(A756,Projection_classes,0),YEAR(current_date)='Example - Projections'!B756),"pass","fail"),"")</f>
        <v/>
      </c>
    </row>
    <row r="757" spans="1:12" x14ac:dyDescent="0.25">
      <c r="A757" s="64"/>
      <c r="B757" s="64"/>
      <c r="C757" s="65"/>
      <c r="D757" s="65"/>
      <c r="E757" s="65"/>
      <c r="F757" s="61"/>
      <c r="G757" s="61"/>
      <c r="H757" s="61"/>
      <c r="I757" s="61"/>
      <c r="J757" s="61"/>
      <c r="K757" s="3" t="str">
        <f t="shared" si="23"/>
        <v>fail</v>
      </c>
      <c r="L757" s="19" t="str">
        <f>IFERROR(IF(AND(MATCH(A757,Projection_classes,0),YEAR(current_date)='Example - Projections'!B757),"pass","fail"),"")</f>
        <v/>
      </c>
    </row>
    <row r="758" spans="1:12" x14ac:dyDescent="0.25">
      <c r="A758" s="64"/>
      <c r="B758" s="64"/>
      <c r="C758" s="65"/>
      <c r="D758" s="65"/>
      <c r="E758" s="65"/>
      <c r="F758" s="61"/>
      <c r="G758" s="61"/>
      <c r="H758" s="61"/>
      <c r="I758" s="61"/>
      <c r="J758" s="61"/>
      <c r="K758" s="3" t="str">
        <f t="shared" si="23"/>
        <v>fail</v>
      </c>
      <c r="L758" s="19" t="str">
        <f>IFERROR(IF(AND(MATCH(A758,Projection_classes,0),YEAR(current_date)='Example - Projections'!B758),"pass","fail"),"")</f>
        <v/>
      </c>
    </row>
    <row r="759" spans="1:12" x14ac:dyDescent="0.25">
      <c r="A759" s="64"/>
      <c r="B759" s="64"/>
      <c r="C759" s="65"/>
      <c r="D759" s="65"/>
      <c r="E759" s="65"/>
      <c r="F759" s="61"/>
      <c r="G759" s="61"/>
      <c r="H759" s="61"/>
      <c r="I759" s="61"/>
      <c r="J759" s="61"/>
      <c r="K759" s="3" t="str">
        <f t="shared" si="23"/>
        <v>fail</v>
      </c>
      <c r="L759" s="19" t="str">
        <f>IFERROR(IF(AND(MATCH(A759,Projection_classes,0),YEAR(current_date)='Example - Projections'!B759),"pass","fail"),"")</f>
        <v/>
      </c>
    </row>
    <row r="760" spans="1:12" x14ac:dyDescent="0.25">
      <c r="A760" s="64"/>
      <c r="B760" s="64"/>
      <c r="C760" s="65"/>
      <c r="D760" s="65"/>
      <c r="E760" s="65"/>
      <c r="F760" s="61"/>
      <c r="G760" s="61"/>
      <c r="H760" s="61"/>
      <c r="I760" s="61"/>
      <c r="J760" s="61"/>
      <c r="K760" s="3" t="str">
        <f t="shared" si="23"/>
        <v>fail</v>
      </c>
      <c r="L760" s="19" t="str">
        <f>IFERROR(IF(AND(MATCH(A760,Projection_classes,0),YEAR(current_date)='Example - Projections'!B760),"pass","fail"),"")</f>
        <v/>
      </c>
    </row>
    <row r="761" spans="1:12" x14ac:dyDescent="0.25">
      <c r="A761" s="64"/>
      <c r="B761" s="64"/>
      <c r="C761" s="65"/>
      <c r="D761" s="65"/>
      <c r="E761" s="65"/>
      <c r="F761" s="61"/>
      <c r="G761" s="61"/>
      <c r="H761" s="61"/>
      <c r="I761" s="61"/>
      <c r="J761" s="61"/>
      <c r="K761" s="3" t="str">
        <f t="shared" si="23"/>
        <v>fail</v>
      </c>
      <c r="L761" s="19" t="str">
        <f>IFERROR(IF(AND(MATCH(A761,Projection_classes,0),YEAR(current_date)='Example - Projections'!B761),"pass","fail"),"")</f>
        <v/>
      </c>
    </row>
    <row r="762" spans="1:12" x14ac:dyDescent="0.25">
      <c r="A762" s="64"/>
      <c r="B762" s="64"/>
      <c r="C762" s="65"/>
      <c r="D762" s="65"/>
      <c r="E762" s="65"/>
      <c r="F762" s="61"/>
      <c r="G762" s="61"/>
      <c r="H762" s="61"/>
      <c r="I762" s="61"/>
      <c r="J762" s="61"/>
      <c r="K762" s="3" t="str">
        <f t="shared" si="23"/>
        <v>fail</v>
      </c>
      <c r="L762" s="19" t="str">
        <f>IFERROR(IF(AND(MATCH(A762,Projection_classes,0),YEAR(current_date)='Example - Projections'!B762),"pass","fail"),"")</f>
        <v/>
      </c>
    </row>
    <row r="763" spans="1:12" x14ac:dyDescent="0.25">
      <c r="A763" s="64"/>
      <c r="B763" s="64"/>
      <c r="C763" s="65"/>
      <c r="D763" s="65"/>
      <c r="E763" s="65"/>
      <c r="F763" s="61"/>
      <c r="G763" s="61"/>
      <c r="H763" s="61"/>
      <c r="I763" s="61"/>
      <c r="J763" s="61"/>
      <c r="K763" s="3" t="str">
        <f t="shared" si="23"/>
        <v>fail</v>
      </c>
      <c r="L763" s="19" t="str">
        <f>IFERROR(IF(AND(MATCH(A763,Projection_classes,0),YEAR(current_date)='Example - Projections'!B763),"pass","fail"),"")</f>
        <v/>
      </c>
    </row>
    <row r="764" spans="1:12" x14ac:dyDescent="0.25">
      <c r="A764" s="64"/>
      <c r="B764" s="64"/>
      <c r="C764" s="65"/>
      <c r="D764" s="65"/>
      <c r="E764" s="65"/>
      <c r="F764" s="61"/>
      <c r="G764" s="61"/>
      <c r="H764" s="61"/>
      <c r="I764" s="61"/>
      <c r="J764" s="61"/>
      <c r="K764" s="3" t="str">
        <f t="shared" si="23"/>
        <v>fail</v>
      </c>
      <c r="L764" s="19" t="str">
        <f>IFERROR(IF(AND(MATCH(A764,Projection_classes,0),YEAR(current_date)='Example - Projections'!B764),"pass","fail"),"")</f>
        <v/>
      </c>
    </row>
    <row r="765" spans="1:12" x14ac:dyDescent="0.25">
      <c r="A765" s="64"/>
      <c r="B765" s="64"/>
      <c r="C765" s="65"/>
      <c r="D765" s="65"/>
      <c r="E765" s="65"/>
      <c r="F765" s="61"/>
      <c r="G765" s="61"/>
      <c r="H765" s="61"/>
      <c r="I765" s="61"/>
      <c r="J765" s="61"/>
      <c r="K765" s="3" t="str">
        <f t="shared" si="23"/>
        <v>fail</v>
      </c>
      <c r="L765" s="19" t="str">
        <f>IFERROR(IF(AND(MATCH(A765,Projection_classes,0),YEAR(current_date)='Example - Projections'!B765),"pass","fail"),"")</f>
        <v/>
      </c>
    </row>
    <row r="766" spans="1:12" x14ac:dyDescent="0.25">
      <c r="A766" s="64"/>
      <c r="B766" s="64"/>
      <c r="C766" s="65"/>
      <c r="D766" s="65"/>
      <c r="E766" s="65"/>
      <c r="F766" s="61"/>
      <c r="G766" s="61"/>
      <c r="H766" s="61"/>
      <c r="I766" s="61"/>
      <c r="J766" s="61"/>
      <c r="K766" s="3" t="str">
        <f t="shared" si="23"/>
        <v>fail</v>
      </c>
      <c r="L766" s="19" t="str">
        <f>IFERROR(IF(AND(MATCH(A766,Projection_classes,0),YEAR(current_date)='Example - Projections'!B766),"pass","fail"),"")</f>
        <v/>
      </c>
    </row>
    <row r="767" spans="1:12" x14ac:dyDescent="0.25">
      <c r="A767" s="64"/>
      <c r="B767" s="64"/>
      <c r="C767" s="65"/>
      <c r="D767" s="65"/>
      <c r="E767" s="65"/>
      <c r="F767" s="61"/>
      <c r="G767" s="61"/>
      <c r="H767" s="61"/>
      <c r="I767" s="61"/>
      <c r="J767" s="61"/>
      <c r="K767" s="3" t="str">
        <f t="shared" si="23"/>
        <v>fail</v>
      </c>
      <c r="L767" s="19" t="str">
        <f>IFERROR(IF(AND(MATCH(A767,Projection_classes,0),YEAR(current_date)='Example - Projections'!B767),"pass","fail"),"")</f>
        <v/>
      </c>
    </row>
    <row r="768" spans="1:12" x14ac:dyDescent="0.25">
      <c r="A768" s="64"/>
      <c r="B768" s="64"/>
      <c r="C768" s="65"/>
      <c r="D768" s="65"/>
      <c r="E768" s="65"/>
      <c r="F768" s="61"/>
      <c r="G768" s="61"/>
      <c r="H768" s="61"/>
      <c r="I768" s="61"/>
      <c r="J768" s="61"/>
      <c r="K768" s="3" t="str">
        <f t="shared" si="23"/>
        <v>fail</v>
      </c>
      <c r="L768" s="19" t="str">
        <f>IFERROR(IF(AND(MATCH(A768,Projection_classes,0),YEAR(current_date)='Example - Projections'!B768),"pass","fail"),"")</f>
        <v/>
      </c>
    </row>
    <row r="769" spans="1:12" x14ac:dyDescent="0.25">
      <c r="A769" s="64"/>
      <c r="B769" s="64"/>
      <c r="C769" s="65"/>
      <c r="D769" s="65"/>
      <c r="E769" s="65"/>
      <c r="F769" s="61"/>
      <c r="G769" s="61"/>
      <c r="H769" s="61"/>
      <c r="I769" s="61"/>
      <c r="J769" s="61"/>
      <c r="K769" s="3" t="str">
        <f t="shared" si="23"/>
        <v>fail</v>
      </c>
      <c r="L769" s="19" t="str">
        <f>IFERROR(IF(AND(MATCH(A769,Projection_classes,0),YEAR(current_date)='Example - Projections'!B769),"pass","fail"),"")</f>
        <v/>
      </c>
    </row>
    <row r="770" spans="1:12" x14ac:dyDescent="0.25">
      <c r="A770" s="64"/>
      <c r="B770" s="64"/>
      <c r="C770" s="65"/>
      <c r="D770" s="65"/>
      <c r="E770" s="65"/>
      <c r="F770" s="61"/>
      <c r="G770" s="61"/>
      <c r="H770" s="61"/>
      <c r="I770" s="61"/>
      <c r="J770" s="61"/>
      <c r="K770" s="3" t="str">
        <f t="shared" ref="K770:K833" si="24">IF(OR(B770&lt;$N$1,B770&gt;$P$1),"fail","pass")</f>
        <v>fail</v>
      </c>
      <c r="L770" s="19" t="str">
        <f>IFERROR(IF(AND(MATCH(A770,Projection_classes,0),YEAR(current_date)='Example - Projections'!B770),"pass","fail"),"")</f>
        <v/>
      </c>
    </row>
    <row r="771" spans="1:12" x14ac:dyDescent="0.25">
      <c r="A771" s="64"/>
      <c r="B771" s="64"/>
      <c r="C771" s="65"/>
      <c r="D771" s="65"/>
      <c r="E771" s="65"/>
      <c r="F771" s="61"/>
      <c r="G771" s="61"/>
      <c r="H771" s="61"/>
      <c r="I771" s="61"/>
      <c r="J771" s="61"/>
      <c r="K771" s="3" t="str">
        <f t="shared" si="24"/>
        <v>fail</v>
      </c>
      <c r="L771" s="19" t="str">
        <f>IFERROR(IF(AND(MATCH(A771,Projection_classes,0),YEAR(current_date)='Example - Projections'!B771),"pass","fail"),"")</f>
        <v/>
      </c>
    </row>
    <row r="772" spans="1:12" x14ac:dyDescent="0.25">
      <c r="A772" s="64"/>
      <c r="B772" s="64"/>
      <c r="C772" s="65"/>
      <c r="D772" s="65"/>
      <c r="E772" s="65"/>
      <c r="F772" s="61"/>
      <c r="G772" s="61"/>
      <c r="H772" s="61"/>
      <c r="I772" s="61"/>
      <c r="J772" s="61"/>
      <c r="K772" s="3" t="str">
        <f t="shared" si="24"/>
        <v>fail</v>
      </c>
      <c r="L772" s="19" t="str">
        <f>IFERROR(IF(AND(MATCH(A772,Projection_classes,0),YEAR(current_date)='Example - Projections'!B772),"pass","fail"),"")</f>
        <v/>
      </c>
    </row>
    <row r="773" spans="1:12" x14ac:dyDescent="0.25">
      <c r="A773" s="64"/>
      <c r="B773" s="64"/>
      <c r="C773" s="65"/>
      <c r="D773" s="65"/>
      <c r="E773" s="65"/>
      <c r="F773" s="61"/>
      <c r="G773" s="61"/>
      <c r="H773" s="61"/>
      <c r="I773" s="61"/>
      <c r="J773" s="61"/>
      <c r="K773" s="3" t="str">
        <f t="shared" si="24"/>
        <v>fail</v>
      </c>
      <c r="L773" s="19" t="str">
        <f>IFERROR(IF(AND(MATCH(A773,Projection_classes,0),YEAR(current_date)='Example - Projections'!B773),"pass","fail"),"")</f>
        <v/>
      </c>
    </row>
    <row r="774" spans="1:12" x14ac:dyDescent="0.25">
      <c r="A774" s="64"/>
      <c r="B774" s="64"/>
      <c r="C774" s="65"/>
      <c r="D774" s="65"/>
      <c r="E774" s="65"/>
      <c r="F774" s="61"/>
      <c r="G774" s="61"/>
      <c r="H774" s="61"/>
      <c r="I774" s="61"/>
      <c r="J774" s="61"/>
      <c r="K774" s="3" t="str">
        <f t="shared" si="24"/>
        <v>fail</v>
      </c>
      <c r="L774" s="19" t="str">
        <f>IFERROR(IF(AND(MATCH(A774,Projection_classes,0),YEAR(current_date)='Example - Projections'!B774),"pass","fail"),"")</f>
        <v/>
      </c>
    </row>
    <row r="775" spans="1:12" x14ac:dyDescent="0.25">
      <c r="A775" s="64"/>
      <c r="B775" s="64"/>
      <c r="C775" s="65"/>
      <c r="D775" s="65"/>
      <c r="E775" s="65"/>
      <c r="F775" s="61"/>
      <c r="G775" s="61"/>
      <c r="H775" s="61"/>
      <c r="I775" s="61"/>
      <c r="J775" s="61"/>
      <c r="K775" s="3" t="str">
        <f t="shared" si="24"/>
        <v>fail</v>
      </c>
      <c r="L775" s="19" t="str">
        <f>IFERROR(IF(AND(MATCH(A775,Projection_classes,0),YEAR(current_date)='Example - Projections'!B775),"pass","fail"),"")</f>
        <v/>
      </c>
    </row>
    <row r="776" spans="1:12" x14ac:dyDescent="0.25">
      <c r="A776" s="64"/>
      <c r="B776" s="64"/>
      <c r="C776" s="65"/>
      <c r="D776" s="65"/>
      <c r="E776" s="65"/>
      <c r="F776" s="61"/>
      <c r="G776" s="61"/>
      <c r="H776" s="61"/>
      <c r="I776" s="61"/>
      <c r="J776" s="61"/>
      <c r="K776" s="3" t="str">
        <f t="shared" si="24"/>
        <v>fail</v>
      </c>
      <c r="L776" s="19" t="str">
        <f>IFERROR(IF(AND(MATCH(A776,Projection_classes,0),YEAR(current_date)='Example - Projections'!B776),"pass","fail"),"")</f>
        <v/>
      </c>
    </row>
    <row r="777" spans="1:12" x14ac:dyDescent="0.25">
      <c r="A777" s="64"/>
      <c r="B777" s="64"/>
      <c r="C777" s="65"/>
      <c r="D777" s="65"/>
      <c r="E777" s="65"/>
      <c r="F777" s="61"/>
      <c r="G777" s="61"/>
      <c r="H777" s="61"/>
      <c r="I777" s="61"/>
      <c r="J777" s="61"/>
      <c r="K777" s="3" t="str">
        <f t="shared" si="24"/>
        <v>fail</v>
      </c>
      <c r="L777" s="19" t="str">
        <f>IFERROR(IF(AND(MATCH(A777,Projection_classes,0),YEAR(current_date)='Example - Projections'!B777),"pass","fail"),"")</f>
        <v/>
      </c>
    </row>
    <row r="778" spans="1:12" x14ac:dyDescent="0.25">
      <c r="A778" s="64"/>
      <c r="B778" s="64"/>
      <c r="C778" s="65"/>
      <c r="D778" s="65"/>
      <c r="E778" s="65"/>
      <c r="F778" s="61"/>
      <c r="G778" s="61"/>
      <c r="H778" s="61"/>
      <c r="I778" s="61"/>
      <c r="J778" s="61"/>
      <c r="K778" s="3" t="str">
        <f t="shared" si="24"/>
        <v>fail</v>
      </c>
      <c r="L778" s="19" t="str">
        <f>IFERROR(IF(AND(MATCH(A778,Projection_classes,0),YEAR(current_date)='Example - Projections'!B778),"pass","fail"),"")</f>
        <v/>
      </c>
    </row>
    <row r="779" spans="1:12" x14ac:dyDescent="0.25">
      <c r="A779" s="64"/>
      <c r="B779" s="64"/>
      <c r="C779" s="65"/>
      <c r="D779" s="65"/>
      <c r="E779" s="65"/>
      <c r="F779" s="61"/>
      <c r="G779" s="61"/>
      <c r="H779" s="61"/>
      <c r="I779" s="61"/>
      <c r="J779" s="61"/>
      <c r="K779" s="3" t="str">
        <f t="shared" si="24"/>
        <v>fail</v>
      </c>
      <c r="L779" s="19" t="str">
        <f>IFERROR(IF(AND(MATCH(A779,Projection_classes,0),YEAR(current_date)='Example - Projections'!B779),"pass","fail"),"")</f>
        <v/>
      </c>
    </row>
    <row r="780" spans="1:12" x14ac:dyDescent="0.25">
      <c r="A780" s="64"/>
      <c r="B780" s="64"/>
      <c r="C780" s="65"/>
      <c r="D780" s="65"/>
      <c r="E780" s="65"/>
      <c r="F780" s="61"/>
      <c r="G780" s="61"/>
      <c r="H780" s="61"/>
      <c r="I780" s="61"/>
      <c r="J780" s="61"/>
      <c r="K780" s="3" t="str">
        <f t="shared" si="24"/>
        <v>fail</v>
      </c>
      <c r="L780" s="19" t="str">
        <f>IFERROR(IF(AND(MATCH(A780,Projection_classes,0),YEAR(current_date)='Example - Projections'!B780),"pass","fail"),"")</f>
        <v/>
      </c>
    </row>
    <row r="781" spans="1:12" x14ac:dyDescent="0.25">
      <c r="A781" s="64"/>
      <c r="B781" s="64"/>
      <c r="C781" s="65"/>
      <c r="D781" s="65"/>
      <c r="E781" s="65"/>
      <c r="F781" s="61"/>
      <c r="G781" s="61"/>
      <c r="H781" s="61"/>
      <c r="I781" s="61"/>
      <c r="J781" s="61"/>
      <c r="K781" s="3" t="str">
        <f t="shared" si="24"/>
        <v>fail</v>
      </c>
      <c r="L781" s="19" t="str">
        <f>IFERROR(IF(AND(MATCH(A781,Projection_classes,0),YEAR(current_date)='Example - Projections'!B781),"pass","fail"),"")</f>
        <v/>
      </c>
    </row>
    <row r="782" spans="1:12" x14ac:dyDescent="0.25">
      <c r="A782" s="64"/>
      <c r="B782" s="64"/>
      <c r="C782" s="65"/>
      <c r="D782" s="65"/>
      <c r="E782" s="65"/>
      <c r="F782" s="61"/>
      <c r="G782" s="61"/>
      <c r="H782" s="61"/>
      <c r="I782" s="61"/>
      <c r="J782" s="61"/>
      <c r="K782" s="3" t="str">
        <f t="shared" si="24"/>
        <v>fail</v>
      </c>
      <c r="L782" s="19" t="str">
        <f>IFERROR(IF(AND(MATCH(A782,Projection_classes,0),YEAR(current_date)='Example - Projections'!B782),"pass","fail"),"")</f>
        <v/>
      </c>
    </row>
    <row r="783" spans="1:12" x14ac:dyDescent="0.25">
      <c r="A783" s="64"/>
      <c r="B783" s="64"/>
      <c r="C783" s="65"/>
      <c r="D783" s="65"/>
      <c r="E783" s="65"/>
      <c r="F783" s="61"/>
      <c r="G783" s="61"/>
      <c r="H783" s="61"/>
      <c r="I783" s="61"/>
      <c r="J783" s="61"/>
      <c r="K783" s="3" t="str">
        <f t="shared" si="24"/>
        <v>fail</v>
      </c>
      <c r="L783" s="19" t="str">
        <f>IFERROR(IF(AND(MATCH(A783,Projection_classes,0),YEAR(current_date)='Example - Projections'!B783),"pass","fail"),"")</f>
        <v/>
      </c>
    </row>
    <row r="784" spans="1:12" x14ac:dyDescent="0.25">
      <c r="A784" s="64"/>
      <c r="B784" s="64"/>
      <c r="C784" s="65"/>
      <c r="D784" s="65"/>
      <c r="E784" s="65"/>
      <c r="F784" s="61"/>
      <c r="G784" s="61"/>
      <c r="H784" s="61"/>
      <c r="I784" s="61"/>
      <c r="J784" s="61"/>
      <c r="K784" s="3" t="str">
        <f t="shared" si="24"/>
        <v>fail</v>
      </c>
      <c r="L784" s="19" t="str">
        <f>IFERROR(IF(AND(MATCH(A784,Projection_classes,0),YEAR(current_date)='Example - Projections'!B784),"pass","fail"),"")</f>
        <v/>
      </c>
    </row>
    <row r="785" spans="1:12" x14ac:dyDescent="0.25">
      <c r="A785" s="64"/>
      <c r="B785" s="64"/>
      <c r="C785" s="65"/>
      <c r="D785" s="65"/>
      <c r="E785" s="65"/>
      <c r="F785" s="61"/>
      <c r="G785" s="61"/>
      <c r="H785" s="61"/>
      <c r="I785" s="61"/>
      <c r="J785" s="61"/>
      <c r="K785" s="3" t="str">
        <f t="shared" si="24"/>
        <v>fail</v>
      </c>
      <c r="L785" s="19" t="str">
        <f>IFERROR(IF(AND(MATCH(A785,Projection_classes,0),YEAR(current_date)='Example - Projections'!B785),"pass","fail"),"")</f>
        <v/>
      </c>
    </row>
    <row r="786" spans="1:12" x14ac:dyDescent="0.25">
      <c r="A786" s="64"/>
      <c r="B786" s="64"/>
      <c r="C786" s="65"/>
      <c r="D786" s="65"/>
      <c r="E786" s="65"/>
      <c r="F786" s="61"/>
      <c r="G786" s="61"/>
      <c r="H786" s="61"/>
      <c r="I786" s="61"/>
      <c r="J786" s="61"/>
      <c r="K786" s="3" t="str">
        <f t="shared" si="24"/>
        <v>fail</v>
      </c>
      <c r="L786" s="19" t="str">
        <f>IFERROR(IF(AND(MATCH(A786,Projection_classes,0),YEAR(current_date)='Example - Projections'!B786),"pass","fail"),"")</f>
        <v/>
      </c>
    </row>
    <row r="787" spans="1:12" x14ac:dyDescent="0.25">
      <c r="A787" s="64"/>
      <c r="B787" s="64"/>
      <c r="C787" s="65"/>
      <c r="D787" s="65"/>
      <c r="E787" s="65"/>
      <c r="F787" s="61"/>
      <c r="G787" s="61"/>
      <c r="H787" s="61"/>
      <c r="I787" s="61"/>
      <c r="J787" s="61"/>
      <c r="K787" s="3" t="str">
        <f t="shared" si="24"/>
        <v>fail</v>
      </c>
      <c r="L787" s="19" t="str">
        <f>IFERROR(IF(AND(MATCH(A787,Projection_classes,0),YEAR(current_date)='Example - Projections'!B787),"pass","fail"),"")</f>
        <v/>
      </c>
    </row>
    <row r="788" spans="1:12" x14ac:dyDescent="0.25">
      <c r="A788" s="64"/>
      <c r="B788" s="64"/>
      <c r="C788" s="65"/>
      <c r="D788" s="65"/>
      <c r="E788" s="65"/>
      <c r="F788" s="61"/>
      <c r="G788" s="61"/>
      <c r="H788" s="61"/>
      <c r="I788" s="61"/>
      <c r="J788" s="61"/>
      <c r="K788" s="3" t="str">
        <f t="shared" si="24"/>
        <v>fail</v>
      </c>
      <c r="L788" s="19" t="str">
        <f>IFERROR(IF(AND(MATCH(A788,Projection_classes,0),YEAR(current_date)='Example - Projections'!B788),"pass","fail"),"")</f>
        <v/>
      </c>
    </row>
    <row r="789" spans="1:12" x14ac:dyDescent="0.25">
      <c r="A789" s="64"/>
      <c r="B789" s="64"/>
      <c r="C789" s="65"/>
      <c r="D789" s="65"/>
      <c r="E789" s="65"/>
      <c r="F789" s="61"/>
      <c r="G789" s="61"/>
      <c r="H789" s="61"/>
      <c r="I789" s="61"/>
      <c r="J789" s="61"/>
      <c r="K789" s="3" t="str">
        <f t="shared" si="24"/>
        <v>fail</v>
      </c>
      <c r="L789" s="19" t="str">
        <f>IFERROR(IF(AND(MATCH(A789,Projection_classes,0),YEAR(current_date)='Example - Projections'!B789),"pass","fail"),"")</f>
        <v/>
      </c>
    </row>
    <row r="790" spans="1:12" x14ac:dyDescent="0.25">
      <c r="A790" s="64"/>
      <c r="B790" s="64"/>
      <c r="C790" s="65"/>
      <c r="D790" s="65"/>
      <c r="E790" s="65"/>
      <c r="F790" s="61"/>
      <c r="G790" s="61"/>
      <c r="H790" s="61"/>
      <c r="I790" s="61"/>
      <c r="J790" s="61"/>
      <c r="K790" s="3" t="str">
        <f t="shared" si="24"/>
        <v>fail</v>
      </c>
      <c r="L790" s="19" t="str">
        <f>IFERROR(IF(AND(MATCH(A790,Projection_classes,0),YEAR(current_date)='Example - Projections'!B790),"pass","fail"),"")</f>
        <v/>
      </c>
    </row>
    <row r="791" spans="1:12" x14ac:dyDescent="0.25">
      <c r="A791" s="64"/>
      <c r="B791" s="64"/>
      <c r="C791" s="65"/>
      <c r="D791" s="65"/>
      <c r="E791" s="65"/>
      <c r="F791" s="61"/>
      <c r="G791" s="61"/>
      <c r="H791" s="61"/>
      <c r="I791" s="61"/>
      <c r="J791" s="61"/>
      <c r="K791" s="3" t="str">
        <f t="shared" si="24"/>
        <v>fail</v>
      </c>
      <c r="L791" s="19" t="str">
        <f>IFERROR(IF(AND(MATCH(A791,Projection_classes,0),YEAR(current_date)='Example - Projections'!B791),"pass","fail"),"")</f>
        <v/>
      </c>
    </row>
    <row r="792" spans="1:12" x14ac:dyDescent="0.25">
      <c r="A792" s="64"/>
      <c r="B792" s="64"/>
      <c r="C792" s="65"/>
      <c r="D792" s="65"/>
      <c r="E792" s="65"/>
      <c r="F792" s="61"/>
      <c r="G792" s="61"/>
      <c r="H792" s="61"/>
      <c r="I792" s="61"/>
      <c r="J792" s="61"/>
      <c r="K792" s="3" t="str">
        <f t="shared" si="24"/>
        <v>fail</v>
      </c>
      <c r="L792" s="19" t="str">
        <f>IFERROR(IF(AND(MATCH(A792,Projection_classes,0),YEAR(current_date)='Example - Projections'!B792),"pass","fail"),"")</f>
        <v/>
      </c>
    </row>
    <row r="793" spans="1:12" x14ac:dyDescent="0.25">
      <c r="A793" s="64"/>
      <c r="B793" s="64"/>
      <c r="C793" s="65"/>
      <c r="D793" s="65"/>
      <c r="E793" s="65"/>
      <c r="F793" s="61"/>
      <c r="G793" s="61"/>
      <c r="H793" s="61"/>
      <c r="I793" s="61"/>
      <c r="J793" s="61"/>
      <c r="K793" s="3" t="str">
        <f t="shared" si="24"/>
        <v>fail</v>
      </c>
      <c r="L793" s="19" t="str">
        <f>IFERROR(IF(AND(MATCH(A793,Projection_classes,0),YEAR(current_date)='Example - Projections'!B793),"pass","fail"),"")</f>
        <v/>
      </c>
    </row>
    <row r="794" spans="1:12" x14ac:dyDescent="0.25">
      <c r="A794" s="64"/>
      <c r="B794" s="64"/>
      <c r="C794" s="65"/>
      <c r="D794" s="65"/>
      <c r="E794" s="65"/>
      <c r="F794" s="61"/>
      <c r="G794" s="61"/>
      <c r="H794" s="61"/>
      <c r="I794" s="61"/>
      <c r="J794" s="61"/>
      <c r="K794" s="3" t="str">
        <f t="shared" si="24"/>
        <v>fail</v>
      </c>
      <c r="L794" s="19" t="str">
        <f>IFERROR(IF(AND(MATCH(A794,Projection_classes,0),YEAR(current_date)='Example - Projections'!B794),"pass","fail"),"")</f>
        <v/>
      </c>
    </row>
    <row r="795" spans="1:12" x14ac:dyDescent="0.25">
      <c r="A795" s="64"/>
      <c r="B795" s="64"/>
      <c r="C795" s="65"/>
      <c r="D795" s="65"/>
      <c r="E795" s="65"/>
      <c r="F795" s="61"/>
      <c r="G795" s="61"/>
      <c r="H795" s="61"/>
      <c r="I795" s="61"/>
      <c r="J795" s="61"/>
      <c r="K795" s="3" t="str">
        <f t="shared" si="24"/>
        <v>fail</v>
      </c>
      <c r="L795" s="19" t="str">
        <f>IFERROR(IF(AND(MATCH(A795,Projection_classes,0),YEAR(current_date)='Example - Projections'!B795),"pass","fail"),"")</f>
        <v/>
      </c>
    </row>
    <row r="796" spans="1:12" x14ac:dyDescent="0.25">
      <c r="A796" s="64"/>
      <c r="B796" s="64"/>
      <c r="C796" s="65"/>
      <c r="D796" s="65"/>
      <c r="E796" s="65"/>
      <c r="F796" s="61"/>
      <c r="G796" s="61"/>
      <c r="H796" s="61"/>
      <c r="I796" s="61"/>
      <c r="J796" s="61"/>
      <c r="K796" s="3" t="str">
        <f t="shared" si="24"/>
        <v>fail</v>
      </c>
      <c r="L796" s="19" t="str">
        <f>IFERROR(IF(AND(MATCH(A796,Projection_classes,0),YEAR(current_date)='Example - Projections'!B796),"pass","fail"),"")</f>
        <v/>
      </c>
    </row>
    <row r="797" spans="1:12" x14ac:dyDescent="0.25">
      <c r="A797" s="64"/>
      <c r="B797" s="64"/>
      <c r="C797" s="65"/>
      <c r="D797" s="65"/>
      <c r="E797" s="65"/>
      <c r="F797" s="61"/>
      <c r="G797" s="61"/>
      <c r="H797" s="61"/>
      <c r="I797" s="61"/>
      <c r="J797" s="61"/>
      <c r="K797" s="3" t="str">
        <f t="shared" si="24"/>
        <v>fail</v>
      </c>
      <c r="L797" s="19" t="str">
        <f>IFERROR(IF(AND(MATCH(A797,Projection_classes,0),YEAR(current_date)='Example - Projections'!B797),"pass","fail"),"")</f>
        <v/>
      </c>
    </row>
    <row r="798" spans="1:12" x14ac:dyDescent="0.25">
      <c r="A798" s="64"/>
      <c r="B798" s="64"/>
      <c r="C798" s="65"/>
      <c r="D798" s="65"/>
      <c r="E798" s="65"/>
      <c r="F798" s="61"/>
      <c r="G798" s="61"/>
      <c r="H798" s="61"/>
      <c r="I798" s="61"/>
      <c r="J798" s="61"/>
      <c r="K798" s="3" t="str">
        <f t="shared" si="24"/>
        <v>fail</v>
      </c>
      <c r="L798" s="19" t="str">
        <f>IFERROR(IF(AND(MATCH(A798,Projection_classes,0),YEAR(current_date)='Example - Projections'!B798),"pass","fail"),"")</f>
        <v/>
      </c>
    </row>
    <row r="799" spans="1:12" x14ac:dyDescent="0.25">
      <c r="A799" s="64"/>
      <c r="B799" s="64"/>
      <c r="C799" s="65"/>
      <c r="D799" s="65"/>
      <c r="E799" s="65"/>
      <c r="F799" s="61"/>
      <c r="G799" s="61"/>
      <c r="H799" s="61"/>
      <c r="I799" s="61"/>
      <c r="J799" s="61"/>
      <c r="K799" s="3" t="str">
        <f t="shared" si="24"/>
        <v>fail</v>
      </c>
      <c r="L799" s="19" t="str">
        <f>IFERROR(IF(AND(MATCH(A799,Projection_classes,0),YEAR(current_date)='Example - Projections'!B799),"pass","fail"),"")</f>
        <v/>
      </c>
    </row>
    <row r="800" spans="1:12" x14ac:dyDescent="0.25">
      <c r="A800" s="64"/>
      <c r="B800" s="64"/>
      <c r="C800" s="65"/>
      <c r="D800" s="65"/>
      <c r="E800" s="65"/>
      <c r="F800" s="61"/>
      <c r="G800" s="61"/>
      <c r="H800" s="61"/>
      <c r="I800" s="61"/>
      <c r="J800" s="61"/>
      <c r="K800" s="3" t="str">
        <f t="shared" si="24"/>
        <v>fail</v>
      </c>
      <c r="L800" s="19" t="str">
        <f>IFERROR(IF(AND(MATCH(A800,Projection_classes,0),YEAR(current_date)='Example - Projections'!B800),"pass","fail"),"")</f>
        <v/>
      </c>
    </row>
    <row r="801" spans="1:12" x14ac:dyDescent="0.25">
      <c r="A801" s="64"/>
      <c r="B801" s="64"/>
      <c r="C801" s="65"/>
      <c r="D801" s="65"/>
      <c r="E801" s="65"/>
      <c r="F801" s="61"/>
      <c r="G801" s="61"/>
      <c r="H801" s="61"/>
      <c r="I801" s="61"/>
      <c r="J801" s="61"/>
      <c r="K801" s="3" t="str">
        <f t="shared" si="24"/>
        <v>fail</v>
      </c>
      <c r="L801" s="19" t="str">
        <f>IFERROR(IF(AND(MATCH(A801,Projection_classes,0),YEAR(current_date)='Example - Projections'!B801),"pass","fail"),"")</f>
        <v/>
      </c>
    </row>
    <row r="802" spans="1:12" x14ac:dyDescent="0.25">
      <c r="A802" s="64"/>
      <c r="B802" s="64"/>
      <c r="C802" s="65"/>
      <c r="D802" s="65"/>
      <c r="E802" s="65"/>
      <c r="F802" s="61"/>
      <c r="G802" s="61"/>
      <c r="H802" s="61"/>
      <c r="I802" s="61"/>
      <c r="J802" s="61"/>
      <c r="K802" s="3" t="str">
        <f t="shared" si="24"/>
        <v>fail</v>
      </c>
      <c r="L802" s="19" t="str">
        <f>IFERROR(IF(AND(MATCH(A802,Projection_classes,0),YEAR(current_date)='Example - Projections'!B802),"pass","fail"),"")</f>
        <v/>
      </c>
    </row>
    <row r="803" spans="1:12" x14ac:dyDescent="0.25">
      <c r="A803" s="64"/>
      <c r="B803" s="64"/>
      <c r="C803" s="65"/>
      <c r="D803" s="65"/>
      <c r="E803" s="65"/>
      <c r="F803" s="61"/>
      <c r="G803" s="61"/>
      <c r="H803" s="61"/>
      <c r="I803" s="61"/>
      <c r="J803" s="61"/>
      <c r="K803" s="3" t="str">
        <f t="shared" si="24"/>
        <v>fail</v>
      </c>
      <c r="L803" s="19" t="str">
        <f>IFERROR(IF(AND(MATCH(A803,Projection_classes,0),YEAR(current_date)='Example - Projections'!B803),"pass","fail"),"")</f>
        <v/>
      </c>
    </row>
    <row r="804" spans="1:12" x14ac:dyDescent="0.25">
      <c r="A804" s="64"/>
      <c r="B804" s="64"/>
      <c r="C804" s="65"/>
      <c r="D804" s="65"/>
      <c r="E804" s="65"/>
      <c r="F804" s="61"/>
      <c r="G804" s="61"/>
      <c r="H804" s="61"/>
      <c r="I804" s="61"/>
      <c r="J804" s="61"/>
      <c r="K804" s="3" t="str">
        <f t="shared" si="24"/>
        <v>fail</v>
      </c>
      <c r="L804" s="19" t="str">
        <f>IFERROR(IF(AND(MATCH(A804,Projection_classes,0),YEAR(current_date)='Example - Projections'!B804),"pass","fail"),"")</f>
        <v/>
      </c>
    </row>
    <row r="805" spans="1:12" x14ac:dyDescent="0.25">
      <c r="A805" s="64"/>
      <c r="B805" s="64"/>
      <c r="C805" s="65"/>
      <c r="D805" s="65"/>
      <c r="E805" s="65"/>
      <c r="F805" s="61"/>
      <c r="G805" s="61"/>
      <c r="H805" s="61"/>
      <c r="I805" s="61"/>
      <c r="J805" s="61"/>
      <c r="K805" s="3" t="str">
        <f t="shared" si="24"/>
        <v>fail</v>
      </c>
      <c r="L805" s="19" t="str">
        <f>IFERROR(IF(AND(MATCH(A805,Projection_classes,0),YEAR(current_date)='Example - Projections'!B805),"pass","fail"),"")</f>
        <v/>
      </c>
    </row>
    <row r="806" spans="1:12" x14ac:dyDescent="0.25">
      <c r="A806" s="64"/>
      <c r="B806" s="64"/>
      <c r="C806" s="65"/>
      <c r="D806" s="65"/>
      <c r="E806" s="65"/>
      <c r="F806" s="61"/>
      <c r="G806" s="61"/>
      <c r="H806" s="61"/>
      <c r="I806" s="61"/>
      <c r="J806" s="61"/>
      <c r="K806" s="3" t="str">
        <f t="shared" si="24"/>
        <v>fail</v>
      </c>
      <c r="L806" s="19" t="str">
        <f>IFERROR(IF(AND(MATCH(A806,Projection_classes,0),YEAR(current_date)='Example - Projections'!B806),"pass","fail"),"")</f>
        <v/>
      </c>
    </row>
    <row r="807" spans="1:12" x14ac:dyDescent="0.25">
      <c r="A807" s="64"/>
      <c r="B807" s="64"/>
      <c r="C807" s="65"/>
      <c r="D807" s="65"/>
      <c r="E807" s="65"/>
      <c r="F807" s="61"/>
      <c r="G807" s="61"/>
      <c r="H807" s="61"/>
      <c r="I807" s="61"/>
      <c r="J807" s="61"/>
      <c r="K807" s="3" t="str">
        <f t="shared" si="24"/>
        <v>fail</v>
      </c>
      <c r="L807" s="19" t="str">
        <f>IFERROR(IF(AND(MATCH(A807,Projection_classes,0),YEAR(current_date)='Example - Projections'!B807),"pass","fail"),"")</f>
        <v/>
      </c>
    </row>
    <row r="808" spans="1:12" x14ac:dyDescent="0.25">
      <c r="A808" s="64"/>
      <c r="B808" s="64"/>
      <c r="C808" s="65"/>
      <c r="D808" s="65"/>
      <c r="E808" s="65"/>
      <c r="F808" s="61"/>
      <c r="G808" s="61"/>
      <c r="H808" s="61"/>
      <c r="I808" s="61"/>
      <c r="J808" s="61"/>
      <c r="K808" s="3" t="str">
        <f t="shared" si="24"/>
        <v>fail</v>
      </c>
      <c r="L808" s="19" t="str">
        <f>IFERROR(IF(AND(MATCH(A808,Projection_classes,0),YEAR(current_date)='Example - Projections'!B808),"pass","fail"),"")</f>
        <v/>
      </c>
    </row>
    <row r="809" spans="1:12" x14ac:dyDescent="0.25">
      <c r="A809" s="64"/>
      <c r="B809" s="64"/>
      <c r="C809" s="65"/>
      <c r="D809" s="65"/>
      <c r="E809" s="65"/>
      <c r="F809" s="61"/>
      <c r="G809" s="61"/>
      <c r="H809" s="61"/>
      <c r="I809" s="61"/>
      <c r="J809" s="61"/>
      <c r="K809" s="3" t="str">
        <f t="shared" si="24"/>
        <v>fail</v>
      </c>
      <c r="L809" s="19" t="str">
        <f>IFERROR(IF(AND(MATCH(A809,Projection_classes,0),YEAR(current_date)='Example - Projections'!B809),"pass","fail"),"")</f>
        <v/>
      </c>
    </row>
    <row r="810" spans="1:12" x14ac:dyDescent="0.25">
      <c r="A810" s="64"/>
      <c r="B810" s="64"/>
      <c r="C810" s="65"/>
      <c r="D810" s="65"/>
      <c r="E810" s="65"/>
      <c r="F810" s="61"/>
      <c r="G810" s="61"/>
      <c r="H810" s="61"/>
      <c r="I810" s="61"/>
      <c r="J810" s="61"/>
      <c r="K810" s="3" t="str">
        <f t="shared" si="24"/>
        <v>fail</v>
      </c>
      <c r="L810" s="19" t="str">
        <f>IFERROR(IF(AND(MATCH(A810,Projection_classes,0),YEAR(current_date)='Example - Projections'!B810),"pass","fail"),"")</f>
        <v/>
      </c>
    </row>
    <row r="811" spans="1:12" x14ac:dyDescent="0.25">
      <c r="A811" s="64"/>
      <c r="B811" s="64"/>
      <c r="C811" s="65"/>
      <c r="D811" s="65"/>
      <c r="E811" s="65"/>
      <c r="F811" s="61"/>
      <c r="G811" s="61"/>
      <c r="H811" s="61"/>
      <c r="I811" s="61"/>
      <c r="J811" s="61"/>
      <c r="K811" s="3" t="str">
        <f t="shared" si="24"/>
        <v>fail</v>
      </c>
      <c r="L811" s="19" t="str">
        <f>IFERROR(IF(AND(MATCH(A811,Projection_classes,0),YEAR(current_date)='Example - Projections'!B811),"pass","fail"),"")</f>
        <v/>
      </c>
    </row>
    <row r="812" spans="1:12" x14ac:dyDescent="0.25">
      <c r="A812" s="64"/>
      <c r="B812" s="64"/>
      <c r="C812" s="65"/>
      <c r="D812" s="65"/>
      <c r="E812" s="65"/>
      <c r="F812" s="61"/>
      <c r="G812" s="61"/>
      <c r="H812" s="61"/>
      <c r="I812" s="61"/>
      <c r="J812" s="61"/>
      <c r="K812" s="3" t="str">
        <f t="shared" si="24"/>
        <v>fail</v>
      </c>
      <c r="L812" s="19" t="str">
        <f>IFERROR(IF(AND(MATCH(A812,Projection_classes,0),YEAR(current_date)='Example - Projections'!B812),"pass","fail"),"")</f>
        <v/>
      </c>
    </row>
    <row r="813" spans="1:12" x14ac:dyDescent="0.25">
      <c r="A813" s="64"/>
      <c r="B813" s="64"/>
      <c r="C813" s="65"/>
      <c r="D813" s="65"/>
      <c r="E813" s="65"/>
      <c r="F813" s="61"/>
      <c r="G813" s="61"/>
      <c r="H813" s="61"/>
      <c r="I813" s="61"/>
      <c r="J813" s="61"/>
      <c r="K813" s="3" t="str">
        <f t="shared" si="24"/>
        <v>fail</v>
      </c>
      <c r="L813" s="19" t="str">
        <f>IFERROR(IF(AND(MATCH(A813,Projection_classes,0),YEAR(current_date)='Example - Projections'!B813),"pass","fail"),"")</f>
        <v/>
      </c>
    </row>
    <row r="814" spans="1:12" x14ac:dyDescent="0.25">
      <c r="A814" s="64"/>
      <c r="B814" s="64"/>
      <c r="C814" s="65"/>
      <c r="D814" s="65"/>
      <c r="E814" s="65"/>
      <c r="F814" s="61"/>
      <c r="G814" s="61"/>
      <c r="H814" s="61"/>
      <c r="I814" s="61"/>
      <c r="J814" s="61"/>
      <c r="K814" s="3" t="str">
        <f t="shared" si="24"/>
        <v>fail</v>
      </c>
      <c r="L814" s="19" t="str">
        <f>IFERROR(IF(AND(MATCH(A814,Projection_classes,0),YEAR(current_date)='Example - Projections'!B814),"pass","fail"),"")</f>
        <v/>
      </c>
    </row>
    <row r="815" spans="1:12" x14ac:dyDescent="0.25">
      <c r="A815" s="64"/>
      <c r="B815" s="64"/>
      <c r="C815" s="65"/>
      <c r="D815" s="65"/>
      <c r="E815" s="65"/>
      <c r="F815" s="61"/>
      <c r="G815" s="61"/>
      <c r="H815" s="61"/>
      <c r="I815" s="61"/>
      <c r="J815" s="61"/>
      <c r="K815" s="3" t="str">
        <f t="shared" si="24"/>
        <v>fail</v>
      </c>
      <c r="L815" s="19" t="str">
        <f>IFERROR(IF(AND(MATCH(A815,Projection_classes,0),YEAR(current_date)='Example - Projections'!B815),"pass","fail"),"")</f>
        <v/>
      </c>
    </row>
    <row r="816" spans="1:12" x14ac:dyDescent="0.25">
      <c r="A816" s="64"/>
      <c r="B816" s="64"/>
      <c r="C816" s="65"/>
      <c r="D816" s="65"/>
      <c r="E816" s="65"/>
      <c r="F816" s="61"/>
      <c r="G816" s="61"/>
      <c r="H816" s="61"/>
      <c r="I816" s="61"/>
      <c r="J816" s="61"/>
      <c r="K816" s="3" t="str">
        <f t="shared" si="24"/>
        <v>fail</v>
      </c>
      <c r="L816" s="19" t="str">
        <f>IFERROR(IF(AND(MATCH(A816,Projection_classes,0),YEAR(current_date)='Example - Projections'!B816),"pass","fail"),"")</f>
        <v/>
      </c>
    </row>
    <row r="817" spans="1:12" x14ac:dyDescent="0.25">
      <c r="A817" s="64"/>
      <c r="B817" s="64"/>
      <c r="C817" s="65"/>
      <c r="D817" s="65"/>
      <c r="E817" s="65"/>
      <c r="F817" s="61"/>
      <c r="G817" s="61"/>
      <c r="H817" s="61"/>
      <c r="I817" s="61"/>
      <c r="J817" s="61"/>
      <c r="K817" s="3" t="str">
        <f t="shared" si="24"/>
        <v>fail</v>
      </c>
      <c r="L817" s="19" t="str">
        <f>IFERROR(IF(AND(MATCH(A817,Projection_classes,0),YEAR(current_date)='Example - Projections'!B817),"pass","fail"),"")</f>
        <v/>
      </c>
    </row>
    <row r="818" spans="1:12" x14ac:dyDescent="0.25">
      <c r="A818" s="64"/>
      <c r="B818" s="64"/>
      <c r="C818" s="65"/>
      <c r="D818" s="65"/>
      <c r="E818" s="65"/>
      <c r="F818" s="61"/>
      <c r="G818" s="61"/>
      <c r="H818" s="61"/>
      <c r="I818" s="61"/>
      <c r="J818" s="61"/>
      <c r="K818" s="3" t="str">
        <f t="shared" si="24"/>
        <v>fail</v>
      </c>
      <c r="L818" s="19" t="str">
        <f>IFERROR(IF(AND(MATCH(A818,Projection_classes,0),YEAR(current_date)='Example - Projections'!B818),"pass","fail"),"")</f>
        <v/>
      </c>
    </row>
    <row r="819" spans="1:12" x14ac:dyDescent="0.25">
      <c r="A819" s="64"/>
      <c r="B819" s="64"/>
      <c r="C819" s="65"/>
      <c r="D819" s="65"/>
      <c r="E819" s="65"/>
      <c r="F819" s="61"/>
      <c r="G819" s="61"/>
      <c r="H819" s="61"/>
      <c r="I819" s="61"/>
      <c r="J819" s="61"/>
      <c r="K819" s="3" t="str">
        <f t="shared" si="24"/>
        <v>fail</v>
      </c>
      <c r="L819" s="19" t="str">
        <f>IFERROR(IF(AND(MATCH(A819,Projection_classes,0),YEAR(current_date)='Example - Projections'!B819),"pass","fail"),"")</f>
        <v/>
      </c>
    </row>
    <row r="820" spans="1:12" x14ac:dyDescent="0.25">
      <c r="A820" s="64"/>
      <c r="B820" s="64"/>
      <c r="C820" s="65"/>
      <c r="D820" s="65"/>
      <c r="E820" s="65"/>
      <c r="F820" s="61"/>
      <c r="G820" s="61"/>
      <c r="H820" s="61"/>
      <c r="I820" s="61"/>
      <c r="J820" s="61"/>
      <c r="K820" s="3" t="str">
        <f t="shared" si="24"/>
        <v>fail</v>
      </c>
      <c r="L820" s="19" t="str">
        <f>IFERROR(IF(AND(MATCH(A820,Projection_classes,0),YEAR(current_date)='Example - Projections'!B820),"pass","fail"),"")</f>
        <v/>
      </c>
    </row>
    <row r="821" spans="1:12" x14ac:dyDescent="0.25">
      <c r="A821" s="64"/>
      <c r="B821" s="64"/>
      <c r="C821" s="65"/>
      <c r="D821" s="65"/>
      <c r="E821" s="65"/>
      <c r="F821" s="61"/>
      <c r="G821" s="61"/>
      <c r="H821" s="61"/>
      <c r="I821" s="61"/>
      <c r="J821" s="61"/>
      <c r="K821" s="3" t="str">
        <f t="shared" si="24"/>
        <v>fail</v>
      </c>
      <c r="L821" s="19" t="str">
        <f>IFERROR(IF(AND(MATCH(A821,Projection_classes,0),YEAR(current_date)='Example - Projections'!B821),"pass","fail"),"")</f>
        <v/>
      </c>
    </row>
    <row r="822" spans="1:12" x14ac:dyDescent="0.25">
      <c r="A822" s="64"/>
      <c r="B822" s="64"/>
      <c r="C822" s="65"/>
      <c r="D822" s="65"/>
      <c r="E822" s="65"/>
      <c r="F822" s="61"/>
      <c r="G822" s="61"/>
      <c r="H822" s="61"/>
      <c r="I822" s="61"/>
      <c r="J822" s="61"/>
      <c r="K822" s="3" t="str">
        <f t="shared" si="24"/>
        <v>fail</v>
      </c>
      <c r="L822" s="19" t="str">
        <f>IFERROR(IF(AND(MATCH(A822,Projection_classes,0),YEAR(current_date)='Example - Projections'!B822),"pass","fail"),"")</f>
        <v/>
      </c>
    </row>
    <row r="823" spans="1:12" x14ac:dyDescent="0.25">
      <c r="A823" s="64"/>
      <c r="B823" s="64"/>
      <c r="C823" s="65"/>
      <c r="D823" s="65"/>
      <c r="E823" s="65"/>
      <c r="F823" s="61"/>
      <c r="G823" s="61"/>
      <c r="H823" s="61"/>
      <c r="I823" s="61"/>
      <c r="J823" s="61"/>
      <c r="K823" s="3" t="str">
        <f t="shared" si="24"/>
        <v>fail</v>
      </c>
      <c r="L823" s="19" t="str">
        <f>IFERROR(IF(AND(MATCH(A823,Projection_classes,0),YEAR(current_date)='Example - Projections'!B823),"pass","fail"),"")</f>
        <v/>
      </c>
    </row>
    <row r="824" spans="1:12" x14ac:dyDescent="0.25">
      <c r="A824" s="64"/>
      <c r="B824" s="64"/>
      <c r="C824" s="65"/>
      <c r="D824" s="65"/>
      <c r="E824" s="65"/>
      <c r="F824" s="61"/>
      <c r="G824" s="61"/>
      <c r="H824" s="61"/>
      <c r="I824" s="61"/>
      <c r="J824" s="61"/>
      <c r="K824" s="3" t="str">
        <f t="shared" si="24"/>
        <v>fail</v>
      </c>
      <c r="L824" s="19" t="str">
        <f>IFERROR(IF(AND(MATCH(A824,Projection_classes,0),YEAR(current_date)='Example - Projections'!B824),"pass","fail"),"")</f>
        <v/>
      </c>
    </row>
    <row r="825" spans="1:12" x14ac:dyDescent="0.25">
      <c r="A825" s="64"/>
      <c r="B825" s="64"/>
      <c r="C825" s="65"/>
      <c r="D825" s="65"/>
      <c r="E825" s="65"/>
      <c r="F825" s="61"/>
      <c r="G825" s="61"/>
      <c r="H825" s="61"/>
      <c r="I825" s="61"/>
      <c r="J825" s="61"/>
      <c r="K825" s="3" t="str">
        <f t="shared" si="24"/>
        <v>fail</v>
      </c>
      <c r="L825" s="19" t="str">
        <f>IFERROR(IF(AND(MATCH(A825,Projection_classes,0),YEAR(current_date)='Example - Projections'!B825),"pass","fail"),"")</f>
        <v/>
      </c>
    </row>
    <row r="826" spans="1:12" x14ac:dyDescent="0.25">
      <c r="A826" s="64"/>
      <c r="B826" s="64"/>
      <c r="C826" s="65"/>
      <c r="D826" s="65"/>
      <c r="E826" s="65"/>
      <c r="F826" s="61"/>
      <c r="G826" s="61"/>
      <c r="H826" s="61"/>
      <c r="I826" s="61"/>
      <c r="J826" s="61"/>
      <c r="K826" s="3" t="str">
        <f t="shared" si="24"/>
        <v>fail</v>
      </c>
      <c r="L826" s="19" t="str">
        <f>IFERROR(IF(AND(MATCH(A826,Projection_classes,0),YEAR(current_date)='Example - Projections'!B826),"pass","fail"),"")</f>
        <v/>
      </c>
    </row>
    <row r="827" spans="1:12" x14ac:dyDescent="0.25">
      <c r="A827" s="64"/>
      <c r="B827" s="64"/>
      <c r="C827" s="65"/>
      <c r="D827" s="65"/>
      <c r="E827" s="65"/>
      <c r="F827" s="61"/>
      <c r="G827" s="61"/>
      <c r="H827" s="61"/>
      <c r="I827" s="61"/>
      <c r="J827" s="61"/>
      <c r="K827" s="3" t="str">
        <f t="shared" si="24"/>
        <v>fail</v>
      </c>
      <c r="L827" s="19" t="str">
        <f>IFERROR(IF(AND(MATCH(A827,Projection_classes,0),YEAR(current_date)='Example - Projections'!B827),"pass","fail"),"")</f>
        <v/>
      </c>
    </row>
    <row r="828" spans="1:12" x14ac:dyDescent="0.25">
      <c r="A828" s="64"/>
      <c r="B828" s="64"/>
      <c r="C828" s="65"/>
      <c r="D828" s="65"/>
      <c r="E828" s="65"/>
      <c r="F828" s="61"/>
      <c r="G828" s="61"/>
      <c r="H828" s="61"/>
      <c r="I828" s="61"/>
      <c r="J828" s="61"/>
      <c r="K828" s="3" t="str">
        <f t="shared" si="24"/>
        <v>fail</v>
      </c>
      <c r="L828" s="19" t="str">
        <f>IFERROR(IF(AND(MATCH(A828,Projection_classes,0),YEAR(current_date)='Example - Projections'!B828),"pass","fail"),"")</f>
        <v/>
      </c>
    </row>
    <row r="829" spans="1:12" x14ac:dyDescent="0.25">
      <c r="A829" s="64"/>
      <c r="B829" s="64"/>
      <c r="C829" s="65"/>
      <c r="D829" s="65"/>
      <c r="E829" s="65"/>
      <c r="F829" s="61"/>
      <c r="G829" s="61"/>
      <c r="H829" s="61"/>
      <c r="I829" s="61"/>
      <c r="J829" s="61"/>
      <c r="K829" s="3" t="str">
        <f t="shared" si="24"/>
        <v>fail</v>
      </c>
      <c r="L829" s="19" t="str">
        <f>IFERROR(IF(AND(MATCH(A829,Projection_classes,0),YEAR(current_date)='Example - Projections'!B829),"pass","fail"),"")</f>
        <v/>
      </c>
    </row>
    <row r="830" spans="1:12" x14ac:dyDescent="0.25">
      <c r="A830" s="64"/>
      <c r="B830" s="64"/>
      <c r="C830" s="65"/>
      <c r="D830" s="65"/>
      <c r="E830" s="65"/>
      <c r="F830" s="61"/>
      <c r="G830" s="61"/>
      <c r="H830" s="61"/>
      <c r="I830" s="61"/>
      <c r="J830" s="61"/>
      <c r="K830" s="3" t="str">
        <f t="shared" si="24"/>
        <v>fail</v>
      </c>
      <c r="L830" s="19" t="str">
        <f>IFERROR(IF(AND(MATCH(A830,Projection_classes,0),YEAR(current_date)='Example - Projections'!B830),"pass","fail"),"")</f>
        <v/>
      </c>
    </row>
    <row r="831" spans="1:12" x14ac:dyDescent="0.25">
      <c r="A831" s="64"/>
      <c r="B831" s="64"/>
      <c r="C831" s="65"/>
      <c r="D831" s="65"/>
      <c r="E831" s="65"/>
      <c r="F831" s="61"/>
      <c r="G831" s="61"/>
      <c r="H831" s="61"/>
      <c r="I831" s="61"/>
      <c r="J831" s="61"/>
      <c r="K831" s="3" t="str">
        <f t="shared" si="24"/>
        <v>fail</v>
      </c>
      <c r="L831" s="19" t="str">
        <f>IFERROR(IF(AND(MATCH(A831,Projection_classes,0),YEAR(current_date)='Example - Projections'!B831),"pass","fail"),"")</f>
        <v/>
      </c>
    </row>
    <row r="832" spans="1:12" x14ac:dyDescent="0.25">
      <c r="A832" s="64"/>
      <c r="B832" s="64"/>
      <c r="C832" s="65"/>
      <c r="D832" s="65"/>
      <c r="E832" s="65"/>
      <c r="F832" s="61"/>
      <c r="G832" s="61"/>
      <c r="H832" s="61"/>
      <c r="I832" s="61"/>
      <c r="J832" s="61"/>
      <c r="K832" s="3" t="str">
        <f t="shared" si="24"/>
        <v>fail</v>
      </c>
      <c r="L832" s="19" t="str">
        <f>IFERROR(IF(AND(MATCH(A832,Projection_classes,0),YEAR(current_date)='Example - Projections'!B832),"pass","fail"),"")</f>
        <v/>
      </c>
    </row>
    <row r="833" spans="1:12" x14ac:dyDescent="0.25">
      <c r="A833" s="64"/>
      <c r="B833" s="64"/>
      <c r="C833" s="65"/>
      <c r="D833" s="65"/>
      <c r="E833" s="65"/>
      <c r="F833" s="61"/>
      <c r="G833" s="61"/>
      <c r="H833" s="61"/>
      <c r="I833" s="61"/>
      <c r="J833" s="61"/>
      <c r="K833" s="3" t="str">
        <f t="shared" si="24"/>
        <v>fail</v>
      </c>
      <c r="L833" s="19" t="str">
        <f>IFERROR(IF(AND(MATCH(A833,Projection_classes,0),YEAR(current_date)='Example - Projections'!B833),"pass","fail"),"")</f>
        <v/>
      </c>
    </row>
    <row r="834" spans="1:12" x14ac:dyDescent="0.25">
      <c r="A834" s="64"/>
      <c r="B834" s="64"/>
      <c r="C834" s="65"/>
      <c r="D834" s="65"/>
      <c r="E834" s="65"/>
      <c r="F834" s="61"/>
      <c r="G834" s="61"/>
      <c r="H834" s="61"/>
      <c r="I834" s="61"/>
      <c r="J834" s="61"/>
      <c r="K834" s="3" t="str">
        <f t="shared" ref="K834:K897" si="25">IF(OR(B834&lt;$N$1,B834&gt;$P$1),"fail","pass")</f>
        <v>fail</v>
      </c>
      <c r="L834" s="19" t="str">
        <f>IFERROR(IF(AND(MATCH(A834,Projection_classes,0),YEAR(current_date)='Example - Projections'!B834),"pass","fail"),"")</f>
        <v/>
      </c>
    </row>
    <row r="835" spans="1:12" x14ac:dyDescent="0.25">
      <c r="A835" s="64"/>
      <c r="B835" s="64"/>
      <c r="C835" s="65"/>
      <c r="D835" s="65"/>
      <c r="E835" s="65"/>
      <c r="F835" s="61"/>
      <c r="G835" s="61"/>
      <c r="H835" s="61"/>
      <c r="I835" s="61"/>
      <c r="J835" s="61"/>
      <c r="K835" s="3" t="str">
        <f t="shared" si="25"/>
        <v>fail</v>
      </c>
      <c r="L835" s="19" t="str">
        <f>IFERROR(IF(AND(MATCH(A835,Projection_classes,0),YEAR(current_date)='Example - Projections'!B835),"pass","fail"),"")</f>
        <v/>
      </c>
    </row>
    <row r="836" spans="1:12" x14ac:dyDescent="0.25">
      <c r="A836" s="64"/>
      <c r="B836" s="64"/>
      <c r="C836" s="65"/>
      <c r="D836" s="65"/>
      <c r="E836" s="65"/>
      <c r="F836" s="61"/>
      <c r="G836" s="61"/>
      <c r="H836" s="61"/>
      <c r="I836" s="61"/>
      <c r="J836" s="61"/>
      <c r="K836" s="3" t="str">
        <f t="shared" si="25"/>
        <v>fail</v>
      </c>
      <c r="L836" s="19" t="str">
        <f>IFERROR(IF(AND(MATCH(A836,Projection_classes,0),YEAR(current_date)='Example - Projections'!B836),"pass","fail"),"")</f>
        <v/>
      </c>
    </row>
    <row r="837" spans="1:12" x14ac:dyDescent="0.25">
      <c r="A837" s="64"/>
      <c r="B837" s="64"/>
      <c r="C837" s="65"/>
      <c r="D837" s="65"/>
      <c r="E837" s="65"/>
      <c r="F837" s="61"/>
      <c r="G837" s="61"/>
      <c r="H837" s="61"/>
      <c r="I837" s="61"/>
      <c r="J837" s="61"/>
      <c r="K837" s="3" t="str">
        <f t="shared" si="25"/>
        <v>fail</v>
      </c>
      <c r="L837" s="19" t="str">
        <f>IFERROR(IF(AND(MATCH(A837,Projection_classes,0),YEAR(current_date)='Example - Projections'!B837),"pass","fail"),"")</f>
        <v/>
      </c>
    </row>
    <row r="838" spans="1:12" x14ac:dyDescent="0.25">
      <c r="A838" s="64"/>
      <c r="B838" s="64"/>
      <c r="C838" s="65"/>
      <c r="D838" s="65"/>
      <c r="E838" s="65"/>
      <c r="F838" s="61"/>
      <c r="G838" s="61"/>
      <c r="H838" s="61"/>
      <c r="I838" s="61"/>
      <c r="J838" s="61"/>
      <c r="K838" s="3" t="str">
        <f t="shared" si="25"/>
        <v>fail</v>
      </c>
      <c r="L838" s="19" t="str">
        <f>IFERROR(IF(AND(MATCH(A838,Projection_classes,0),YEAR(current_date)='Example - Projections'!B838),"pass","fail"),"")</f>
        <v/>
      </c>
    </row>
    <row r="839" spans="1:12" x14ac:dyDescent="0.25">
      <c r="A839" s="64"/>
      <c r="B839" s="64"/>
      <c r="C839" s="65"/>
      <c r="D839" s="65"/>
      <c r="E839" s="65"/>
      <c r="F839" s="61"/>
      <c r="G839" s="61"/>
      <c r="H839" s="61"/>
      <c r="I839" s="61"/>
      <c r="J839" s="61"/>
      <c r="K839" s="3" t="str">
        <f t="shared" si="25"/>
        <v>fail</v>
      </c>
      <c r="L839" s="19" t="str">
        <f>IFERROR(IF(AND(MATCH(A839,Projection_classes,0),YEAR(current_date)='Example - Projections'!B839),"pass","fail"),"")</f>
        <v/>
      </c>
    </row>
    <row r="840" spans="1:12" x14ac:dyDescent="0.25">
      <c r="A840" s="64"/>
      <c r="B840" s="64"/>
      <c r="C840" s="65"/>
      <c r="D840" s="65"/>
      <c r="E840" s="65"/>
      <c r="F840" s="61"/>
      <c r="G840" s="61"/>
      <c r="H840" s="61"/>
      <c r="I840" s="61"/>
      <c r="J840" s="61"/>
      <c r="K840" s="3" t="str">
        <f t="shared" si="25"/>
        <v>fail</v>
      </c>
      <c r="L840" s="19" t="str">
        <f>IFERROR(IF(AND(MATCH(A840,Projection_classes,0),YEAR(current_date)='Example - Projections'!B840),"pass","fail"),"")</f>
        <v/>
      </c>
    </row>
    <row r="841" spans="1:12" x14ac:dyDescent="0.25">
      <c r="A841" s="64"/>
      <c r="B841" s="64"/>
      <c r="C841" s="65"/>
      <c r="D841" s="65"/>
      <c r="E841" s="65"/>
      <c r="F841" s="61"/>
      <c r="G841" s="61"/>
      <c r="H841" s="61"/>
      <c r="I841" s="61"/>
      <c r="J841" s="61"/>
      <c r="K841" s="3" t="str">
        <f t="shared" si="25"/>
        <v>fail</v>
      </c>
      <c r="L841" s="19" t="str">
        <f>IFERROR(IF(AND(MATCH(A841,Projection_classes,0),YEAR(current_date)='Example - Projections'!B841),"pass","fail"),"")</f>
        <v/>
      </c>
    </row>
    <row r="842" spans="1:12" x14ac:dyDescent="0.25">
      <c r="A842" s="64"/>
      <c r="B842" s="64"/>
      <c r="C842" s="65"/>
      <c r="D842" s="65"/>
      <c r="E842" s="65"/>
      <c r="F842" s="61"/>
      <c r="G842" s="61"/>
      <c r="H842" s="61"/>
      <c r="I842" s="61"/>
      <c r="J842" s="61"/>
      <c r="K842" s="3" t="str">
        <f t="shared" si="25"/>
        <v>fail</v>
      </c>
      <c r="L842" s="19" t="str">
        <f>IFERROR(IF(AND(MATCH(A842,Projection_classes,0),YEAR(current_date)='Example - Projections'!B842),"pass","fail"),"")</f>
        <v/>
      </c>
    </row>
    <row r="843" spans="1:12" x14ac:dyDescent="0.25">
      <c r="A843" s="64"/>
      <c r="B843" s="64"/>
      <c r="C843" s="65"/>
      <c r="D843" s="65"/>
      <c r="E843" s="65"/>
      <c r="F843" s="61"/>
      <c r="G843" s="61"/>
      <c r="H843" s="61"/>
      <c r="I843" s="61"/>
      <c r="J843" s="61"/>
      <c r="K843" s="3" t="str">
        <f t="shared" si="25"/>
        <v>fail</v>
      </c>
      <c r="L843" s="19" t="str">
        <f>IFERROR(IF(AND(MATCH(A843,Projection_classes,0),YEAR(current_date)='Example - Projections'!B843),"pass","fail"),"")</f>
        <v/>
      </c>
    </row>
    <row r="844" spans="1:12" x14ac:dyDescent="0.25">
      <c r="A844" s="64"/>
      <c r="B844" s="64"/>
      <c r="C844" s="65"/>
      <c r="D844" s="65"/>
      <c r="E844" s="65"/>
      <c r="F844" s="61"/>
      <c r="G844" s="61"/>
      <c r="H844" s="61"/>
      <c r="I844" s="61"/>
      <c r="J844" s="61"/>
      <c r="K844" s="3" t="str">
        <f t="shared" si="25"/>
        <v>fail</v>
      </c>
      <c r="L844" s="19" t="str">
        <f>IFERROR(IF(AND(MATCH(A844,Projection_classes,0),YEAR(current_date)='Example - Projections'!B844),"pass","fail"),"")</f>
        <v/>
      </c>
    </row>
    <row r="845" spans="1:12" x14ac:dyDescent="0.25">
      <c r="A845" s="64"/>
      <c r="B845" s="64"/>
      <c r="C845" s="65"/>
      <c r="D845" s="65"/>
      <c r="E845" s="65"/>
      <c r="F845" s="61"/>
      <c r="G845" s="61"/>
      <c r="H845" s="61"/>
      <c r="I845" s="61"/>
      <c r="J845" s="61"/>
      <c r="K845" s="3" t="str">
        <f t="shared" si="25"/>
        <v>fail</v>
      </c>
      <c r="L845" s="19" t="str">
        <f>IFERROR(IF(AND(MATCH(A845,Projection_classes,0),YEAR(current_date)='Example - Projections'!B845),"pass","fail"),"")</f>
        <v/>
      </c>
    </row>
    <row r="846" spans="1:12" x14ac:dyDescent="0.25">
      <c r="A846" s="64"/>
      <c r="B846" s="64"/>
      <c r="C846" s="65"/>
      <c r="D846" s="65"/>
      <c r="E846" s="65"/>
      <c r="F846" s="61"/>
      <c r="G846" s="61"/>
      <c r="H846" s="61"/>
      <c r="I846" s="61"/>
      <c r="J846" s="61"/>
      <c r="K846" s="3" t="str">
        <f t="shared" si="25"/>
        <v>fail</v>
      </c>
      <c r="L846" s="19" t="str">
        <f>IFERROR(IF(AND(MATCH(A846,Projection_classes,0),YEAR(current_date)='Example - Projections'!B846),"pass","fail"),"")</f>
        <v/>
      </c>
    </row>
    <row r="847" spans="1:12" x14ac:dyDescent="0.25">
      <c r="A847" s="64"/>
      <c r="B847" s="64"/>
      <c r="C847" s="65"/>
      <c r="D847" s="65"/>
      <c r="E847" s="65"/>
      <c r="F847" s="61"/>
      <c r="G847" s="61"/>
      <c r="H847" s="61"/>
      <c r="I847" s="61"/>
      <c r="J847" s="61"/>
      <c r="K847" s="3" t="str">
        <f t="shared" si="25"/>
        <v>fail</v>
      </c>
      <c r="L847" s="19" t="str">
        <f>IFERROR(IF(AND(MATCH(A847,Projection_classes,0),YEAR(current_date)='Example - Projections'!B847),"pass","fail"),"")</f>
        <v/>
      </c>
    </row>
    <row r="848" spans="1:12" x14ac:dyDescent="0.25">
      <c r="A848" s="64"/>
      <c r="B848" s="64"/>
      <c r="C848" s="65"/>
      <c r="D848" s="65"/>
      <c r="E848" s="65"/>
      <c r="F848" s="61"/>
      <c r="G848" s="61"/>
      <c r="H848" s="61"/>
      <c r="I848" s="61"/>
      <c r="J848" s="61"/>
      <c r="K848" s="3" t="str">
        <f t="shared" si="25"/>
        <v>fail</v>
      </c>
      <c r="L848" s="19" t="str">
        <f>IFERROR(IF(AND(MATCH(A848,Projection_classes,0),YEAR(current_date)='Example - Projections'!B848),"pass","fail"),"")</f>
        <v/>
      </c>
    </row>
    <row r="849" spans="1:12" x14ac:dyDescent="0.25">
      <c r="A849" s="64"/>
      <c r="B849" s="64"/>
      <c r="C849" s="65"/>
      <c r="D849" s="65"/>
      <c r="E849" s="65"/>
      <c r="F849" s="61"/>
      <c r="G849" s="61"/>
      <c r="H849" s="61"/>
      <c r="I849" s="61"/>
      <c r="J849" s="61"/>
      <c r="K849" s="3" t="str">
        <f t="shared" si="25"/>
        <v>fail</v>
      </c>
      <c r="L849" s="19" t="str">
        <f>IFERROR(IF(AND(MATCH(A849,Projection_classes,0),YEAR(current_date)='Example - Projections'!B849),"pass","fail"),"")</f>
        <v/>
      </c>
    </row>
    <row r="850" spans="1:12" x14ac:dyDescent="0.25">
      <c r="A850" s="64"/>
      <c r="B850" s="64"/>
      <c r="C850" s="65"/>
      <c r="D850" s="65"/>
      <c r="E850" s="65"/>
      <c r="F850" s="61"/>
      <c r="G850" s="61"/>
      <c r="H850" s="61"/>
      <c r="I850" s="61"/>
      <c r="J850" s="61"/>
      <c r="K850" s="3" t="str">
        <f t="shared" si="25"/>
        <v>fail</v>
      </c>
      <c r="L850" s="19" t="str">
        <f>IFERROR(IF(AND(MATCH(A850,Projection_classes,0),YEAR(current_date)='Example - Projections'!B850),"pass","fail"),"")</f>
        <v/>
      </c>
    </row>
    <row r="851" spans="1:12" x14ac:dyDescent="0.25">
      <c r="A851" s="64"/>
      <c r="B851" s="64"/>
      <c r="C851" s="65"/>
      <c r="D851" s="65"/>
      <c r="E851" s="65"/>
      <c r="F851" s="61"/>
      <c r="G851" s="61"/>
      <c r="H851" s="61"/>
      <c r="I851" s="61"/>
      <c r="J851" s="61"/>
      <c r="K851" s="3" t="str">
        <f t="shared" si="25"/>
        <v>fail</v>
      </c>
      <c r="L851" s="19" t="str">
        <f>IFERROR(IF(AND(MATCH(A851,Projection_classes,0),YEAR(current_date)='Example - Projections'!B851),"pass","fail"),"")</f>
        <v/>
      </c>
    </row>
    <row r="852" spans="1:12" x14ac:dyDescent="0.25">
      <c r="A852" s="64"/>
      <c r="B852" s="64"/>
      <c r="C852" s="65"/>
      <c r="D852" s="65"/>
      <c r="E852" s="65"/>
      <c r="F852" s="61"/>
      <c r="G852" s="61"/>
      <c r="H852" s="61"/>
      <c r="I852" s="61"/>
      <c r="J852" s="61"/>
      <c r="K852" s="3" t="str">
        <f t="shared" si="25"/>
        <v>fail</v>
      </c>
      <c r="L852" s="19" t="str">
        <f>IFERROR(IF(AND(MATCH(A852,Projection_classes,0),YEAR(current_date)='Example - Projections'!B852),"pass","fail"),"")</f>
        <v/>
      </c>
    </row>
    <row r="853" spans="1:12" x14ac:dyDescent="0.25">
      <c r="A853" s="64"/>
      <c r="B853" s="64"/>
      <c r="C853" s="65"/>
      <c r="D853" s="65"/>
      <c r="E853" s="65"/>
      <c r="F853" s="61"/>
      <c r="G853" s="61"/>
      <c r="H853" s="61"/>
      <c r="I853" s="61"/>
      <c r="J853" s="61"/>
      <c r="K853" s="3" t="str">
        <f t="shared" si="25"/>
        <v>fail</v>
      </c>
      <c r="L853" s="19" t="str">
        <f>IFERROR(IF(AND(MATCH(A853,Projection_classes,0),YEAR(current_date)='Example - Projections'!B853),"pass","fail"),"")</f>
        <v/>
      </c>
    </row>
    <row r="854" spans="1:12" x14ac:dyDescent="0.25">
      <c r="A854" s="64"/>
      <c r="B854" s="64"/>
      <c r="C854" s="65"/>
      <c r="D854" s="65"/>
      <c r="E854" s="65"/>
      <c r="F854" s="61"/>
      <c r="G854" s="61"/>
      <c r="H854" s="61"/>
      <c r="I854" s="61"/>
      <c r="J854" s="61"/>
      <c r="K854" s="3" t="str">
        <f t="shared" si="25"/>
        <v>fail</v>
      </c>
      <c r="L854" s="19" t="str">
        <f>IFERROR(IF(AND(MATCH(A854,Projection_classes,0),YEAR(current_date)='Example - Projections'!B854),"pass","fail"),"")</f>
        <v/>
      </c>
    </row>
    <row r="855" spans="1:12" x14ac:dyDescent="0.25">
      <c r="A855" s="64"/>
      <c r="B855" s="64"/>
      <c r="C855" s="65"/>
      <c r="D855" s="65"/>
      <c r="E855" s="65"/>
      <c r="F855" s="61"/>
      <c r="G855" s="61"/>
      <c r="H855" s="61"/>
      <c r="I855" s="61"/>
      <c r="J855" s="61"/>
      <c r="K855" s="3" t="str">
        <f t="shared" si="25"/>
        <v>fail</v>
      </c>
      <c r="L855" s="19" t="str">
        <f>IFERROR(IF(AND(MATCH(A855,Projection_classes,0),YEAR(current_date)='Example - Projections'!B855),"pass","fail"),"")</f>
        <v/>
      </c>
    </row>
    <row r="856" spans="1:12" x14ac:dyDescent="0.25">
      <c r="A856" s="64"/>
      <c r="B856" s="64"/>
      <c r="C856" s="65"/>
      <c r="D856" s="65"/>
      <c r="E856" s="65"/>
      <c r="F856" s="61"/>
      <c r="G856" s="61"/>
      <c r="H856" s="61"/>
      <c r="I856" s="61"/>
      <c r="J856" s="61"/>
      <c r="K856" s="3" t="str">
        <f t="shared" si="25"/>
        <v>fail</v>
      </c>
      <c r="L856" s="19" t="str">
        <f>IFERROR(IF(AND(MATCH(A856,Projection_classes,0),YEAR(current_date)='Example - Projections'!B856),"pass","fail"),"")</f>
        <v/>
      </c>
    </row>
    <row r="857" spans="1:12" x14ac:dyDescent="0.25">
      <c r="A857" s="64"/>
      <c r="B857" s="64"/>
      <c r="C857" s="65"/>
      <c r="D857" s="65"/>
      <c r="E857" s="65"/>
      <c r="F857" s="61"/>
      <c r="G857" s="61"/>
      <c r="H857" s="61"/>
      <c r="I857" s="61"/>
      <c r="J857" s="61"/>
      <c r="K857" s="3" t="str">
        <f t="shared" si="25"/>
        <v>fail</v>
      </c>
      <c r="L857" s="19" t="str">
        <f>IFERROR(IF(AND(MATCH(A857,Projection_classes,0),YEAR(current_date)='Example - Projections'!B857),"pass","fail"),"")</f>
        <v/>
      </c>
    </row>
    <row r="858" spans="1:12" x14ac:dyDescent="0.25">
      <c r="A858" s="64"/>
      <c r="B858" s="64"/>
      <c r="C858" s="65"/>
      <c r="D858" s="65"/>
      <c r="E858" s="65"/>
      <c r="F858" s="61"/>
      <c r="G858" s="61"/>
      <c r="H858" s="61"/>
      <c r="I858" s="61"/>
      <c r="J858" s="61"/>
      <c r="K858" s="3" t="str">
        <f t="shared" si="25"/>
        <v>fail</v>
      </c>
      <c r="L858" s="19" t="str">
        <f>IFERROR(IF(AND(MATCH(A858,Projection_classes,0),YEAR(current_date)='Example - Projections'!B858),"pass","fail"),"")</f>
        <v/>
      </c>
    </row>
    <row r="859" spans="1:12" x14ac:dyDescent="0.25">
      <c r="A859" s="64"/>
      <c r="B859" s="64"/>
      <c r="C859" s="65"/>
      <c r="D859" s="65"/>
      <c r="E859" s="65"/>
      <c r="F859" s="61"/>
      <c r="G859" s="61"/>
      <c r="H859" s="61"/>
      <c r="I859" s="61"/>
      <c r="J859" s="61"/>
      <c r="K859" s="3" t="str">
        <f t="shared" si="25"/>
        <v>fail</v>
      </c>
      <c r="L859" s="19" t="str">
        <f>IFERROR(IF(AND(MATCH(A859,Projection_classes,0),YEAR(current_date)='Example - Projections'!B859),"pass","fail"),"")</f>
        <v/>
      </c>
    </row>
    <row r="860" spans="1:12" x14ac:dyDescent="0.25">
      <c r="A860" s="64"/>
      <c r="B860" s="64"/>
      <c r="C860" s="65"/>
      <c r="D860" s="65"/>
      <c r="E860" s="65"/>
      <c r="F860" s="61"/>
      <c r="G860" s="61"/>
      <c r="H860" s="61"/>
      <c r="I860" s="61"/>
      <c r="J860" s="61"/>
      <c r="K860" s="3" t="str">
        <f t="shared" si="25"/>
        <v>fail</v>
      </c>
      <c r="L860" s="19" t="str">
        <f>IFERROR(IF(AND(MATCH(A860,Projection_classes,0),YEAR(current_date)='Example - Projections'!B860),"pass","fail"),"")</f>
        <v/>
      </c>
    </row>
    <row r="861" spans="1:12" x14ac:dyDescent="0.25">
      <c r="A861" s="64"/>
      <c r="B861" s="64"/>
      <c r="C861" s="65"/>
      <c r="D861" s="65"/>
      <c r="E861" s="65"/>
      <c r="F861" s="61"/>
      <c r="G861" s="61"/>
      <c r="H861" s="61"/>
      <c r="I861" s="61"/>
      <c r="J861" s="61"/>
      <c r="K861" s="3" t="str">
        <f t="shared" si="25"/>
        <v>fail</v>
      </c>
      <c r="L861" s="19" t="str">
        <f>IFERROR(IF(AND(MATCH(A861,Projection_classes,0),YEAR(current_date)='Example - Projections'!B861),"pass","fail"),"")</f>
        <v/>
      </c>
    </row>
    <row r="862" spans="1:12" x14ac:dyDescent="0.25">
      <c r="A862" s="64"/>
      <c r="B862" s="64"/>
      <c r="C862" s="65"/>
      <c r="D862" s="65"/>
      <c r="E862" s="65"/>
      <c r="F862" s="61"/>
      <c r="G862" s="61"/>
      <c r="H862" s="61"/>
      <c r="I862" s="61"/>
      <c r="J862" s="61"/>
      <c r="K862" s="3" t="str">
        <f t="shared" si="25"/>
        <v>fail</v>
      </c>
      <c r="L862" s="19" t="str">
        <f>IFERROR(IF(AND(MATCH(A862,Projection_classes,0),YEAR(current_date)='Example - Projections'!B862),"pass","fail"),"")</f>
        <v/>
      </c>
    </row>
    <row r="863" spans="1:12" x14ac:dyDescent="0.25">
      <c r="A863" s="64"/>
      <c r="B863" s="64"/>
      <c r="C863" s="65"/>
      <c r="D863" s="65"/>
      <c r="E863" s="65"/>
      <c r="F863" s="61"/>
      <c r="G863" s="61"/>
      <c r="H863" s="61"/>
      <c r="I863" s="61"/>
      <c r="J863" s="61"/>
      <c r="K863" s="3" t="str">
        <f t="shared" si="25"/>
        <v>fail</v>
      </c>
      <c r="L863" s="19" t="str">
        <f>IFERROR(IF(AND(MATCH(A863,Projection_classes,0),YEAR(current_date)='Example - Projections'!B863),"pass","fail"),"")</f>
        <v/>
      </c>
    </row>
    <row r="864" spans="1:12" x14ac:dyDescent="0.25">
      <c r="A864" s="64"/>
      <c r="B864" s="64"/>
      <c r="C864" s="65"/>
      <c r="D864" s="65"/>
      <c r="E864" s="65"/>
      <c r="F864" s="61"/>
      <c r="G864" s="61"/>
      <c r="H864" s="61"/>
      <c r="I864" s="61"/>
      <c r="J864" s="61"/>
      <c r="K864" s="3" t="str">
        <f t="shared" si="25"/>
        <v>fail</v>
      </c>
      <c r="L864" s="19" t="str">
        <f>IFERROR(IF(AND(MATCH(A864,Projection_classes,0),YEAR(current_date)='Example - Projections'!B864),"pass","fail"),"")</f>
        <v/>
      </c>
    </row>
    <row r="865" spans="1:12" x14ac:dyDescent="0.25">
      <c r="A865" s="64"/>
      <c r="B865" s="64"/>
      <c r="C865" s="65"/>
      <c r="D865" s="65"/>
      <c r="E865" s="65"/>
      <c r="F865" s="61"/>
      <c r="G865" s="61"/>
      <c r="H865" s="61"/>
      <c r="I865" s="61"/>
      <c r="J865" s="61"/>
      <c r="K865" s="3" t="str">
        <f t="shared" si="25"/>
        <v>fail</v>
      </c>
      <c r="L865" s="19" t="str">
        <f>IFERROR(IF(AND(MATCH(A865,Projection_classes,0),YEAR(current_date)='Example - Projections'!B865),"pass","fail"),"")</f>
        <v/>
      </c>
    </row>
    <row r="866" spans="1:12" x14ac:dyDescent="0.25">
      <c r="A866" s="64"/>
      <c r="B866" s="64"/>
      <c r="C866" s="65"/>
      <c r="D866" s="65"/>
      <c r="E866" s="65"/>
      <c r="F866" s="61"/>
      <c r="G866" s="61"/>
      <c r="H866" s="61"/>
      <c r="I866" s="61"/>
      <c r="J866" s="61"/>
      <c r="K866" s="3" t="str">
        <f t="shared" si="25"/>
        <v>fail</v>
      </c>
      <c r="L866" s="19" t="str">
        <f>IFERROR(IF(AND(MATCH(A866,Projection_classes,0),YEAR(current_date)='Example - Projections'!B866),"pass","fail"),"")</f>
        <v/>
      </c>
    </row>
    <row r="867" spans="1:12" x14ac:dyDescent="0.25">
      <c r="A867" s="64"/>
      <c r="B867" s="64"/>
      <c r="C867" s="65"/>
      <c r="D867" s="65"/>
      <c r="E867" s="65"/>
      <c r="F867" s="61"/>
      <c r="G867" s="61"/>
      <c r="H867" s="61"/>
      <c r="I867" s="61"/>
      <c r="J867" s="61"/>
      <c r="K867" s="3" t="str">
        <f t="shared" si="25"/>
        <v>fail</v>
      </c>
      <c r="L867" s="19" t="str">
        <f>IFERROR(IF(AND(MATCH(A867,Projection_classes,0),YEAR(current_date)='Example - Projections'!B867),"pass","fail"),"")</f>
        <v/>
      </c>
    </row>
    <row r="868" spans="1:12" x14ac:dyDescent="0.25">
      <c r="A868" s="64"/>
      <c r="B868" s="64"/>
      <c r="C868" s="65"/>
      <c r="D868" s="65"/>
      <c r="E868" s="65"/>
      <c r="F868" s="61"/>
      <c r="G868" s="61"/>
      <c r="H868" s="61"/>
      <c r="I868" s="61"/>
      <c r="J868" s="61"/>
      <c r="K868" s="3" t="str">
        <f t="shared" si="25"/>
        <v>fail</v>
      </c>
      <c r="L868" s="19" t="str">
        <f>IFERROR(IF(AND(MATCH(A868,Projection_classes,0),YEAR(current_date)='Example - Projections'!B868),"pass","fail"),"")</f>
        <v/>
      </c>
    </row>
    <row r="869" spans="1:12" x14ac:dyDescent="0.25">
      <c r="A869" s="64"/>
      <c r="B869" s="64"/>
      <c r="C869" s="65"/>
      <c r="D869" s="65"/>
      <c r="E869" s="65"/>
      <c r="F869" s="61"/>
      <c r="G869" s="61"/>
      <c r="H869" s="61"/>
      <c r="I869" s="61"/>
      <c r="J869" s="61"/>
      <c r="K869" s="3" t="str">
        <f t="shared" si="25"/>
        <v>fail</v>
      </c>
      <c r="L869" s="19" t="str">
        <f>IFERROR(IF(AND(MATCH(A869,Projection_classes,0),YEAR(current_date)='Example - Projections'!B869),"pass","fail"),"")</f>
        <v/>
      </c>
    </row>
    <row r="870" spans="1:12" x14ac:dyDescent="0.25">
      <c r="A870" s="64"/>
      <c r="B870" s="64"/>
      <c r="C870" s="65"/>
      <c r="D870" s="65"/>
      <c r="E870" s="65"/>
      <c r="F870" s="61"/>
      <c r="G870" s="61"/>
      <c r="H870" s="61"/>
      <c r="I870" s="61"/>
      <c r="J870" s="61"/>
      <c r="K870" s="3" t="str">
        <f t="shared" si="25"/>
        <v>fail</v>
      </c>
      <c r="L870" s="19" t="str">
        <f>IFERROR(IF(AND(MATCH(A870,Projection_classes,0),YEAR(current_date)='Example - Projections'!B870),"pass","fail"),"")</f>
        <v/>
      </c>
    </row>
    <row r="871" spans="1:12" x14ac:dyDescent="0.25">
      <c r="A871" s="64"/>
      <c r="B871" s="64"/>
      <c r="C871" s="65"/>
      <c r="D871" s="65"/>
      <c r="E871" s="65"/>
      <c r="F871" s="61"/>
      <c r="G871" s="61"/>
      <c r="H871" s="61"/>
      <c r="I871" s="61"/>
      <c r="J871" s="61"/>
      <c r="K871" s="3" t="str">
        <f t="shared" si="25"/>
        <v>fail</v>
      </c>
      <c r="L871" s="19" t="str">
        <f>IFERROR(IF(AND(MATCH(A871,Projection_classes,0),YEAR(current_date)='Example - Projections'!B871),"pass","fail"),"")</f>
        <v/>
      </c>
    </row>
    <row r="872" spans="1:12" x14ac:dyDescent="0.25">
      <c r="A872" s="64"/>
      <c r="B872" s="64"/>
      <c r="C872" s="65"/>
      <c r="D872" s="65"/>
      <c r="E872" s="65"/>
      <c r="F872" s="61"/>
      <c r="G872" s="61"/>
      <c r="H872" s="61"/>
      <c r="I872" s="61"/>
      <c r="J872" s="61"/>
      <c r="K872" s="3" t="str">
        <f t="shared" si="25"/>
        <v>fail</v>
      </c>
      <c r="L872" s="19" t="str">
        <f>IFERROR(IF(AND(MATCH(A872,Projection_classes,0),YEAR(current_date)='Example - Projections'!B872),"pass","fail"),"")</f>
        <v/>
      </c>
    </row>
    <row r="873" spans="1:12" x14ac:dyDescent="0.25">
      <c r="A873" s="64"/>
      <c r="B873" s="64"/>
      <c r="C873" s="65"/>
      <c r="D873" s="65"/>
      <c r="E873" s="65"/>
      <c r="F873" s="61"/>
      <c r="G873" s="61"/>
      <c r="H873" s="61"/>
      <c r="I873" s="61"/>
      <c r="J873" s="61"/>
      <c r="K873" s="3" t="str">
        <f t="shared" si="25"/>
        <v>fail</v>
      </c>
      <c r="L873" s="19" t="str">
        <f>IFERROR(IF(AND(MATCH(A873,Projection_classes,0),YEAR(current_date)='Example - Projections'!B873),"pass","fail"),"")</f>
        <v/>
      </c>
    </row>
    <row r="874" spans="1:12" x14ac:dyDescent="0.25">
      <c r="A874" s="64"/>
      <c r="B874" s="64"/>
      <c r="C874" s="65"/>
      <c r="D874" s="65"/>
      <c r="E874" s="65"/>
      <c r="F874" s="61"/>
      <c r="G874" s="61"/>
      <c r="H874" s="61"/>
      <c r="I874" s="61"/>
      <c r="J874" s="61"/>
      <c r="K874" s="3" t="str">
        <f t="shared" si="25"/>
        <v>fail</v>
      </c>
      <c r="L874" s="19" t="str">
        <f>IFERROR(IF(AND(MATCH(A874,Projection_classes,0),YEAR(current_date)='Example - Projections'!B874),"pass","fail"),"")</f>
        <v/>
      </c>
    </row>
    <row r="875" spans="1:12" x14ac:dyDescent="0.25">
      <c r="A875" s="64"/>
      <c r="B875" s="64"/>
      <c r="C875" s="65"/>
      <c r="D875" s="65"/>
      <c r="E875" s="65"/>
      <c r="F875" s="61"/>
      <c r="G875" s="61"/>
      <c r="H875" s="61"/>
      <c r="I875" s="61"/>
      <c r="J875" s="61"/>
      <c r="K875" s="3" t="str">
        <f t="shared" si="25"/>
        <v>fail</v>
      </c>
      <c r="L875" s="19" t="str">
        <f>IFERROR(IF(AND(MATCH(A875,Projection_classes,0),YEAR(current_date)='Example - Projections'!B875),"pass","fail"),"")</f>
        <v/>
      </c>
    </row>
    <row r="876" spans="1:12" x14ac:dyDescent="0.25">
      <c r="A876" s="64"/>
      <c r="B876" s="64"/>
      <c r="C876" s="65"/>
      <c r="D876" s="65"/>
      <c r="E876" s="65"/>
      <c r="F876" s="61"/>
      <c r="G876" s="61"/>
      <c r="H876" s="61"/>
      <c r="I876" s="61"/>
      <c r="J876" s="61"/>
      <c r="K876" s="3" t="str">
        <f t="shared" si="25"/>
        <v>fail</v>
      </c>
      <c r="L876" s="19" t="str">
        <f>IFERROR(IF(AND(MATCH(A876,Projection_classes,0),YEAR(current_date)='Example - Projections'!B876),"pass","fail"),"")</f>
        <v/>
      </c>
    </row>
    <row r="877" spans="1:12" x14ac:dyDescent="0.25">
      <c r="A877" s="64"/>
      <c r="B877" s="64"/>
      <c r="C877" s="65"/>
      <c r="D877" s="65"/>
      <c r="E877" s="65"/>
      <c r="F877" s="61"/>
      <c r="G877" s="61"/>
      <c r="H877" s="61"/>
      <c r="I877" s="61"/>
      <c r="J877" s="61"/>
      <c r="K877" s="3" t="str">
        <f t="shared" si="25"/>
        <v>fail</v>
      </c>
      <c r="L877" s="19" t="str">
        <f>IFERROR(IF(AND(MATCH(A877,Projection_classes,0),YEAR(current_date)='Example - Projections'!B877),"pass","fail"),"")</f>
        <v/>
      </c>
    </row>
    <row r="878" spans="1:12" x14ac:dyDescent="0.25">
      <c r="A878" s="64"/>
      <c r="B878" s="64"/>
      <c r="C878" s="65"/>
      <c r="D878" s="65"/>
      <c r="E878" s="65"/>
      <c r="F878" s="61"/>
      <c r="G878" s="61"/>
      <c r="H878" s="61"/>
      <c r="I878" s="61"/>
      <c r="J878" s="61"/>
      <c r="K878" s="3" t="str">
        <f t="shared" si="25"/>
        <v>fail</v>
      </c>
      <c r="L878" s="19" t="str">
        <f>IFERROR(IF(AND(MATCH(A878,Projection_classes,0),YEAR(current_date)='Example - Projections'!B878),"pass","fail"),"")</f>
        <v/>
      </c>
    </row>
    <row r="879" spans="1:12" x14ac:dyDescent="0.25">
      <c r="A879" s="64"/>
      <c r="B879" s="64"/>
      <c r="C879" s="65"/>
      <c r="D879" s="65"/>
      <c r="E879" s="65"/>
      <c r="F879" s="61"/>
      <c r="G879" s="61"/>
      <c r="H879" s="61"/>
      <c r="I879" s="61"/>
      <c r="J879" s="61"/>
      <c r="K879" s="3" t="str">
        <f t="shared" si="25"/>
        <v>fail</v>
      </c>
      <c r="L879" s="19" t="str">
        <f>IFERROR(IF(AND(MATCH(A879,Projection_classes,0),YEAR(current_date)='Example - Projections'!B879),"pass","fail"),"")</f>
        <v/>
      </c>
    </row>
    <row r="880" spans="1:12" x14ac:dyDescent="0.25">
      <c r="A880" s="64"/>
      <c r="B880" s="64"/>
      <c r="C880" s="65"/>
      <c r="D880" s="65"/>
      <c r="E880" s="65"/>
      <c r="F880" s="61"/>
      <c r="G880" s="61"/>
      <c r="H880" s="61"/>
      <c r="I880" s="61"/>
      <c r="J880" s="61"/>
      <c r="K880" s="3" t="str">
        <f t="shared" si="25"/>
        <v>fail</v>
      </c>
      <c r="L880" s="19" t="str">
        <f>IFERROR(IF(AND(MATCH(A880,Projection_classes,0),YEAR(current_date)='Example - Projections'!B880),"pass","fail"),"")</f>
        <v/>
      </c>
    </row>
    <row r="881" spans="1:12" x14ac:dyDescent="0.25">
      <c r="A881" s="64"/>
      <c r="B881" s="64"/>
      <c r="C881" s="65"/>
      <c r="D881" s="65"/>
      <c r="E881" s="65"/>
      <c r="F881" s="61"/>
      <c r="G881" s="61"/>
      <c r="H881" s="61"/>
      <c r="I881" s="61"/>
      <c r="J881" s="61"/>
      <c r="K881" s="3" t="str">
        <f t="shared" si="25"/>
        <v>fail</v>
      </c>
      <c r="L881" s="19" t="str">
        <f>IFERROR(IF(AND(MATCH(A881,Projection_classes,0),YEAR(current_date)='Example - Projections'!B881),"pass","fail"),"")</f>
        <v/>
      </c>
    </row>
    <row r="882" spans="1:12" x14ac:dyDescent="0.25">
      <c r="A882" s="64"/>
      <c r="B882" s="64"/>
      <c r="C882" s="65"/>
      <c r="D882" s="65"/>
      <c r="E882" s="65"/>
      <c r="F882" s="61"/>
      <c r="G882" s="61"/>
      <c r="H882" s="61"/>
      <c r="I882" s="61"/>
      <c r="J882" s="61"/>
      <c r="K882" s="3" t="str">
        <f t="shared" si="25"/>
        <v>fail</v>
      </c>
      <c r="L882" s="19" t="str">
        <f>IFERROR(IF(AND(MATCH(A882,Projection_classes,0),YEAR(current_date)='Example - Projections'!B882),"pass","fail"),"")</f>
        <v/>
      </c>
    </row>
    <row r="883" spans="1:12" x14ac:dyDescent="0.25">
      <c r="A883" s="64"/>
      <c r="B883" s="64"/>
      <c r="C883" s="65"/>
      <c r="D883" s="65"/>
      <c r="E883" s="65"/>
      <c r="F883" s="61"/>
      <c r="G883" s="61"/>
      <c r="H883" s="61"/>
      <c r="I883" s="61"/>
      <c r="J883" s="61"/>
      <c r="K883" s="3" t="str">
        <f t="shared" si="25"/>
        <v>fail</v>
      </c>
      <c r="L883" s="19" t="str">
        <f>IFERROR(IF(AND(MATCH(A883,Projection_classes,0),YEAR(current_date)='Example - Projections'!B883),"pass","fail"),"")</f>
        <v/>
      </c>
    </row>
    <row r="884" spans="1:12" x14ac:dyDescent="0.25">
      <c r="A884" s="64"/>
      <c r="B884" s="64"/>
      <c r="C884" s="65"/>
      <c r="D884" s="65"/>
      <c r="E884" s="65"/>
      <c r="F884" s="61"/>
      <c r="G884" s="61"/>
      <c r="H884" s="61"/>
      <c r="I884" s="61"/>
      <c r="J884" s="61"/>
      <c r="K884" s="3" t="str">
        <f t="shared" si="25"/>
        <v>fail</v>
      </c>
      <c r="L884" s="19" t="str">
        <f>IFERROR(IF(AND(MATCH(A884,Projection_classes,0),YEAR(current_date)='Example - Projections'!B884),"pass","fail"),"")</f>
        <v/>
      </c>
    </row>
    <row r="885" spans="1:12" x14ac:dyDescent="0.25">
      <c r="A885" s="64"/>
      <c r="B885" s="64"/>
      <c r="C885" s="65"/>
      <c r="D885" s="65"/>
      <c r="E885" s="65"/>
      <c r="F885" s="61"/>
      <c r="G885" s="61"/>
      <c r="H885" s="61"/>
      <c r="I885" s="61"/>
      <c r="J885" s="61"/>
      <c r="K885" s="3" t="str">
        <f t="shared" si="25"/>
        <v>fail</v>
      </c>
      <c r="L885" s="19" t="str">
        <f>IFERROR(IF(AND(MATCH(A885,Projection_classes,0),YEAR(current_date)='Example - Projections'!B885),"pass","fail"),"")</f>
        <v/>
      </c>
    </row>
    <row r="886" spans="1:12" x14ac:dyDescent="0.25">
      <c r="A886" s="64"/>
      <c r="B886" s="64"/>
      <c r="C886" s="65"/>
      <c r="D886" s="65"/>
      <c r="E886" s="65"/>
      <c r="F886" s="61"/>
      <c r="G886" s="61"/>
      <c r="H886" s="61"/>
      <c r="I886" s="61"/>
      <c r="J886" s="61"/>
      <c r="K886" s="3" t="str">
        <f t="shared" si="25"/>
        <v>fail</v>
      </c>
      <c r="L886" s="19" t="str">
        <f>IFERROR(IF(AND(MATCH(A886,Projection_classes,0),YEAR(current_date)='Example - Projections'!B886),"pass","fail"),"")</f>
        <v/>
      </c>
    </row>
    <row r="887" spans="1:12" x14ac:dyDescent="0.25">
      <c r="A887" s="64"/>
      <c r="B887" s="64"/>
      <c r="C887" s="65"/>
      <c r="D887" s="65"/>
      <c r="E887" s="65"/>
      <c r="F887" s="61"/>
      <c r="G887" s="61"/>
      <c r="H887" s="61"/>
      <c r="I887" s="61"/>
      <c r="J887" s="61"/>
      <c r="K887" s="3" t="str">
        <f t="shared" si="25"/>
        <v>fail</v>
      </c>
      <c r="L887" s="19" t="str">
        <f>IFERROR(IF(AND(MATCH(A887,Projection_classes,0),YEAR(current_date)='Example - Projections'!B887),"pass","fail"),"")</f>
        <v/>
      </c>
    </row>
    <row r="888" spans="1:12" x14ac:dyDescent="0.25">
      <c r="A888" s="64"/>
      <c r="B888" s="64"/>
      <c r="C888" s="65"/>
      <c r="D888" s="65"/>
      <c r="E888" s="65"/>
      <c r="F888" s="61"/>
      <c r="G888" s="61"/>
      <c r="H888" s="61"/>
      <c r="I888" s="61"/>
      <c r="J888" s="61"/>
      <c r="K888" s="3" t="str">
        <f t="shared" si="25"/>
        <v>fail</v>
      </c>
      <c r="L888" s="19" t="str">
        <f>IFERROR(IF(AND(MATCH(A888,Projection_classes,0),YEAR(current_date)='Example - Projections'!B888),"pass","fail"),"")</f>
        <v/>
      </c>
    </row>
    <row r="889" spans="1:12" x14ac:dyDescent="0.25">
      <c r="A889" s="64"/>
      <c r="B889" s="64"/>
      <c r="C889" s="65"/>
      <c r="D889" s="65"/>
      <c r="E889" s="65"/>
      <c r="F889" s="61"/>
      <c r="G889" s="61"/>
      <c r="H889" s="61"/>
      <c r="I889" s="61"/>
      <c r="J889" s="61"/>
      <c r="K889" s="3" t="str">
        <f t="shared" si="25"/>
        <v>fail</v>
      </c>
      <c r="L889" s="19" t="str">
        <f>IFERROR(IF(AND(MATCH(A889,Projection_classes,0),YEAR(current_date)='Example - Projections'!B889),"pass","fail"),"")</f>
        <v/>
      </c>
    </row>
    <row r="890" spans="1:12" x14ac:dyDescent="0.25">
      <c r="A890" s="64"/>
      <c r="B890" s="64"/>
      <c r="C890" s="65"/>
      <c r="D890" s="65"/>
      <c r="E890" s="65"/>
      <c r="F890" s="61"/>
      <c r="G890" s="61"/>
      <c r="H890" s="61"/>
      <c r="I890" s="61"/>
      <c r="J890" s="61"/>
      <c r="K890" s="3" t="str">
        <f t="shared" si="25"/>
        <v>fail</v>
      </c>
      <c r="L890" s="19" t="str">
        <f>IFERROR(IF(AND(MATCH(A890,Projection_classes,0),YEAR(current_date)='Example - Projections'!B890),"pass","fail"),"")</f>
        <v/>
      </c>
    </row>
    <row r="891" spans="1:12" x14ac:dyDescent="0.25">
      <c r="A891" s="64"/>
      <c r="B891" s="64"/>
      <c r="C891" s="65"/>
      <c r="D891" s="65"/>
      <c r="E891" s="65"/>
      <c r="F891" s="61"/>
      <c r="G891" s="61"/>
      <c r="H891" s="61"/>
      <c r="I891" s="61"/>
      <c r="J891" s="61"/>
      <c r="K891" s="3" t="str">
        <f t="shared" si="25"/>
        <v>fail</v>
      </c>
      <c r="L891" s="19" t="str">
        <f>IFERROR(IF(AND(MATCH(A891,Projection_classes,0),YEAR(current_date)='Example - Projections'!B891),"pass","fail"),"")</f>
        <v/>
      </c>
    </row>
    <row r="892" spans="1:12" x14ac:dyDescent="0.25">
      <c r="A892" s="64"/>
      <c r="B892" s="64"/>
      <c r="C892" s="65"/>
      <c r="D892" s="65"/>
      <c r="E892" s="65"/>
      <c r="F892" s="61"/>
      <c r="G892" s="61"/>
      <c r="H892" s="61"/>
      <c r="I892" s="61"/>
      <c r="J892" s="61"/>
      <c r="K892" s="3" t="str">
        <f t="shared" si="25"/>
        <v>fail</v>
      </c>
      <c r="L892" s="19" t="str">
        <f>IFERROR(IF(AND(MATCH(A892,Projection_classes,0),YEAR(current_date)='Example - Projections'!B892),"pass","fail"),"")</f>
        <v/>
      </c>
    </row>
    <row r="893" spans="1:12" x14ac:dyDescent="0.25">
      <c r="A893" s="64"/>
      <c r="B893" s="64"/>
      <c r="C893" s="65"/>
      <c r="D893" s="65"/>
      <c r="E893" s="65"/>
      <c r="F893" s="61"/>
      <c r="G893" s="61"/>
      <c r="H893" s="61"/>
      <c r="I893" s="61"/>
      <c r="J893" s="61"/>
      <c r="K893" s="3" t="str">
        <f t="shared" si="25"/>
        <v>fail</v>
      </c>
      <c r="L893" s="19" t="str">
        <f>IFERROR(IF(AND(MATCH(A893,Projection_classes,0),YEAR(current_date)='Example - Projections'!B893),"pass","fail"),"")</f>
        <v/>
      </c>
    </row>
    <row r="894" spans="1:12" x14ac:dyDescent="0.25">
      <c r="A894" s="64"/>
      <c r="B894" s="64"/>
      <c r="C894" s="65"/>
      <c r="D894" s="65"/>
      <c r="E894" s="65"/>
      <c r="F894" s="61"/>
      <c r="G894" s="61"/>
      <c r="H894" s="61"/>
      <c r="I894" s="61"/>
      <c r="J894" s="61"/>
      <c r="K894" s="3" t="str">
        <f t="shared" si="25"/>
        <v>fail</v>
      </c>
      <c r="L894" s="19" t="str">
        <f>IFERROR(IF(AND(MATCH(A894,Projection_classes,0),YEAR(current_date)='Example - Projections'!B894),"pass","fail"),"")</f>
        <v/>
      </c>
    </row>
    <row r="895" spans="1:12" x14ac:dyDescent="0.25">
      <c r="A895" s="64"/>
      <c r="B895" s="64"/>
      <c r="C895" s="65"/>
      <c r="D895" s="65"/>
      <c r="E895" s="65"/>
      <c r="F895" s="61"/>
      <c r="G895" s="61"/>
      <c r="H895" s="61"/>
      <c r="I895" s="61"/>
      <c r="J895" s="61"/>
      <c r="K895" s="3" t="str">
        <f t="shared" si="25"/>
        <v>fail</v>
      </c>
      <c r="L895" s="19" t="str">
        <f>IFERROR(IF(AND(MATCH(A895,Projection_classes,0),YEAR(current_date)='Example - Projections'!B895),"pass","fail"),"")</f>
        <v/>
      </c>
    </row>
    <row r="896" spans="1:12" x14ac:dyDescent="0.25">
      <c r="A896" s="64"/>
      <c r="B896" s="64"/>
      <c r="C896" s="65"/>
      <c r="D896" s="65"/>
      <c r="E896" s="65"/>
      <c r="F896" s="61"/>
      <c r="G896" s="61"/>
      <c r="H896" s="61"/>
      <c r="I896" s="61"/>
      <c r="J896" s="61"/>
      <c r="K896" s="3" t="str">
        <f t="shared" si="25"/>
        <v>fail</v>
      </c>
      <c r="L896" s="19" t="str">
        <f>IFERROR(IF(AND(MATCH(A896,Projection_classes,0),YEAR(current_date)='Example - Projections'!B896),"pass","fail"),"")</f>
        <v/>
      </c>
    </row>
    <row r="897" spans="1:12" x14ac:dyDescent="0.25">
      <c r="A897" s="64"/>
      <c r="B897" s="64"/>
      <c r="C897" s="65"/>
      <c r="D897" s="65"/>
      <c r="E897" s="65"/>
      <c r="F897" s="61"/>
      <c r="G897" s="61"/>
      <c r="H897" s="61"/>
      <c r="I897" s="61"/>
      <c r="J897" s="61"/>
      <c r="K897" s="3" t="str">
        <f t="shared" si="25"/>
        <v>fail</v>
      </c>
      <c r="L897" s="19" t="str">
        <f>IFERROR(IF(AND(MATCH(A897,Projection_classes,0),YEAR(current_date)='Example - Projections'!B897),"pass","fail"),"")</f>
        <v/>
      </c>
    </row>
    <row r="898" spans="1:12" x14ac:dyDescent="0.25">
      <c r="A898" s="64"/>
      <c r="B898" s="64"/>
      <c r="C898" s="65"/>
      <c r="D898" s="65"/>
      <c r="E898" s="65"/>
      <c r="F898" s="61"/>
      <c r="G898" s="61"/>
      <c r="H898" s="61"/>
      <c r="I898" s="61"/>
      <c r="J898" s="61"/>
      <c r="K898" s="3" t="str">
        <f t="shared" ref="K898:K961" si="26">IF(OR(B898&lt;$N$1,B898&gt;$P$1),"fail","pass")</f>
        <v>fail</v>
      </c>
      <c r="L898" s="19" t="str">
        <f>IFERROR(IF(AND(MATCH(A898,Projection_classes,0),YEAR(current_date)='Example - Projections'!B898),"pass","fail"),"")</f>
        <v/>
      </c>
    </row>
    <row r="899" spans="1:12" x14ac:dyDescent="0.25">
      <c r="A899" s="64"/>
      <c r="B899" s="64"/>
      <c r="C899" s="65"/>
      <c r="D899" s="65"/>
      <c r="E899" s="65"/>
      <c r="F899" s="61"/>
      <c r="G899" s="61"/>
      <c r="H899" s="61"/>
      <c r="I899" s="61"/>
      <c r="J899" s="61"/>
      <c r="K899" s="3" t="str">
        <f t="shared" si="26"/>
        <v>fail</v>
      </c>
      <c r="L899" s="19" t="str">
        <f>IFERROR(IF(AND(MATCH(A899,Projection_classes,0),YEAR(current_date)='Example - Projections'!B899),"pass","fail"),"")</f>
        <v/>
      </c>
    </row>
    <row r="900" spans="1:12" x14ac:dyDescent="0.25">
      <c r="A900" s="64"/>
      <c r="B900" s="64"/>
      <c r="C900" s="65"/>
      <c r="D900" s="65"/>
      <c r="E900" s="65"/>
      <c r="F900" s="61"/>
      <c r="G900" s="61"/>
      <c r="H900" s="61"/>
      <c r="I900" s="61"/>
      <c r="J900" s="61"/>
      <c r="K900" s="3" t="str">
        <f t="shared" si="26"/>
        <v>fail</v>
      </c>
      <c r="L900" s="19" t="str">
        <f>IFERROR(IF(AND(MATCH(A900,Projection_classes,0),YEAR(current_date)='Example - Projections'!B900),"pass","fail"),"")</f>
        <v/>
      </c>
    </row>
    <row r="901" spans="1:12" x14ac:dyDescent="0.25">
      <c r="A901" s="64"/>
      <c r="B901" s="64"/>
      <c r="C901" s="65"/>
      <c r="D901" s="65"/>
      <c r="E901" s="65"/>
      <c r="F901" s="61"/>
      <c r="G901" s="61"/>
      <c r="H901" s="61"/>
      <c r="I901" s="61"/>
      <c r="J901" s="61"/>
      <c r="K901" s="3" t="str">
        <f t="shared" si="26"/>
        <v>fail</v>
      </c>
      <c r="L901" s="19" t="str">
        <f>IFERROR(IF(AND(MATCH(A901,Projection_classes,0),YEAR(current_date)='Example - Projections'!B901),"pass","fail"),"")</f>
        <v/>
      </c>
    </row>
    <row r="902" spans="1:12" x14ac:dyDescent="0.25">
      <c r="A902" s="64"/>
      <c r="B902" s="64"/>
      <c r="C902" s="65"/>
      <c r="D902" s="65"/>
      <c r="E902" s="65"/>
      <c r="F902" s="61"/>
      <c r="G902" s="61"/>
      <c r="H902" s="61"/>
      <c r="I902" s="61"/>
      <c r="J902" s="61"/>
      <c r="K902" s="3" t="str">
        <f t="shared" si="26"/>
        <v>fail</v>
      </c>
      <c r="L902" s="19" t="str">
        <f>IFERROR(IF(AND(MATCH(A902,Projection_classes,0),YEAR(current_date)='Example - Projections'!B902),"pass","fail"),"")</f>
        <v/>
      </c>
    </row>
    <row r="903" spans="1:12" x14ac:dyDescent="0.25">
      <c r="A903" s="64"/>
      <c r="B903" s="64"/>
      <c r="C903" s="65"/>
      <c r="D903" s="65"/>
      <c r="E903" s="65"/>
      <c r="F903" s="61"/>
      <c r="G903" s="61"/>
      <c r="H903" s="61"/>
      <c r="I903" s="61"/>
      <c r="J903" s="61"/>
      <c r="K903" s="3" t="str">
        <f t="shared" si="26"/>
        <v>fail</v>
      </c>
      <c r="L903" s="19" t="str">
        <f>IFERROR(IF(AND(MATCH(A903,Projection_classes,0),YEAR(current_date)='Example - Projections'!B903),"pass","fail"),"")</f>
        <v/>
      </c>
    </row>
    <row r="904" spans="1:12" x14ac:dyDescent="0.25">
      <c r="A904" s="64"/>
      <c r="B904" s="64"/>
      <c r="C904" s="65"/>
      <c r="D904" s="65"/>
      <c r="E904" s="65"/>
      <c r="F904" s="61"/>
      <c r="G904" s="61"/>
      <c r="H904" s="61"/>
      <c r="I904" s="61"/>
      <c r="J904" s="61"/>
      <c r="K904" s="3" t="str">
        <f t="shared" si="26"/>
        <v>fail</v>
      </c>
      <c r="L904" s="19" t="str">
        <f>IFERROR(IF(AND(MATCH(A904,Projection_classes,0),YEAR(current_date)='Example - Projections'!B904),"pass","fail"),"")</f>
        <v/>
      </c>
    </row>
    <row r="905" spans="1:12" x14ac:dyDescent="0.25">
      <c r="A905" s="64"/>
      <c r="B905" s="64"/>
      <c r="C905" s="65"/>
      <c r="D905" s="65"/>
      <c r="E905" s="65"/>
      <c r="F905" s="61"/>
      <c r="G905" s="61"/>
      <c r="H905" s="61"/>
      <c r="I905" s="61"/>
      <c r="J905" s="61"/>
      <c r="K905" s="3" t="str">
        <f t="shared" si="26"/>
        <v>fail</v>
      </c>
      <c r="L905" s="19" t="str">
        <f>IFERROR(IF(AND(MATCH(A905,Projection_classes,0),YEAR(current_date)='Example - Projections'!B905),"pass","fail"),"")</f>
        <v/>
      </c>
    </row>
    <row r="906" spans="1:12" x14ac:dyDescent="0.25">
      <c r="A906" s="64"/>
      <c r="B906" s="64"/>
      <c r="C906" s="65"/>
      <c r="D906" s="65"/>
      <c r="E906" s="65"/>
      <c r="F906" s="61"/>
      <c r="G906" s="61"/>
      <c r="H906" s="61"/>
      <c r="I906" s="61"/>
      <c r="J906" s="61"/>
      <c r="K906" s="3" t="str">
        <f t="shared" si="26"/>
        <v>fail</v>
      </c>
      <c r="L906" s="19" t="str">
        <f>IFERROR(IF(AND(MATCH(A906,Projection_classes,0),YEAR(current_date)='Example - Projections'!B906),"pass","fail"),"")</f>
        <v/>
      </c>
    </row>
    <row r="907" spans="1:12" x14ac:dyDescent="0.25">
      <c r="A907" s="64"/>
      <c r="B907" s="64"/>
      <c r="C907" s="65"/>
      <c r="D907" s="65"/>
      <c r="E907" s="65"/>
      <c r="F907" s="61"/>
      <c r="G907" s="61"/>
      <c r="H907" s="61"/>
      <c r="I907" s="61"/>
      <c r="J907" s="61"/>
      <c r="K907" s="3" t="str">
        <f t="shared" si="26"/>
        <v>fail</v>
      </c>
      <c r="L907" s="19" t="str">
        <f>IFERROR(IF(AND(MATCH(A907,Projection_classes,0),YEAR(current_date)='Example - Projections'!B907),"pass","fail"),"")</f>
        <v/>
      </c>
    </row>
    <row r="908" spans="1:12" x14ac:dyDescent="0.25">
      <c r="A908" s="64"/>
      <c r="B908" s="64"/>
      <c r="C908" s="65"/>
      <c r="D908" s="65"/>
      <c r="E908" s="65"/>
      <c r="F908" s="61"/>
      <c r="G908" s="61"/>
      <c r="H908" s="61"/>
      <c r="I908" s="61"/>
      <c r="J908" s="61"/>
      <c r="K908" s="3" t="str">
        <f t="shared" si="26"/>
        <v>fail</v>
      </c>
      <c r="L908" s="19" t="str">
        <f>IFERROR(IF(AND(MATCH(A908,Projection_classes,0),YEAR(current_date)='Example - Projections'!B908),"pass","fail"),"")</f>
        <v/>
      </c>
    </row>
    <row r="909" spans="1:12" x14ac:dyDescent="0.25">
      <c r="A909" s="64"/>
      <c r="B909" s="64"/>
      <c r="C909" s="65"/>
      <c r="D909" s="65"/>
      <c r="E909" s="65"/>
      <c r="F909" s="61"/>
      <c r="G909" s="61"/>
      <c r="H909" s="61"/>
      <c r="I909" s="61"/>
      <c r="J909" s="61"/>
      <c r="K909" s="3" t="str">
        <f t="shared" si="26"/>
        <v>fail</v>
      </c>
      <c r="L909" s="19" t="str">
        <f>IFERROR(IF(AND(MATCH(A909,Projection_classes,0),YEAR(current_date)='Example - Projections'!B909),"pass","fail"),"")</f>
        <v/>
      </c>
    </row>
    <row r="910" spans="1:12" x14ac:dyDescent="0.25">
      <c r="A910" s="64"/>
      <c r="B910" s="64"/>
      <c r="C910" s="65"/>
      <c r="D910" s="65"/>
      <c r="E910" s="65"/>
      <c r="F910" s="61"/>
      <c r="G910" s="61"/>
      <c r="H910" s="61"/>
      <c r="I910" s="61"/>
      <c r="J910" s="61"/>
      <c r="K910" s="3" t="str">
        <f t="shared" si="26"/>
        <v>fail</v>
      </c>
      <c r="L910" s="19" t="str">
        <f>IFERROR(IF(AND(MATCH(A910,Projection_classes,0),YEAR(current_date)='Example - Projections'!B910),"pass","fail"),"")</f>
        <v/>
      </c>
    </row>
    <row r="911" spans="1:12" x14ac:dyDescent="0.25">
      <c r="A911" s="64"/>
      <c r="B911" s="64"/>
      <c r="C911" s="65"/>
      <c r="D911" s="65"/>
      <c r="E911" s="65"/>
      <c r="F911" s="61"/>
      <c r="G911" s="61"/>
      <c r="H911" s="61"/>
      <c r="I911" s="61"/>
      <c r="J911" s="61"/>
      <c r="K911" s="3" t="str">
        <f t="shared" si="26"/>
        <v>fail</v>
      </c>
      <c r="L911" s="19" t="str">
        <f>IFERROR(IF(AND(MATCH(A911,Projection_classes,0),YEAR(current_date)='Example - Projections'!B911),"pass","fail"),"")</f>
        <v/>
      </c>
    </row>
    <row r="912" spans="1:12" x14ac:dyDescent="0.25">
      <c r="A912" s="64"/>
      <c r="B912" s="64"/>
      <c r="C912" s="65"/>
      <c r="D912" s="65"/>
      <c r="E912" s="65"/>
      <c r="F912" s="61"/>
      <c r="G912" s="61"/>
      <c r="H912" s="61"/>
      <c r="I912" s="61"/>
      <c r="J912" s="61"/>
      <c r="K912" s="3" t="str">
        <f t="shared" si="26"/>
        <v>fail</v>
      </c>
      <c r="L912" s="19" t="str">
        <f>IFERROR(IF(AND(MATCH(A912,Projection_classes,0),YEAR(current_date)='Example - Projections'!B912),"pass","fail"),"")</f>
        <v/>
      </c>
    </row>
    <row r="913" spans="1:12" x14ac:dyDescent="0.25">
      <c r="A913" s="64"/>
      <c r="B913" s="64"/>
      <c r="C913" s="65"/>
      <c r="D913" s="65"/>
      <c r="E913" s="65"/>
      <c r="F913" s="61"/>
      <c r="G913" s="61"/>
      <c r="H913" s="61"/>
      <c r="I913" s="61"/>
      <c r="J913" s="61"/>
      <c r="K913" s="3" t="str">
        <f t="shared" si="26"/>
        <v>fail</v>
      </c>
      <c r="L913" s="19" t="str">
        <f>IFERROR(IF(AND(MATCH(A913,Projection_classes,0),YEAR(current_date)='Example - Projections'!B913),"pass","fail"),"")</f>
        <v/>
      </c>
    </row>
    <row r="914" spans="1:12" x14ac:dyDescent="0.25">
      <c r="A914" s="64"/>
      <c r="B914" s="64"/>
      <c r="C914" s="65"/>
      <c r="D914" s="65"/>
      <c r="E914" s="65"/>
      <c r="F914" s="61"/>
      <c r="G914" s="61"/>
      <c r="H914" s="61"/>
      <c r="I914" s="61"/>
      <c r="J914" s="61"/>
      <c r="K914" s="3" t="str">
        <f t="shared" si="26"/>
        <v>fail</v>
      </c>
      <c r="L914" s="19" t="str">
        <f>IFERROR(IF(AND(MATCH(A914,Projection_classes,0),YEAR(current_date)='Example - Projections'!B914),"pass","fail"),"")</f>
        <v/>
      </c>
    </row>
    <row r="915" spans="1:12" x14ac:dyDescent="0.25">
      <c r="A915" s="64"/>
      <c r="B915" s="64"/>
      <c r="C915" s="65"/>
      <c r="D915" s="65"/>
      <c r="E915" s="65"/>
      <c r="F915" s="61"/>
      <c r="G915" s="61"/>
      <c r="H915" s="61"/>
      <c r="I915" s="61"/>
      <c r="J915" s="61"/>
      <c r="K915" s="3" t="str">
        <f t="shared" si="26"/>
        <v>fail</v>
      </c>
      <c r="L915" s="19" t="str">
        <f>IFERROR(IF(AND(MATCH(A915,Projection_classes,0),YEAR(current_date)='Example - Projections'!B915),"pass","fail"),"")</f>
        <v/>
      </c>
    </row>
    <row r="916" spans="1:12" x14ac:dyDescent="0.25">
      <c r="A916" s="64"/>
      <c r="B916" s="64"/>
      <c r="C916" s="65"/>
      <c r="D916" s="65"/>
      <c r="E916" s="65"/>
      <c r="F916" s="61"/>
      <c r="G916" s="61"/>
      <c r="H916" s="61"/>
      <c r="I916" s="61"/>
      <c r="J916" s="61"/>
      <c r="K916" s="3" t="str">
        <f t="shared" si="26"/>
        <v>fail</v>
      </c>
      <c r="L916" s="19" t="str">
        <f>IFERROR(IF(AND(MATCH(A916,Projection_classes,0),YEAR(current_date)='Example - Projections'!B916),"pass","fail"),"")</f>
        <v/>
      </c>
    </row>
    <row r="917" spans="1:12" x14ac:dyDescent="0.25">
      <c r="A917" s="64"/>
      <c r="B917" s="64"/>
      <c r="C917" s="65"/>
      <c r="D917" s="65"/>
      <c r="E917" s="65"/>
      <c r="F917" s="61"/>
      <c r="G917" s="61"/>
      <c r="H917" s="61"/>
      <c r="I917" s="61"/>
      <c r="J917" s="61"/>
      <c r="K917" s="3" t="str">
        <f t="shared" si="26"/>
        <v>fail</v>
      </c>
      <c r="L917" s="19" t="str">
        <f>IFERROR(IF(AND(MATCH(A917,Projection_classes,0),YEAR(current_date)='Example - Projections'!B917),"pass","fail"),"")</f>
        <v/>
      </c>
    </row>
    <row r="918" spans="1:12" x14ac:dyDescent="0.25">
      <c r="A918" s="64"/>
      <c r="B918" s="64"/>
      <c r="C918" s="65"/>
      <c r="D918" s="65"/>
      <c r="E918" s="65"/>
      <c r="F918" s="61"/>
      <c r="G918" s="61"/>
      <c r="H918" s="61"/>
      <c r="I918" s="61"/>
      <c r="J918" s="61"/>
      <c r="K918" s="3" t="str">
        <f t="shared" si="26"/>
        <v>fail</v>
      </c>
      <c r="L918" s="19" t="str">
        <f>IFERROR(IF(AND(MATCH(A918,Projection_classes,0),YEAR(current_date)='Example - Projections'!B918),"pass","fail"),"")</f>
        <v/>
      </c>
    </row>
    <row r="919" spans="1:12" x14ac:dyDescent="0.25">
      <c r="A919" s="64"/>
      <c r="B919" s="64"/>
      <c r="C919" s="65"/>
      <c r="D919" s="65"/>
      <c r="E919" s="65"/>
      <c r="F919" s="61"/>
      <c r="G919" s="61"/>
      <c r="H919" s="61"/>
      <c r="I919" s="61"/>
      <c r="J919" s="61"/>
      <c r="K919" s="3" t="str">
        <f t="shared" si="26"/>
        <v>fail</v>
      </c>
      <c r="L919" s="19" t="str">
        <f>IFERROR(IF(AND(MATCH(A919,Projection_classes,0),YEAR(current_date)='Example - Projections'!B919),"pass","fail"),"")</f>
        <v/>
      </c>
    </row>
    <row r="920" spans="1:12" x14ac:dyDescent="0.25">
      <c r="A920" s="64"/>
      <c r="B920" s="64"/>
      <c r="C920" s="65"/>
      <c r="D920" s="65"/>
      <c r="E920" s="65"/>
      <c r="F920" s="61"/>
      <c r="G920" s="61"/>
      <c r="H920" s="61"/>
      <c r="I920" s="61"/>
      <c r="J920" s="61"/>
      <c r="K920" s="3" t="str">
        <f t="shared" si="26"/>
        <v>fail</v>
      </c>
      <c r="L920" s="19" t="str">
        <f>IFERROR(IF(AND(MATCH(A920,Projection_classes,0),YEAR(current_date)='Example - Projections'!B920),"pass","fail"),"")</f>
        <v/>
      </c>
    </row>
    <row r="921" spans="1:12" x14ac:dyDescent="0.25">
      <c r="A921" s="64"/>
      <c r="B921" s="64"/>
      <c r="C921" s="65"/>
      <c r="D921" s="65"/>
      <c r="E921" s="65"/>
      <c r="F921" s="61"/>
      <c r="G921" s="61"/>
      <c r="H921" s="61"/>
      <c r="I921" s="61"/>
      <c r="J921" s="61"/>
      <c r="K921" s="3" t="str">
        <f t="shared" si="26"/>
        <v>fail</v>
      </c>
      <c r="L921" s="19" t="str">
        <f>IFERROR(IF(AND(MATCH(A921,Projection_classes,0),YEAR(current_date)='Example - Projections'!B921),"pass","fail"),"")</f>
        <v/>
      </c>
    </row>
    <row r="922" spans="1:12" x14ac:dyDescent="0.25">
      <c r="A922" s="64"/>
      <c r="B922" s="64"/>
      <c r="C922" s="65"/>
      <c r="D922" s="65"/>
      <c r="E922" s="65"/>
      <c r="F922" s="61"/>
      <c r="G922" s="61"/>
      <c r="H922" s="61"/>
      <c r="I922" s="61"/>
      <c r="J922" s="61"/>
      <c r="K922" s="3" t="str">
        <f t="shared" si="26"/>
        <v>fail</v>
      </c>
      <c r="L922" s="19" t="str">
        <f>IFERROR(IF(AND(MATCH(A922,Projection_classes,0),YEAR(current_date)='Example - Projections'!B922),"pass","fail"),"")</f>
        <v/>
      </c>
    </row>
    <row r="923" spans="1:12" x14ac:dyDescent="0.25">
      <c r="A923" s="64"/>
      <c r="B923" s="64"/>
      <c r="C923" s="65"/>
      <c r="D923" s="65"/>
      <c r="E923" s="65"/>
      <c r="F923" s="61"/>
      <c r="G923" s="61"/>
      <c r="H923" s="61"/>
      <c r="I923" s="61"/>
      <c r="J923" s="61"/>
      <c r="K923" s="3" t="str">
        <f t="shared" si="26"/>
        <v>fail</v>
      </c>
      <c r="L923" s="19" t="str">
        <f>IFERROR(IF(AND(MATCH(A923,Projection_classes,0),YEAR(current_date)='Example - Projections'!B923),"pass","fail"),"")</f>
        <v/>
      </c>
    </row>
    <row r="924" spans="1:12" x14ac:dyDescent="0.25">
      <c r="A924" s="64"/>
      <c r="B924" s="64"/>
      <c r="C924" s="65"/>
      <c r="D924" s="65"/>
      <c r="E924" s="65"/>
      <c r="F924" s="61"/>
      <c r="G924" s="61"/>
      <c r="H924" s="61"/>
      <c r="I924" s="61"/>
      <c r="J924" s="61"/>
      <c r="K924" s="3" t="str">
        <f t="shared" si="26"/>
        <v>fail</v>
      </c>
      <c r="L924" s="19" t="str">
        <f>IFERROR(IF(AND(MATCH(A924,Projection_classes,0),YEAR(current_date)='Example - Projections'!B924),"pass","fail"),"")</f>
        <v/>
      </c>
    </row>
    <row r="925" spans="1:12" x14ac:dyDescent="0.25">
      <c r="A925" s="64"/>
      <c r="B925" s="64"/>
      <c r="C925" s="65"/>
      <c r="D925" s="65"/>
      <c r="E925" s="65"/>
      <c r="F925" s="61"/>
      <c r="G925" s="61"/>
      <c r="H925" s="61"/>
      <c r="I925" s="61"/>
      <c r="J925" s="61"/>
      <c r="K925" s="3" t="str">
        <f t="shared" si="26"/>
        <v>fail</v>
      </c>
      <c r="L925" s="19" t="str">
        <f>IFERROR(IF(AND(MATCH(A925,Projection_classes,0),YEAR(current_date)='Example - Projections'!B925),"pass","fail"),"")</f>
        <v/>
      </c>
    </row>
    <row r="926" spans="1:12" x14ac:dyDescent="0.25">
      <c r="A926" s="64"/>
      <c r="B926" s="64"/>
      <c r="C926" s="65"/>
      <c r="D926" s="65"/>
      <c r="E926" s="65"/>
      <c r="F926" s="61"/>
      <c r="G926" s="61"/>
      <c r="H926" s="61"/>
      <c r="I926" s="61"/>
      <c r="J926" s="61"/>
      <c r="K926" s="3" t="str">
        <f t="shared" si="26"/>
        <v>fail</v>
      </c>
      <c r="L926" s="19" t="str">
        <f>IFERROR(IF(AND(MATCH(A926,Projection_classes,0),YEAR(current_date)='Example - Projections'!B926),"pass","fail"),"")</f>
        <v/>
      </c>
    </row>
    <row r="927" spans="1:12" x14ac:dyDescent="0.25">
      <c r="A927" s="64"/>
      <c r="B927" s="64"/>
      <c r="C927" s="65"/>
      <c r="D927" s="65"/>
      <c r="E927" s="65"/>
      <c r="F927" s="61"/>
      <c r="G927" s="61"/>
      <c r="H927" s="61"/>
      <c r="I927" s="61"/>
      <c r="J927" s="61"/>
      <c r="K927" s="3" t="str">
        <f t="shared" si="26"/>
        <v>fail</v>
      </c>
      <c r="L927" s="19" t="str">
        <f>IFERROR(IF(AND(MATCH(A927,Projection_classes,0),YEAR(current_date)='Example - Projections'!B927),"pass","fail"),"")</f>
        <v/>
      </c>
    </row>
    <row r="928" spans="1:12" x14ac:dyDescent="0.25">
      <c r="A928" s="64"/>
      <c r="B928" s="64"/>
      <c r="C928" s="65"/>
      <c r="D928" s="65"/>
      <c r="E928" s="65"/>
      <c r="F928" s="61"/>
      <c r="G928" s="61"/>
      <c r="H928" s="61"/>
      <c r="I928" s="61"/>
      <c r="J928" s="61"/>
      <c r="K928" s="3" t="str">
        <f t="shared" si="26"/>
        <v>fail</v>
      </c>
      <c r="L928" s="19" t="str">
        <f>IFERROR(IF(AND(MATCH(A928,Projection_classes,0),YEAR(current_date)='Example - Projections'!B928),"pass","fail"),"")</f>
        <v/>
      </c>
    </row>
    <row r="929" spans="1:12" x14ac:dyDescent="0.25">
      <c r="A929" s="64"/>
      <c r="B929" s="64"/>
      <c r="C929" s="65"/>
      <c r="D929" s="65"/>
      <c r="E929" s="65"/>
      <c r="F929" s="61"/>
      <c r="G929" s="61"/>
      <c r="H929" s="61"/>
      <c r="I929" s="61"/>
      <c r="J929" s="61"/>
      <c r="K929" s="3" t="str">
        <f t="shared" si="26"/>
        <v>fail</v>
      </c>
      <c r="L929" s="19" t="str">
        <f>IFERROR(IF(AND(MATCH(A929,Projection_classes,0),YEAR(current_date)='Example - Projections'!B929),"pass","fail"),"")</f>
        <v/>
      </c>
    </row>
    <row r="930" spans="1:12" x14ac:dyDescent="0.25">
      <c r="A930" s="64"/>
      <c r="B930" s="64"/>
      <c r="C930" s="65"/>
      <c r="D930" s="65"/>
      <c r="E930" s="65"/>
      <c r="F930" s="61"/>
      <c r="G930" s="61"/>
      <c r="H930" s="61"/>
      <c r="I930" s="61"/>
      <c r="J930" s="61"/>
      <c r="K930" s="3" t="str">
        <f t="shared" si="26"/>
        <v>fail</v>
      </c>
      <c r="L930" s="19" t="str">
        <f>IFERROR(IF(AND(MATCH(A930,Projection_classes,0),YEAR(current_date)='Example - Projections'!B930),"pass","fail"),"")</f>
        <v/>
      </c>
    </row>
    <row r="931" spans="1:12" x14ac:dyDescent="0.25">
      <c r="A931" s="64"/>
      <c r="B931" s="64"/>
      <c r="C931" s="65"/>
      <c r="D931" s="65"/>
      <c r="E931" s="65"/>
      <c r="F931" s="61"/>
      <c r="G931" s="61"/>
      <c r="H931" s="61"/>
      <c r="I931" s="61"/>
      <c r="J931" s="61"/>
      <c r="K931" s="3" t="str">
        <f t="shared" si="26"/>
        <v>fail</v>
      </c>
      <c r="L931" s="19" t="str">
        <f>IFERROR(IF(AND(MATCH(A931,Projection_classes,0),YEAR(current_date)='Example - Projections'!B931),"pass","fail"),"")</f>
        <v/>
      </c>
    </row>
    <row r="932" spans="1:12" x14ac:dyDescent="0.25">
      <c r="A932" s="64"/>
      <c r="B932" s="64"/>
      <c r="C932" s="65"/>
      <c r="D932" s="65"/>
      <c r="E932" s="65"/>
      <c r="F932" s="61"/>
      <c r="G932" s="61"/>
      <c r="H932" s="61"/>
      <c r="I932" s="61"/>
      <c r="J932" s="61"/>
      <c r="K932" s="3" t="str">
        <f t="shared" si="26"/>
        <v>fail</v>
      </c>
      <c r="L932" s="19" t="str">
        <f>IFERROR(IF(AND(MATCH(A932,Projection_classes,0),YEAR(current_date)='Example - Projections'!B932),"pass","fail"),"")</f>
        <v/>
      </c>
    </row>
    <row r="933" spans="1:12" x14ac:dyDescent="0.25">
      <c r="A933" s="64"/>
      <c r="B933" s="64"/>
      <c r="C933" s="65"/>
      <c r="D933" s="65"/>
      <c r="E933" s="65"/>
      <c r="F933" s="61"/>
      <c r="G933" s="61"/>
      <c r="H933" s="61"/>
      <c r="I933" s="61"/>
      <c r="J933" s="61"/>
      <c r="K933" s="3" t="str">
        <f t="shared" si="26"/>
        <v>fail</v>
      </c>
      <c r="L933" s="19" t="str">
        <f>IFERROR(IF(AND(MATCH(A933,Projection_classes,0),YEAR(current_date)='Example - Projections'!B933),"pass","fail"),"")</f>
        <v/>
      </c>
    </row>
    <row r="934" spans="1:12" x14ac:dyDescent="0.25">
      <c r="A934" s="64"/>
      <c r="B934" s="64"/>
      <c r="C934" s="65"/>
      <c r="D934" s="65"/>
      <c r="E934" s="65"/>
      <c r="F934" s="61"/>
      <c r="G934" s="61"/>
      <c r="H934" s="61"/>
      <c r="I934" s="61"/>
      <c r="J934" s="61"/>
      <c r="K934" s="3" t="str">
        <f t="shared" si="26"/>
        <v>fail</v>
      </c>
      <c r="L934" s="19" t="str">
        <f>IFERROR(IF(AND(MATCH(A934,Projection_classes,0),YEAR(current_date)='Example - Projections'!B934),"pass","fail"),"")</f>
        <v/>
      </c>
    </row>
    <row r="935" spans="1:12" x14ac:dyDescent="0.25">
      <c r="A935" s="64"/>
      <c r="B935" s="64"/>
      <c r="C935" s="65"/>
      <c r="D935" s="65"/>
      <c r="E935" s="65"/>
      <c r="F935" s="61"/>
      <c r="G935" s="61"/>
      <c r="H935" s="61"/>
      <c r="I935" s="61"/>
      <c r="J935" s="61"/>
      <c r="K935" s="3" t="str">
        <f t="shared" si="26"/>
        <v>fail</v>
      </c>
      <c r="L935" s="19" t="str">
        <f>IFERROR(IF(AND(MATCH(A935,Projection_classes,0),YEAR(current_date)='Example - Projections'!B935),"pass","fail"),"")</f>
        <v/>
      </c>
    </row>
    <row r="936" spans="1:12" x14ac:dyDescent="0.25">
      <c r="A936" s="64"/>
      <c r="B936" s="64"/>
      <c r="C936" s="65"/>
      <c r="D936" s="65"/>
      <c r="E936" s="65"/>
      <c r="F936" s="61"/>
      <c r="G936" s="61"/>
      <c r="H936" s="61"/>
      <c r="I936" s="61"/>
      <c r="J936" s="61"/>
      <c r="K936" s="3" t="str">
        <f t="shared" si="26"/>
        <v>fail</v>
      </c>
      <c r="L936" s="19" t="str">
        <f>IFERROR(IF(AND(MATCH(A936,Projection_classes,0),YEAR(current_date)='Example - Projections'!B936),"pass","fail"),"")</f>
        <v/>
      </c>
    </row>
    <row r="937" spans="1:12" x14ac:dyDescent="0.25">
      <c r="A937" s="64"/>
      <c r="B937" s="64"/>
      <c r="C937" s="65"/>
      <c r="D937" s="65"/>
      <c r="E937" s="65"/>
      <c r="F937" s="61"/>
      <c r="G937" s="61"/>
      <c r="H937" s="61"/>
      <c r="I937" s="61"/>
      <c r="J937" s="61"/>
      <c r="K937" s="3" t="str">
        <f t="shared" si="26"/>
        <v>fail</v>
      </c>
      <c r="L937" s="19" t="str">
        <f>IFERROR(IF(AND(MATCH(A937,Projection_classes,0),YEAR(current_date)='Example - Projections'!B937),"pass","fail"),"")</f>
        <v/>
      </c>
    </row>
    <row r="938" spans="1:12" x14ac:dyDescent="0.25">
      <c r="A938" s="64"/>
      <c r="B938" s="64"/>
      <c r="C938" s="65"/>
      <c r="D938" s="65"/>
      <c r="E938" s="65"/>
      <c r="F938" s="61"/>
      <c r="G938" s="61"/>
      <c r="H938" s="61"/>
      <c r="I938" s="61"/>
      <c r="J938" s="61"/>
      <c r="K938" s="3" t="str">
        <f t="shared" si="26"/>
        <v>fail</v>
      </c>
      <c r="L938" s="19" t="str">
        <f>IFERROR(IF(AND(MATCH(A938,Projection_classes,0),YEAR(current_date)='Example - Projections'!B938),"pass","fail"),"")</f>
        <v/>
      </c>
    </row>
    <row r="939" spans="1:12" x14ac:dyDescent="0.25">
      <c r="A939" s="64"/>
      <c r="B939" s="64"/>
      <c r="C939" s="65"/>
      <c r="D939" s="65"/>
      <c r="E939" s="65"/>
      <c r="F939" s="61"/>
      <c r="G939" s="61"/>
      <c r="H939" s="61"/>
      <c r="I939" s="61"/>
      <c r="J939" s="61"/>
      <c r="K939" s="3" t="str">
        <f t="shared" si="26"/>
        <v>fail</v>
      </c>
      <c r="L939" s="19" t="str">
        <f>IFERROR(IF(AND(MATCH(A939,Projection_classes,0),YEAR(current_date)='Example - Projections'!B939),"pass","fail"),"")</f>
        <v/>
      </c>
    </row>
    <row r="940" spans="1:12" x14ac:dyDescent="0.25">
      <c r="A940" s="64"/>
      <c r="B940" s="64"/>
      <c r="C940" s="65"/>
      <c r="D940" s="65"/>
      <c r="E940" s="65"/>
      <c r="F940" s="61"/>
      <c r="G940" s="61"/>
      <c r="H940" s="61"/>
      <c r="I940" s="61"/>
      <c r="J940" s="61"/>
      <c r="K940" s="3" t="str">
        <f t="shared" si="26"/>
        <v>fail</v>
      </c>
      <c r="L940" s="19" t="str">
        <f>IFERROR(IF(AND(MATCH(A940,Projection_classes,0),YEAR(current_date)='Example - Projections'!B940),"pass","fail"),"")</f>
        <v/>
      </c>
    </row>
    <row r="941" spans="1:12" x14ac:dyDescent="0.25">
      <c r="A941" s="64"/>
      <c r="B941" s="64"/>
      <c r="C941" s="65"/>
      <c r="D941" s="65"/>
      <c r="E941" s="65"/>
      <c r="F941" s="61"/>
      <c r="G941" s="61"/>
      <c r="H941" s="61"/>
      <c r="I941" s="61"/>
      <c r="J941" s="61"/>
      <c r="K941" s="3" t="str">
        <f t="shared" si="26"/>
        <v>fail</v>
      </c>
      <c r="L941" s="19" t="str">
        <f>IFERROR(IF(AND(MATCH(A941,Projection_classes,0),YEAR(current_date)='Example - Projections'!B941),"pass","fail"),"")</f>
        <v/>
      </c>
    </row>
    <row r="942" spans="1:12" x14ac:dyDescent="0.25">
      <c r="A942" s="64"/>
      <c r="B942" s="64"/>
      <c r="C942" s="65"/>
      <c r="D942" s="65"/>
      <c r="E942" s="65"/>
      <c r="F942" s="61"/>
      <c r="G942" s="61"/>
      <c r="H942" s="61"/>
      <c r="I942" s="61"/>
      <c r="J942" s="61"/>
      <c r="K942" s="3" t="str">
        <f t="shared" si="26"/>
        <v>fail</v>
      </c>
      <c r="L942" s="19" t="str">
        <f>IFERROR(IF(AND(MATCH(A942,Projection_classes,0),YEAR(current_date)='Example - Projections'!B942),"pass","fail"),"")</f>
        <v/>
      </c>
    </row>
    <row r="943" spans="1:12" x14ac:dyDescent="0.25">
      <c r="A943" s="64"/>
      <c r="B943" s="64"/>
      <c r="C943" s="65"/>
      <c r="D943" s="65"/>
      <c r="E943" s="65"/>
      <c r="F943" s="61"/>
      <c r="G943" s="61"/>
      <c r="H943" s="61"/>
      <c r="I943" s="61"/>
      <c r="J943" s="61"/>
      <c r="K943" s="3" t="str">
        <f t="shared" si="26"/>
        <v>fail</v>
      </c>
      <c r="L943" s="19" t="str">
        <f>IFERROR(IF(AND(MATCH(A943,Projection_classes,0),YEAR(current_date)='Example - Projections'!B943),"pass","fail"),"")</f>
        <v/>
      </c>
    </row>
    <row r="944" spans="1:12" x14ac:dyDescent="0.25">
      <c r="A944" s="64"/>
      <c r="B944" s="64"/>
      <c r="C944" s="65"/>
      <c r="D944" s="65"/>
      <c r="E944" s="65"/>
      <c r="F944" s="61"/>
      <c r="G944" s="61"/>
      <c r="H944" s="61"/>
      <c r="I944" s="61"/>
      <c r="J944" s="61"/>
      <c r="K944" s="3" t="str">
        <f t="shared" si="26"/>
        <v>fail</v>
      </c>
      <c r="L944" s="19" t="str">
        <f>IFERROR(IF(AND(MATCH(A944,Projection_classes,0),YEAR(current_date)='Example - Projections'!B944),"pass","fail"),"")</f>
        <v/>
      </c>
    </row>
    <row r="945" spans="1:12" x14ac:dyDescent="0.25">
      <c r="A945" s="64"/>
      <c r="B945" s="64"/>
      <c r="C945" s="65"/>
      <c r="D945" s="65"/>
      <c r="E945" s="65"/>
      <c r="F945" s="61"/>
      <c r="G945" s="61"/>
      <c r="H945" s="61"/>
      <c r="I945" s="61"/>
      <c r="J945" s="61"/>
      <c r="K945" s="3" t="str">
        <f t="shared" si="26"/>
        <v>fail</v>
      </c>
      <c r="L945" s="19" t="str">
        <f>IFERROR(IF(AND(MATCH(A945,Projection_classes,0),YEAR(current_date)='Example - Projections'!B945),"pass","fail"),"")</f>
        <v/>
      </c>
    </row>
    <row r="946" spans="1:12" x14ac:dyDescent="0.25">
      <c r="A946" s="64"/>
      <c r="B946" s="64"/>
      <c r="C946" s="65"/>
      <c r="D946" s="65"/>
      <c r="E946" s="65"/>
      <c r="F946" s="61"/>
      <c r="G946" s="61"/>
      <c r="H946" s="61"/>
      <c r="I946" s="61"/>
      <c r="J946" s="61"/>
      <c r="K946" s="3" t="str">
        <f t="shared" si="26"/>
        <v>fail</v>
      </c>
      <c r="L946" s="19" t="str">
        <f>IFERROR(IF(AND(MATCH(A946,Projection_classes,0),YEAR(current_date)='Example - Projections'!B946),"pass","fail"),"")</f>
        <v/>
      </c>
    </row>
    <row r="947" spans="1:12" x14ac:dyDescent="0.25">
      <c r="A947" s="64"/>
      <c r="B947" s="64"/>
      <c r="C947" s="65"/>
      <c r="D947" s="65"/>
      <c r="E947" s="65"/>
      <c r="F947" s="61"/>
      <c r="G947" s="61"/>
      <c r="H947" s="61"/>
      <c r="I947" s="61"/>
      <c r="J947" s="61"/>
      <c r="K947" s="3" t="str">
        <f t="shared" si="26"/>
        <v>fail</v>
      </c>
      <c r="L947" s="19" t="str">
        <f>IFERROR(IF(AND(MATCH(A947,Projection_classes,0),YEAR(current_date)='Example - Projections'!B947),"pass","fail"),"")</f>
        <v/>
      </c>
    </row>
    <row r="948" spans="1:12" x14ac:dyDescent="0.25">
      <c r="A948" s="64"/>
      <c r="B948" s="64"/>
      <c r="C948" s="65"/>
      <c r="D948" s="65"/>
      <c r="E948" s="65"/>
      <c r="F948" s="61"/>
      <c r="G948" s="61"/>
      <c r="H948" s="61"/>
      <c r="I948" s="61"/>
      <c r="J948" s="61"/>
      <c r="K948" s="3" t="str">
        <f t="shared" si="26"/>
        <v>fail</v>
      </c>
      <c r="L948" s="19" t="str">
        <f>IFERROR(IF(AND(MATCH(A948,Projection_classes,0),YEAR(current_date)='Example - Projections'!B948),"pass","fail"),"")</f>
        <v/>
      </c>
    </row>
    <row r="949" spans="1:12" x14ac:dyDescent="0.25">
      <c r="A949" s="64"/>
      <c r="B949" s="64"/>
      <c r="C949" s="65"/>
      <c r="D949" s="65"/>
      <c r="E949" s="65"/>
      <c r="F949" s="61"/>
      <c r="G949" s="61"/>
      <c r="H949" s="61"/>
      <c r="I949" s="61"/>
      <c r="J949" s="61"/>
      <c r="K949" s="3" t="str">
        <f t="shared" si="26"/>
        <v>fail</v>
      </c>
      <c r="L949" s="19" t="str">
        <f>IFERROR(IF(AND(MATCH(A949,Projection_classes,0),YEAR(current_date)='Example - Projections'!B949),"pass","fail"),"")</f>
        <v/>
      </c>
    </row>
    <row r="950" spans="1:12" x14ac:dyDescent="0.25">
      <c r="A950" s="64"/>
      <c r="B950" s="64"/>
      <c r="C950" s="65"/>
      <c r="D950" s="65"/>
      <c r="E950" s="65"/>
      <c r="F950" s="61"/>
      <c r="G950" s="61"/>
      <c r="H950" s="61"/>
      <c r="I950" s="61"/>
      <c r="J950" s="61"/>
      <c r="K950" s="3" t="str">
        <f t="shared" si="26"/>
        <v>fail</v>
      </c>
      <c r="L950" s="19" t="str">
        <f>IFERROR(IF(AND(MATCH(A950,Projection_classes,0),YEAR(current_date)='Example - Projections'!B950),"pass","fail"),"")</f>
        <v/>
      </c>
    </row>
    <row r="951" spans="1:12" x14ac:dyDescent="0.25">
      <c r="A951" s="64"/>
      <c r="B951" s="64"/>
      <c r="C951" s="65"/>
      <c r="D951" s="65"/>
      <c r="E951" s="65"/>
      <c r="F951" s="61"/>
      <c r="G951" s="61"/>
      <c r="H951" s="61"/>
      <c r="I951" s="61"/>
      <c r="J951" s="61"/>
      <c r="K951" s="3" t="str">
        <f t="shared" si="26"/>
        <v>fail</v>
      </c>
      <c r="L951" s="19" t="str">
        <f>IFERROR(IF(AND(MATCH(A951,Projection_classes,0),YEAR(current_date)='Example - Projections'!B951),"pass","fail"),"")</f>
        <v/>
      </c>
    </row>
    <row r="952" spans="1:12" x14ac:dyDescent="0.25">
      <c r="A952" s="64"/>
      <c r="B952" s="64"/>
      <c r="C952" s="65"/>
      <c r="D952" s="65"/>
      <c r="E952" s="65"/>
      <c r="F952" s="61"/>
      <c r="G952" s="61"/>
      <c r="H952" s="61"/>
      <c r="I952" s="61"/>
      <c r="J952" s="61"/>
      <c r="K952" s="3" t="str">
        <f t="shared" si="26"/>
        <v>fail</v>
      </c>
      <c r="L952" s="19" t="str">
        <f>IFERROR(IF(AND(MATCH(A952,Projection_classes,0),YEAR(current_date)='Example - Projections'!B952),"pass","fail"),"")</f>
        <v/>
      </c>
    </row>
    <row r="953" spans="1:12" x14ac:dyDescent="0.25">
      <c r="A953" s="64"/>
      <c r="B953" s="64"/>
      <c r="C953" s="65"/>
      <c r="D953" s="65"/>
      <c r="E953" s="65"/>
      <c r="F953" s="61"/>
      <c r="G953" s="61"/>
      <c r="H953" s="61"/>
      <c r="I953" s="61"/>
      <c r="J953" s="61"/>
      <c r="K953" s="3" t="str">
        <f t="shared" si="26"/>
        <v>fail</v>
      </c>
      <c r="L953" s="19" t="str">
        <f>IFERROR(IF(AND(MATCH(A953,Projection_classes,0),YEAR(current_date)='Example - Projections'!B953),"pass","fail"),"")</f>
        <v/>
      </c>
    </row>
    <row r="954" spans="1:12" x14ac:dyDescent="0.25">
      <c r="A954" s="64"/>
      <c r="B954" s="64"/>
      <c r="C954" s="65"/>
      <c r="D954" s="65"/>
      <c r="E954" s="65"/>
      <c r="F954" s="61"/>
      <c r="G954" s="61"/>
      <c r="H954" s="61"/>
      <c r="I954" s="61"/>
      <c r="J954" s="61"/>
      <c r="K954" s="3" t="str">
        <f t="shared" si="26"/>
        <v>fail</v>
      </c>
      <c r="L954" s="19" t="str">
        <f>IFERROR(IF(AND(MATCH(A954,Projection_classes,0),YEAR(current_date)='Example - Projections'!B954),"pass","fail"),"")</f>
        <v/>
      </c>
    </row>
    <row r="955" spans="1:12" x14ac:dyDescent="0.25">
      <c r="A955" s="64"/>
      <c r="B955" s="64"/>
      <c r="C955" s="65"/>
      <c r="D955" s="65"/>
      <c r="E955" s="65"/>
      <c r="F955" s="61"/>
      <c r="G955" s="61"/>
      <c r="H955" s="61"/>
      <c r="I955" s="61"/>
      <c r="J955" s="61"/>
      <c r="K955" s="3" t="str">
        <f t="shared" si="26"/>
        <v>fail</v>
      </c>
      <c r="L955" s="19" t="str">
        <f>IFERROR(IF(AND(MATCH(A955,Projection_classes,0),YEAR(current_date)='Example - Projections'!B955),"pass","fail"),"")</f>
        <v/>
      </c>
    </row>
    <row r="956" spans="1:12" x14ac:dyDescent="0.25">
      <c r="A956" s="64"/>
      <c r="B956" s="64"/>
      <c r="C956" s="65"/>
      <c r="D956" s="65"/>
      <c r="E956" s="65"/>
      <c r="F956" s="61"/>
      <c r="G956" s="61"/>
      <c r="H956" s="61"/>
      <c r="I956" s="61"/>
      <c r="J956" s="61"/>
      <c r="K956" s="3" t="str">
        <f t="shared" si="26"/>
        <v>fail</v>
      </c>
      <c r="L956" s="19" t="str">
        <f>IFERROR(IF(AND(MATCH(A956,Projection_classes,0),YEAR(current_date)='Example - Projections'!B956),"pass","fail"),"")</f>
        <v/>
      </c>
    </row>
    <row r="957" spans="1:12" x14ac:dyDescent="0.25">
      <c r="A957" s="64"/>
      <c r="B957" s="64"/>
      <c r="C957" s="65"/>
      <c r="D957" s="65"/>
      <c r="E957" s="65"/>
      <c r="F957" s="61"/>
      <c r="G957" s="61"/>
      <c r="H957" s="61"/>
      <c r="I957" s="61"/>
      <c r="J957" s="61"/>
      <c r="K957" s="3" t="str">
        <f t="shared" si="26"/>
        <v>fail</v>
      </c>
      <c r="L957" s="19" t="str">
        <f>IFERROR(IF(AND(MATCH(A957,Projection_classes,0),YEAR(current_date)='Example - Projections'!B957),"pass","fail"),"")</f>
        <v/>
      </c>
    </row>
    <row r="958" spans="1:12" x14ac:dyDescent="0.25">
      <c r="A958" s="64"/>
      <c r="B958" s="64"/>
      <c r="C958" s="65"/>
      <c r="D958" s="65"/>
      <c r="E958" s="65"/>
      <c r="F958" s="61"/>
      <c r="G958" s="61"/>
      <c r="H958" s="61"/>
      <c r="I958" s="61"/>
      <c r="J958" s="61"/>
      <c r="K958" s="3" t="str">
        <f t="shared" si="26"/>
        <v>fail</v>
      </c>
      <c r="L958" s="19" t="str">
        <f>IFERROR(IF(AND(MATCH(A958,Projection_classes,0),YEAR(current_date)='Example - Projections'!B958),"pass","fail"),"")</f>
        <v/>
      </c>
    </row>
    <row r="959" spans="1:12" x14ac:dyDescent="0.25">
      <c r="A959" s="64"/>
      <c r="B959" s="64"/>
      <c r="C959" s="65"/>
      <c r="D959" s="65"/>
      <c r="E959" s="65"/>
      <c r="F959" s="61"/>
      <c r="G959" s="61"/>
      <c r="H959" s="61"/>
      <c r="I959" s="61"/>
      <c r="J959" s="61"/>
      <c r="K959" s="3" t="str">
        <f t="shared" si="26"/>
        <v>fail</v>
      </c>
      <c r="L959" s="19" t="str">
        <f>IFERROR(IF(AND(MATCH(A959,Projection_classes,0),YEAR(current_date)='Example - Projections'!B959),"pass","fail"),"")</f>
        <v/>
      </c>
    </row>
    <row r="960" spans="1:12" x14ac:dyDescent="0.25">
      <c r="A960" s="64"/>
      <c r="B960" s="64"/>
      <c r="C960" s="65"/>
      <c r="D960" s="65"/>
      <c r="E960" s="65"/>
      <c r="F960" s="61"/>
      <c r="G960" s="61"/>
      <c r="H960" s="61"/>
      <c r="I960" s="61"/>
      <c r="J960" s="61"/>
      <c r="K960" s="3" t="str">
        <f t="shared" si="26"/>
        <v>fail</v>
      </c>
      <c r="L960" s="19" t="str">
        <f>IFERROR(IF(AND(MATCH(A960,Projection_classes,0),YEAR(current_date)='Example - Projections'!B960),"pass","fail"),"")</f>
        <v/>
      </c>
    </row>
    <row r="961" spans="1:12" x14ac:dyDescent="0.25">
      <c r="A961" s="64"/>
      <c r="B961" s="64"/>
      <c r="C961" s="65"/>
      <c r="D961" s="65"/>
      <c r="E961" s="65"/>
      <c r="F961" s="61"/>
      <c r="G961" s="61"/>
      <c r="H961" s="61"/>
      <c r="I961" s="61"/>
      <c r="J961" s="61"/>
      <c r="K961" s="3" t="str">
        <f t="shared" si="26"/>
        <v>fail</v>
      </c>
      <c r="L961" s="19" t="str">
        <f>IFERROR(IF(AND(MATCH(A961,Projection_classes,0),YEAR(current_date)='Example - Projections'!B961),"pass","fail"),"")</f>
        <v/>
      </c>
    </row>
    <row r="962" spans="1:12" x14ac:dyDescent="0.25">
      <c r="A962" s="64"/>
      <c r="B962" s="64"/>
      <c r="C962" s="65"/>
      <c r="D962" s="65"/>
      <c r="E962" s="65"/>
      <c r="F962" s="61"/>
      <c r="G962" s="61"/>
      <c r="H962" s="61"/>
      <c r="I962" s="61"/>
      <c r="J962" s="61"/>
      <c r="K962" s="3" t="str">
        <f t="shared" ref="K962:K1000" si="27">IF(OR(B962&lt;$N$1,B962&gt;$P$1),"fail","pass")</f>
        <v>fail</v>
      </c>
      <c r="L962" s="19" t="str">
        <f>IFERROR(IF(AND(MATCH(A962,Projection_classes,0),YEAR(current_date)='Example - Projections'!B962),"pass","fail"),"")</f>
        <v/>
      </c>
    </row>
    <row r="963" spans="1:12" x14ac:dyDescent="0.25">
      <c r="A963" s="64"/>
      <c r="B963" s="64"/>
      <c r="C963" s="65"/>
      <c r="D963" s="65"/>
      <c r="E963" s="65"/>
      <c r="F963" s="61"/>
      <c r="G963" s="61"/>
      <c r="H963" s="61"/>
      <c r="I963" s="61"/>
      <c r="J963" s="61"/>
      <c r="K963" s="3" t="str">
        <f t="shared" si="27"/>
        <v>fail</v>
      </c>
      <c r="L963" s="19" t="str">
        <f>IFERROR(IF(AND(MATCH(A963,Projection_classes,0),YEAR(current_date)='Example - Projections'!B963),"pass","fail"),"")</f>
        <v/>
      </c>
    </row>
    <row r="964" spans="1:12" x14ac:dyDescent="0.25">
      <c r="A964" s="64"/>
      <c r="B964" s="64"/>
      <c r="C964" s="65"/>
      <c r="D964" s="65"/>
      <c r="E964" s="65"/>
      <c r="F964" s="61"/>
      <c r="G964" s="61"/>
      <c r="H964" s="61"/>
      <c r="I964" s="61"/>
      <c r="J964" s="61"/>
      <c r="K964" s="3" t="str">
        <f t="shared" si="27"/>
        <v>fail</v>
      </c>
      <c r="L964" s="19" t="str">
        <f>IFERROR(IF(AND(MATCH(A964,Projection_classes,0),YEAR(current_date)='Example - Projections'!B964),"pass","fail"),"")</f>
        <v/>
      </c>
    </row>
    <row r="965" spans="1:12" x14ac:dyDescent="0.25">
      <c r="A965" s="64"/>
      <c r="B965" s="64"/>
      <c r="C965" s="65"/>
      <c r="D965" s="65"/>
      <c r="E965" s="65"/>
      <c r="F965" s="61"/>
      <c r="G965" s="61"/>
      <c r="H965" s="61"/>
      <c r="I965" s="61"/>
      <c r="J965" s="61"/>
      <c r="K965" s="3" t="str">
        <f t="shared" si="27"/>
        <v>fail</v>
      </c>
      <c r="L965" s="19" t="str">
        <f>IFERROR(IF(AND(MATCH(A965,Projection_classes,0),YEAR(current_date)='Example - Projections'!B965),"pass","fail"),"")</f>
        <v/>
      </c>
    </row>
    <row r="966" spans="1:12" x14ac:dyDescent="0.25">
      <c r="A966" s="64"/>
      <c r="B966" s="64"/>
      <c r="C966" s="65"/>
      <c r="D966" s="65"/>
      <c r="E966" s="65"/>
      <c r="F966" s="61"/>
      <c r="G966" s="61"/>
      <c r="H966" s="61"/>
      <c r="I966" s="61"/>
      <c r="J966" s="61"/>
      <c r="K966" s="3" t="str">
        <f t="shared" si="27"/>
        <v>fail</v>
      </c>
      <c r="L966" s="19" t="str">
        <f>IFERROR(IF(AND(MATCH(A966,Projection_classes,0),YEAR(current_date)='Example - Projections'!B966),"pass","fail"),"")</f>
        <v/>
      </c>
    </row>
    <row r="967" spans="1:12" x14ac:dyDescent="0.25">
      <c r="A967" s="64"/>
      <c r="B967" s="64"/>
      <c r="C967" s="65"/>
      <c r="D967" s="65"/>
      <c r="E967" s="65"/>
      <c r="F967" s="61"/>
      <c r="G967" s="61"/>
      <c r="H967" s="61"/>
      <c r="I967" s="61"/>
      <c r="J967" s="61"/>
      <c r="K967" s="3" t="str">
        <f t="shared" si="27"/>
        <v>fail</v>
      </c>
      <c r="L967" s="19" t="str">
        <f>IFERROR(IF(AND(MATCH(A967,Projection_classes,0),YEAR(current_date)='Example - Projections'!B967),"pass","fail"),"")</f>
        <v/>
      </c>
    </row>
    <row r="968" spans="1:12" x14ac:dyDescent="0.25">
      <c r="A968" s="64"/>
      <c r="B968" s="64"/>
      <c r="C968" s="65"/>
      <c r="D968" s="65"/>
      <c r="E968" s="65"/>
      <c r="F968" s="61"/>
      <c r="G968" s="61"/>
      <c r="H968" s="61"/>
      <c r="I968" s="61"/>
      <c r="J968" s="61"/>
      <c r="K968" s="3" t="str">
        <f t="shared" si="27"/>
        <v>fail</v>
      </c>
      <c r="L968" s="19" t="str">
        <f>IFERROR(IF(AND(MATCH(A968,Projection_classes,0),YEAR(current_date)='Example - Projections'!B968),"pass","fail"),"")</f>
        <v/>
      </c>
    </row>
    <row r="969" spans="1:12" x14ac:dyDescent="0.25">
      <c r="A969" s="64"/>
      <c r="B969" s="64"/>
      <c r="C969" s="65"/>
      <c r="D969" s="65"/>
      <c r="E969" s="65"/>
      <c r="F969" s="61"/>
      <c r="G969" s="61"/>
      <c r="H969" s="61"/>
      <c r="I969" s="61"/>
      <c r="J969" s="61"/>
      <c r="K969" s="3" t="str">
        <f t="shared" si="27"/>
        <v>fail</v>
      </c>
      <c r="L969" s="19" t="str">
        <f>IFERROR(IF(AND(MATCH(A969,Projection_classes,0),YEAR(current_date)='Example - Projections'!B969),"pass","fail"),"")</f>
        <v/>
      </c>
    </row>
    <row r="970" spans="1:12" x14ac:dyDescent="0.25">
      <c r="A970" s="64"/>
      <c r="B970" s="64"/>
      <c r="C970" s="65"/>
      <c r="D970" s="65"/>
      <c r="E970" s="65"/>
      <c r="F970" s="61"/>
      <c r="G970" s="61"/>
      <c r="H970" s="61"/>
      <c r="I970" s="61"/>
      <c r="J970" s="61"/>
      <c r="K970" s="3" t="str">
        <f t="shared" si="27"/>
        <v>fail</v>
      </c>
      <c r="L970" s="19" t="str">
        <f>IFERROR(IF(AND(MATCH(A970,Projection_classes,0),YEAR(current_date)='Example - Projections'!B970),"pass","fail"),"")</f>
        <v/>
      </c>
    </row>
    <row r="971" spans="1:12" x14ac:dyDescent="0.25">
      <c r="A971" s="64"/>
      <c r="B971" s="64"/>
      <c r="C971" s="65"/>
      <c r="D971" s="65"/>
      <c r="E971" s="65"/>
      <c r="F971" s="61"/>
      <c r="G971" s="61"/>
      <c r="H971" s="61"/>
      <c r="I971" s="61"/>
      <c r="J971" s="61"/>
      <c r="K971" s="3" t="str">
        <f t="shared" si="27"/>
        <v>fail</v>
      </c>
      <c r="L971" s="19" t="str">
        <f>IFERROR(IF(AND(MATCH(A971,Projection_classes,0),YEAR(current_date)='Example - Projections'!B971),"pass","fail"),"")</f>
        <v/>
      </c>
    </row>
    <row r="972" spans="1:12" x14ac:dyDescent="0.25">
      <c r="A972" s="64"/>
      <c r="B972" s="64"/>
      <c r="C972" s="65"/>
      <c r="D972" s="65"/>
      <c r="E972" s="65"/>
      <c r="F972" s="61"/>
      <c r="G972" s="61"/>
      <c r="H972" s="61"/>
      <c r="I972" s="61"/>
      <c r="J972" s="61"/>
      <c r="K972" s="3" t="str">
        <f t="shared" si="27"/>
        <v>fail</v>
      </c>
      <c r="L972" s="19" t="str">
        <f>IFERROR(IF(AND(MATCH(A972,Projection_classes,0),YEAR(current_date)='Example - Projections'!B972),"pass","fail"),"")</f>
        <v/>
      </c>
    </row>
    <row r="973" spans="1:12" x14ac:dyDescent="0.25">
      <c r="A973" s="64"/>
      <c r="B973" s="64"/>
      <c r="C973" s="65"/>
      <c r="D973" s="65"/>
      <c r="E973" s="65"/>
      <c r="F973" s="61"/>
      <c r="G973" s="61"/>
      <c r="H973" s="61"/>
      <c r="I973" s="61"/>
      <c r="J973" s="61"/>
      <c r="K973" s="3" t="str">
        <f t="shared" si="27"/>
        <v>fail</v>
      </c>
      <c r="L973" s="19" t="str">
        <f>IFERROR(IF(AND(MATCH(A973,Projection_classes,0),YEAR(current_date)='Example - Projections'!B973),"pass","fail"),"")</f>
        <v/>
      </c>
    </row>
    <row r="974" spans="1:12" x14ac:dyDescent="0.25">
      <c r="A974" s="64"/>
      <c r="B974" s="64"/>
      <c r="C974" s="65"/>
      <c r="D974" s="65"/>
      <c r="E974" s="65"/>
      <c r="F974" s="61"/>
      <c r="G974" s="61"/>
      <c r="H974" s="61"/>
      <c r="I974" s="61"/>
      <c r="J974" s="61"/>
      <c r="K974" s="3" t="str">
        <f t="shared" si="27"/>
        <v>fail</v>
      </c>
      <c r="L974" s="19" t="str">
        <f>IFERROR(IF(AND(MATCH(A974,Projection_classes,0),YEAR(current_date)='Example - Projections'!B974),"pass","fail"),"")</f>
        <v/>
      </c>
    </row>
    <row r="975" spans="1:12" x14ac:dyDescent="0.25">
      <c r="A975" s="64"/>
      <c r="B975" s="64"/>
      <c r="C975" s="65"/>
      <c r="D975" s="65"/>
      <c r="E975" s="65"/>
      <c r="F975" s="61"/>
      <c r="G975" s="61"/>
      <c r="H975" s="61"/>
      <c r="I975" s="61"/>
      <c r="J975" s="61"/>
      <c r="K975" s="3" t="str">
        <f t="shared" si="27"/>
        <v>fail</v>
      </c>
      <c r="L975" s="19" t="str">
        <f>IFERROR(IF(AND(MATCH(A975,Projection_classes,0),YEAR(current_date)='Example - Projections'!B975),"pass","fail"),"")</f>
        <v/>
      </c>
    </row>
    <row r="976" spans="1:12" x14ac:dyDescent="0.25">
      <c r="A976" s="64"/>
      <c r="B976" s="64"/>
      <c r="C976" s="65"/>
      <c r="D976" s="65"/>
      <c r="E976" s="65"/>
      <c r="F976" s="61"/>
      <c r="G976" s="61"/>
      <c r="H976" s="61"/>
      <c r="I976" s="61"/>
      <c r="J976" s="61"/>
      <c r="K976" s="3" t="str">
        <f t="shared" si="27"/>
        <v>fail</v>
      </c>
      <c r="L976" s="19" t="str">
        <f>IFERROR(IF(AND(MATCH(A976,Projection_classes,0),YEAR(current_date)='Example - Projections'!B976),"pass","fail"),"")</f>
        <v/>
      </c>
    </row>
    <row r="977" spans="1:12" x14ac:dyDescent="0.25">
      <c r="A977" s="64"/>
      <c r="B977" s="64"/>
      <c r="C977" s="65"/>
      <c r="D977" s="65"/>
      <c r="E977" s="65"/>
      <c r="F977" s="61"/>
      <c r="G977" s="61"/>
      <c r="H977" s="61"/>
      <c r="I977" s="61"/>
      <c r="J977" s="61"/>
      <c r="K977" s="3" t="str">
        <f t="shared" si="27"/>
        <v>fail</v>
      </c>
      <c r="L977" s="19" t="str">
        <f>IFERROR(IF(AND(MATCH(A977,Projection_classes,0),YEAR(current_date)='Example - Projections'!B977),"pass","fail"),"")</f>
        <v/>
      </c>
    </row>
    <row r="978" spans="1:12" x14ac:dyDescent="0.25">
      <c r="A978" s="64"/>
      <c r="B978" s="64"/>
      <c r="C978" s="65"/>
      <c r="D978" s="65"/>
      <c r="E978" s="65"/>
      <c r="F978" s="61"/>
      <c r="G978" s="61"/>
      <c r="H978" s="61"/>
      <c r="I978" s="61"/>
      <c r="J978" s="61"/>
      <c r="K978" s="3" t="str">
        <f t="shared" si="27"/>
        <v>fail</v>
      </c>
      <c r="L978" s="19" t="str">
        <f>IFERROR(IF(AND(MATCH(A978,Projection_classes,0),YEAR(current_date)='Example - Projections'!B978),"pass","fail"),"")</f>
        <v/>
      </c>
    </row>
    <row r="979" spans="1:12" x14ac:dyDescent="0.25">
      <c r="A979" s="64"/>
      <c r="B979" s="64"/>
      <c r="C979" s="65"/>
      <c r="D979" s="65"/>
      <c r="E979" s="65"/>
      <c r="F979" s="61"/>
      <c r="G979" s="61"/>
      <c r="H979" s="61"/>
      <c r="I979" s="61"/>
      <c r="J979" s="61"/>
      <c r="K979" s="3" t="str">
        <f t="shared" si="27"/>
        <v>fail</v>
      </c>
      <c r="L979" s="19" t="str">
        <f>IFERROR(IF(AND(MATCH(A979,Projection_classes,0),YEAR(current_date)='Example - Projections'!B979),"pass","fail"),"")</f>
        <v/>
      </c>
    </row>
    <row r="980" spans="1:12" x14ac:dyDescent="0.25">
      <c r="A980" s="64"/>
      <c r="B980" s="64"/>
      <c r="C980" s="65"/>
      <c r="D980" s="65"/>
      <c r="E980" s="65"/>
      <c r="F980" s="61"/>
      <c r="G980" s="61"/>
      <c r="H980" s="61"/>
      <c r="I980" s="61"/>
      <c r="J980" s="61"/>
      <c r="K980" s="3" t="str">
        <f t="shared" si="27"/>
        <v>fail</v>
      </c>
      <c r="L980" s="19" t="str">
        <f>IFERROR(IF(AND(MATCH(A980,Projection_classes,0),YEAR(current_date)='Example - Projections'!B980),"pass","fail"),"")</f>
        <v/>
      </c>
    </row>
    <row r="981" spans="1:12" x14ac:dyDescent="0.25">
      <c r="A981" s="64"/>
      <c r="B981" s="64"/>
      <c r="C981" s="65"/>
      <c r="D981" s="65"/>
      <c r="E981" s="65"/>
      <c r="F981" s="61"/>
      <c r="G981" s="61"/>
      <c r="H981" s="61"/>
      <c r="I981" s="61"/>
      <c r="J981" s="61"/>
      <c r="K981" s="3" t="str">
        <f t="shared" si="27"/>
        <v>fail</v>
      </c>
      <c r="L981" s="19" t="str">
        <f>IFERROR(IF(AND(MATCH(A981,Projection_classes,0),YEAR(current_date)='Example - Projections'!B981),"pass","fail"),"")</f>
        <v/>
      </c>
    </row>
    <row r="982" spans="1:12" x14ac:dyDescent="0.25">
      <c r="A982" s="64"/>
      <c r="B982" s="64"/>
      <c r="C982" s="65"/>
      <c r="D982" s="65"/>
      <c r="E982" s="65"/>
      <c r="F982" s="61"/>
      <c r="G982" s="61"/>
      <c r="H982" s="61"/>
      <c r="I982" s="61"/>
      <c r="J982" s="61"/>
      <c r="K982" s="3" t="str">
        <f t="shared" si="27"/>
        <v>fail</v>
      </c>
      <c r="L982" s="19" t="str">
        <f>IFERROR(IF(AND(MATCH(A982,Projection_classes,0),YEAR(current_date)='Example - Projections'!B982),"pass","fail"),"")</f>
        <v/>
      </c>
    </row>
    <row r="983" spans="1:12" x14ac:dyDescent="0.25">
      <c r="A983" s="64"/>
      <c r="B983" s="64"/>
      <c r="C983" s="65"/>
      <c r="D983" s="65"/>
      <c r="E983" s="65"/>
      <c r="F983" s="61"/>
      <c r="G983" s="61"/>
      <c r="H983" s="61"/>
      <c r="I983" s="61"/>
      <c r="J983" s="61"/>
      <c r="K983" s="3" t="str">
        <f t="shared" si="27"/>
        <v>fail</v>
      </c>
      <c r="L983" s="19" t="str">
        <f>IFERROR(IF(AND(MATCH(A983,Projection_classes,0),YEAR(current_date)='Example - Projections'!B983),"pass","fail"),"")</f>
        <v/>
      </c>
    </row>
    <row r="984" spans="1:12" x14ac:dyDescent="0.25">
      <c r="A984" s="64"/>
      <c r="B984" s="64"/>
      <c r="C984" s="65"/>
      <c r="D984" s="65"/>
      <c r="E984" s="65"/>
      <c r="F984" s="61"/>
      <c r="G984" s="61"/>
      <c r="H984" s="61"/>
      <c r="I984" s="61"/>
      <c r="J984" s="61"/>
      <c r="K984" s="3" t="str">
        <f t="shared" si="27"/>
        <v>fail</v>
      </c>
      <c r="L984" s="19" t="str">
        <f>IFERROR(IF(AND(MATCH(A984,Projection_classes,0),YEAR(current_date)='Example - Projections'!B984),"pass","fail"),"")</f>
        <v/>
      </c>
    </row>
    <row r="985" spans="1:12" x14ac:dyDescent="0.25">
      <c r="A985" s="64"/>
      <c r="B985" s="64"/>
      <c r="C985" s="65"/>
      <c r="D985" s="65"/>
      <c r="E985" s="65"/>
      <c r="F985" s="61"/>
      <c r="G985" s="61"/>
      <c r="H985" s="61"/>
      <c r="I985" s="61"/>
      <c r="J985" s="61"/>
      <c r="K985" s="3" t="str">
        <f t="shared" si="27"/>
        <v>fail</v>
      </c>
      <c r="L985" s="19" t="str">
        <f>IFERROR(IF(AND(MATCH(A985,Projection_classes,0),YEAR(current_date)='Example - Projections'!B985),"pass","fail"),"")</f>
        <v/>
      </c>
    </row>
    <row r="986" spans="1:12" x14ac:dyDescent="0.25">
      <c r="A986" s="64"/>
      <c r="B986" s="64"/>
      <c r="C986" s="65"/>
      <c r="D986" s="65"/>
      <c r="E986" s="65"/>
      <c r="F986" s="61"/>
      <c r="G986" s="61"/>
      <c r="H986" s="61"/>
      <c r="I986" s="61"/>
      <c r="J986" s="61"/>
      <c r="K986" s="3" t="str">
        <f t="shared" si="27"/>
        <v>fail</v>
      </c>
      <c r="L986" s="19" t="str">
        <f>IFERROR(IF(AND(MATCH(A986,Projection_classes,0),YEAR(current_date)='Example - Projections'!B986),"pass","fail"),"")</f>
        <v/>
      </c>
    </row>
    <row r="987" spans="1:12" x14ac:dyDescent="0.25">
      <c r="A987" s="64"/>
      <c r="B987" s="64"/>
      <c r="C987" s="65"/>
      <c r="D987" s="65"/>
      <c r="E987" s="65"/>
      <c r="F987" s="61"/>
      <c r="G987" s="61"/>
      <c r="H987" s="61"/>
      <c r="I987" s="61"/>
      <c r="J987" s="61"/>
      <c r="K987" s="3" t="str">
        <f t="shared" si="27"/>
        <v>fail</v>
      </c>
      <c r="L987" s="19" t="str">
        <f>IFERROR(IF(AND(MATCH(A987,Projection_classes,0),YEAR(current_date)='Example - Projections'!B987),"pass","fail"),"")</f>
        <v/>
      </c>
    </row>
    <row r="988" spans="1:12" x14ac:dyDescent="0.25">
      <c r="A988" s="64"/>
      <c r="B988" s="64"/>
      <c r="C988" s="65"/>
      <c r="D988" s="65"/>
      <c r="E988" s="65"/>
      <c r="F988" s="61"/>
      <c r="G988" s="61"/>
      <c r="H988" s="61"/>
      <c r="I988" s="61"/>
      <c r="J988" s="61"/>
      <c r="K988" s="3" t="str">
        <f t="shared" si="27"/>
        <v>fail</v>
      </c>
      <c r="L988" s="19" t="str">
        <f>IFERROR(IF(AND(MATCH(A988,Projection_classes,0),YEAR(current_date)='Example - Projections'!B988),"pass","fail"),"")</f>
        <v/>
      </c>
    </row>
    <row r="989" spans="1:12" x14ac:dyDescent="0.25">
      <c r="A989" s="64"/>
      <c r="B989" s="64"/>
      <c r="C989" s="65"/>
      <c r="D989" s="65"/>
      <c r="E989" s="65"/>
      <c r="F989" s="61"/>
      <c r="G989" s="61"/>
      <c r="H989" s="61"/>
      <c r="I989" s="61"/>
      <c r="J989" s="61"/>
      <c r="K989" s="3" t="str">
        <f t="shared" si="27"/>
        <v>fail</v>
      </c>
      <c r="L989" s="19" t="str">
        <f>IFERROR(IF(AND(MATCH(A989,Projection_classes,0),YEAR(current_date)='Example - Projections'!B989),"pass","fail"),"")</f>
        <v/>
      </c>
    </row>
    <row r="990" spans="1:12" x14ac:dyDescent="0.25">
      <c r="A990" s="64"/>
      <c r="B990" s="64"/>
      <c r="C990" s="65"/>
      <c r="D990" s="65"/>
      <c r="E990" s="65"/>
      <c r="F990" s="61"/>
      <c r="G990" s="61"/>
      <c r="H990" s="61"/>
      <c r="I990" s="61"/>
      <c r="J990" s="61"/>
      <c r="K990" s="3" t="str">
        <f t="shared" si="27"/>
        <v>fail</v>
      </c>
      <c r="L990" s="19" t="str">
        <f>IFERROR(IF(AND(MATCH(A990,Projection_classes,0),YEAR(current_date)='Example - Projections'!B990),"pass","fail"),"")</f>
        <v/>
      </c>
    </row>
    <row r="991" spans="1:12" x14ac:dyDescent="0.25">
      <c r="A991" s="64"/>
      <c r="B991" s="64"/>
      <c r="C991" s="65"/>
      <c r="D991" s="65"/>
      <c r="E991" s="65"/>
      <c r="F991" s="61"/>
      <c r="G991" s="61"/>
      <c r="H991" s="61"/>
      <c r="I991" s="61"/>
      <c r="J991" s="61"/>
      <c r="K991" s="3" t="str">
        <f t="shared" si="27"/>
        <v>fail</v>
      </c>
      <c r="L991" s="19" t="str">
        <f>IFERROR(IF(AND(MATCH(A991,Projection_classes,0),YEAR(current_date)='Example - Projections'!B991),"pass","fail"),"")</f>
        <v/>
      </c>
    </row>
    <row r="992" spans="1:12" x14ac:dyDescent="0.25">
      <c r="A992" s="64"/>
      <c r="B992" s="64"/>
      <c r="C992" s="65"/>
      <c r="D992" s="65"/>
      <c r="E992" s="65"/>
      <c r="F992" s="61"/>
      <c r="G992" s="61"/>
      <c r="H992" s="61"/>
      <c r="I992" s="61"/>
      <c r="J992" s="61"/>
      <c r="K992" s="3" t="str">
        <f t="shared" si="27"/>
        <v>fail</v>
      </c>
      <c r="L992" s="19" t="str">
        <f>IFERROR(IF(AND(MATCH(A992,Projection_classes,0),YEAR(current_date)='Example - Projections'!B992),"pass","fail"),"")</f>
        <v/>
      </c>
    </row>
    <row r="993" spans="1:12" x14ac:dyDescent="0.25">
      <c r="A993" s="64"/>
      <c r="B993" s="64"/>
      <c r="C993" s="65"/>
      <c r="D993" s="65"/>
      <c r="E993" s="65"/>
      <c r="F993" s="61"/>
      <c r="G993" s="61"/>
      <c r="H993" s="61"/>
      <c r="I993" s="61"/>
      <c r="J993" s="61"/>
      <c r="K993" s="3" t="str">
        <f t="shared" si="27"/>
        <v>fail</v>
      </c>
      <c r="L993" s="19" t="str">
        <f>IFERROR(IF(AND(MATCH(A993,Projection_classes,0),YEAR(current_date)='Example - Projections'!B993),"pass","fail"),"")</f>
        <v/>
      </c>
    </row>
    <row r="994" spans="1:12" x14ac:dyDescent="0.25">
      <c r="A994" s="64"/>
      <c r="B994" s="64"/>
      <c r="C994" s="65"/>
      <c r="D994" s="65"/>
      <c r="E994" s="65"/>
      <c r="F994" s="61"/>
      <c r="G994" s="61"/>
      <c r="H994" s="61"/>
      <c r="I994" s="61"/>
      <c r="J994" s="61"/>
      <c r="K994" s="3" t="str">
        <f t="shared" si="27"/>
        <v>fail</v>
      </c>
      <c r="L994" s="19" t="str">
        <f>IFERROR(IF(AND(MATCH(A994,Projection_classes,0),YEAR(current_date)='Example - Projections'!B994),"pass","fail"),"")</f>
        <v/>
      </c>
    </row>
    <row r="995" spans="1:12" x14ac:dyDescent="0.25">
      <c r="A995" s="64"/>
      <c r="B995" s="64"/>
      <c r="C995" s="65"/>
      <c r="D995" s="65"/>
      <c r="E995" s="65"/>
      <c r="F995" s="61"/>
      <c r="G995" s="61"/>
      <c r="H995" s="61"/>
      <c r="I995" s="61"/>
      <c r="J995" s="61"/>
      <c r="K995" s="3" t="str">
        <f t="shared" si="27"/>
        <v>fail</v>
      </c>
      <c r="L995" s="19" t="str">
        <f>IFERROR(IF(AND(MATCH(A995,Projection_classes,0),YEAR(current_date)='Example - Projections'!B995),"pass","fail"),"")</f>
        <v/>
      </c>
    </row>
    <row r="996" spans="1:12" x14ac:dyDescent="0.25">
      <c r="A996" s="64"/>
      <c r="B996" s="64"/>
      <c r="C996" s="65"/>
      <c r="D996" s="65"/>
      <c r="E996" s="65"/>
      <c r="F996" s="61"/>
      <c r="G996" s="61"/>
      <c r="H996" s="61"/>
      <c r="I996" s="61"/>
      <c r="J996" s="61"/>
      <c r="K996" s="3" t="str">
        <f t="shared" si="27"/>
        <v>fail</v>
      </c>
      <c r="L996" s="19" t="str">
        <f>IFERROR(IF(AND(MATCH(A996,Projection_classes,0),YEAR(current_date)='Example - Projections'!B996),"pass","fail"),"")</f>
        <v/>
      </c>
    </row>
    <row r="997" spans="1:12" x14ac:dyDescent="0.25">
      <c r="A997" s="64"/>
      <c r="B997" s="64"/>
      <c r="C997" s="65"/>
      <c r="D997" s="65"/>
      <c r="E997" s="65"/>
      <c r="F997" s="61"/>
      <c r="G997" s="61"/>
      <c r="H997" s="61"/>
      <c r="I997" s="61"/>
      <c r="J997" s="61"/>
      <c r="K997" s="3" t="str">
        <f t="shared" si="27"/>
        <v>fail</v>
      </c>
      <c r="L997" s="19" t="str">
        <f>IFERROR(IF(AND(MATCH(A997,Projection_classes,0),YEAR(current_date)='Example - Projections'!B997),"pass","fail"),"")</f>
        <v/>
      </c>
    </row>
    <row r="998" spans="1:12" x14ac:dyDescent="0.25">
      <c r="A998" s="64"/>
      <c r="B998" s="64"/>
      <c r="C998" s="65"/>
      <c r="D998" s="65"/>
      <c r="E998" s="65"/>
      <c r="F998" s="61"/>
      <c r="G998" s="61"/>
      <c r="H998" s="61"/>
      <c r="I998" s="61"/>
      <c r="J998" s="61"/>
      <c r="K998" s="3" t="str">
        <f t="shared" si="27"/>
        <v>fail</v>
      </c>
      <c r="L998" s="19" t="str">
        <f>IFERROR(IF(AND(MATCH(A998,Projection_classes,0),YEAR(current_date)='Example - Projections'!B998),"pass","fail"),"")</f>
        <v/>
      </c>
    </row>
    <row r="999" spans="1:12" x14ac:dyDescent="0.25">
      <c r="A999" s="64"/>
      <c r="B999" s="64"/>
      <c r="C999" s="65"/>
      <c r="D999" s="65"/>
      <c r="E999" s="65"/>
      <c r="F999" s="61"/>
      <c r="G999" s="61"/>
      <c r="H999" s="61"/>
      <c r="I999" s="61"/>
      <c r="J999" s="61"/>
      <c r="K999" s="3" t="str">
        <f t="shared" si="27"/>
        <v>fail</v>
      </c>
      <c r="L999" s="19" t="str">
        <f>IFERROR(IF(AND(MATCH(A999,Projection_classes,0),YEAR(current_date)='Example - Projections'!B999),"pass","fail"),"")</f>
        <v/>
      </c>
    </row>
    <row r="1000" spans="1:12" x14ac:dyDescent="0.25">
      <c r="A1000" s="64"/>
      <c r="B1000" s="64"/>
      <c r="C1000" s="65"/>
      <c r="D1000" s="65"/>
      <c r="E1000" s="65"/>
      <c r="F1000" s="61"/>
      <c r="G1000" s="61"/>
      <c r="H1000" s="61"/>
      <c r="I1000" s="61"/>
      <c r="J1000" s="61"/>
      <c r="K1000" s="3" t="str">
        <f t="shared" si="27"/>
        <v>fail</v>
      </c>
      <c r="L1000" s="19" t="str">
        <f>IFERROR(IF(AND(MATCH(A1000,Projection_classes,0),YEAR(current_date)='Example - Projections'!B1000),"pass","fail"),"")</f>
        <v/>
      </c>
    </row>
  </sheetData>
  <conditionalFormatting sqref="K2:K1000">
    <cfRule type="expression" dxfId="5" priority="4" stopIfTrue="1">
      <formula>$A2=""</formula>
    </cfRule>
    <cfRule type="cellIs" dxfId="4" priority="5" operator="equal">
      <formula>"pass"</formula>
    </cfRule>
    <cfRule type="cellIs" dxfId="3" priority="6" operator="equal">
      <formula>"fail"</formula>
    </cfRule>
  </conditionalFormatting>
  <conditionalFormatting sqref="L2:L1000">
    <cfRule type="cellIs" dxfId="2" priority="2" operator="equal">
      <formula>"pass"</formula>
    </cfRule>
    <cfRule type="cellIs" dxfId="1" priority="3" operator="equal">
      <formula>"fail"</formula>
    </cfRule>
  </conditionalFormatting>
  <conditionalFormatting sqref="R2:R3">
    <cfRule type="containsText" dxfId="0" priority="1" operator="containsText" text="PLEASE SET THEM">
      <formula>NOT(ISERROR(SEARCH("PLEASE SET THEM",R2)))</formula>
    </cfRule>
  </conditionalFormatting>
  <dataValidations count="1">
    <dataValidation type="list" allowBlank="1" showInputMessage="1" showErrorMessage="1" sqref="A2:A1000" xr:uid="{00000000-0002-0000-0800-000000000000}">
      <formula1>Projection_classes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100"/>
  <sheetViews>
    <sheetView workbookViewId="0">
      <selection activeCell="D4" sqref="D4"/>
    </sheetView>
  </sheetViews>
  <sheetFormatPr defaultColWidth="8.85546875" defaultRowHeight="15" x14ac:dyDescent="0.25"/>
  <cols>
    <col min="1" max="1" width="21.42578125" bestFit="1" customWidth="1"/>
    <col min="2" max="2" width="14.42578125" customWidth="1"/>
    <col min="3" max="3" width="10.42578125" bestFit="1" customWidth="1"/>
    <col min="4" max="4" width="15.85546875" bestFit="1" customWidth="1"/>
    <col min="5" max="5" width="24.85546875" bestFit="1" customWidth="1"/>
    <col min="6" max="6" width="3.42578125" bestFit="1" customWidth="1"/>
    <col min="7" max="12" width="4.42578125" bestFit="1" customWidth="1"/>
  </cols>
  <sheetData>
    <row r="1" spans="1:18" ht="45" customHeight="1" x14ac:dyDescent="0.25">
      <c r="A1" s="76" t="s">
        <v>81</v>
      </c>
      <c r="B1" s="76" t="s">
        <v>73</v>
      </c>
      <c r="C1" s="76" t="s">
        <v>71</v>
      </c>
      <c r="D1" s="76" t="s">
        <v>112</v>
      </c>
      <c r="E1" s="76" t="s">
        <v>113</v>
      </c>
      <c r="F1" s="76" t="s">
        <v>114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s="15" customFormat="1" x14ac:dyDescent="0.25">
      <c r="A2" s="77"/>
      <c r="B2" s="77"/>
      <c r="C2" s="77"/>
      <c r="D2" s="77"/>
      <c r="E2" s="77"/>
      <c r="F2" s="16">
        <v>3</v>
      </c>
      <c r="G2" s="16">
        <v>6</v>
      </c>
      <c r="H2" s="16">
        <v>9</v>
      </c>
      <c r="I2" s="16">
        <v>12</v>
      </c>
      <c r="J2" s="16">
        <v>18</v>
      </c>
      <c r="K2" s="16">
        <v>24</v>
      </c>
      <c r="L2" s="16">
        <v>36</v>
      </c>
    </row>
    <row r="3" spans="1:18" x14ac:dyDescent="0.25">
      <c r="A3" s="28" t="s">
        <v>115</v>
      </c>
      <c r="B3" s="9" t="s">
        <v>82</v>
      </c>
      <c r="C3" s="8" t="s">
        <v>79</v>
      </c>
      <c r="D3" s="8" t="s">
        <v>53</v>
      </c>
      <c r="E3" t="s">
        <v>116</v>
      </c>
      <c r="F3" s="17">
        <v>0.02</v>
      </c>
      <c r="G3" s="17">
        <v>0.15</v>
      </c>
      <c r="H3" s="17">
        <v>0.45</v>
      </c>
      <c r="I3" s="17">
        <v>0.7</v>
      </c>
      <c r="J3" s="17">
        <v>0.75</v>
      </c>
      <c r="K3" s="17">
        <v>0.8</v>
      </c>
      <c r="L3" s="17">
        <v>0.83</v>
      </c>
    </row>
    <row r="4" spans="1:18" x14ac:dyDescent="0.25">
      <c r="A4" s="28" t="s">
        <v>115</v>
      </c>
      <c r="B4" s="9" t="s">
        <v>82</v>
      </c>
      <c r="C4" s="8" t="s">
        <v>79</v>
      </c>
      <c r="D4" s="8" t="s">
        <v>117</v>
      </c>
      <c r="E4" t="s">
        <v>118</v>
      </c>
      <c r="F4" s="17">
        <v>0.02</v>
      </c>
      <c r="G4" s="17">
        <v>0.15</v>
      </c>
      <c r="H4" s="17">
        <v>0.45</v>
      </c>
      <c r="I4" s="17">
        <v>0.7</v>
      </c>
      <c r="J4" s="17">
        <v>0.75</v>
      </c>
      <c r="K4" s="17">
        <v>0.8</v>
      </c>
      <c r="L4" s="17">
        <v>0.83</v>
      </c>
    </row>
    <row r="5" spans="1:18" x14ac:dyDescent="0.25">
      <c r="A5" s="28"/>
      <c r="B5" s="9"/>
      <c r="C5" s="8"/>
      <c r="D5" s="8"/>
    </row>
    <row r="6" spans="1:18" x14ac:dyDescent="0.25">
      <c r="A6" s="28"/>
      <c r="B6" s="9"/>
      <c r="C6" s="8"/>
      <c r="D6" s="8"/>
    </row>
    <row r="7" spans="1:18" x14ac:dyDescent="0.25">
      <c r="A7" s="28"/>
      <c r="B7" s="9"/>
      <c r="C7" s="8"/>
      <c r="D7" s="8"/>
    </row>
    <row r="8" spans="1:18" x14ac:dyDescent="0.25">
      <c r="A8" s="28"/>
      <c r="B8" s="9"/>
      <c r="C8" s="8"/>
      <c r="D8" s="8"/>
    </row>
    <row r="9" spans="1:18" x14ac:dyDescent="0.25">
      <c r="A9" s="28"/>
      <c r="B9" s="9"/>
      <c r="C9" s="8"/>
      <c r="D9" s="8"/>
    </row>
    <row r="10" spans="1:18" x14ac:dyDescent="0.25">
      <c r="A10" s="28"/>
      <c r="B10" s="9"/>
      <c r="C10" s="8"/>
      <c r="D10" s="8"/>
    </row>
    <row r="11" spans="1:18" x14ac:dyDescent="0.25">
      <c r="A11" s="28"/>
      <c r="B11" s="9"/>
      <c r="C11" s="8"/>
      <c r="D11" s="8"/>
    </row>
    <row r="12" spans="1:18" x14ac:dyDescent="0.25">
      <c r="A12" s="28"/>
      <c r="B12" s="9"/>
      <c r="C12" s="8"/>
      <c r="D12" s="8"/>
    </row>
    <row r="13" spans="1:18" x14ac:dyDescent="0.25">
      <c r="A13" s="28"/>
      <c r="B13" s="9"/>
      <c r="C13" s="8"/>
      <c r="D13" s="8"/>
    </row>
    <row r="14" spans="1:18" x14ac:dyDescent="0.25">
      <c r="A14" s="28"/>
      <c r="B14" s="9"/>
      <c r="C14" s="8"/>
      <c r="D14" s="8"/>
    </row>
    <row r="15" spans="1:18" x14ac:dyDescent="0.25">
      <c r="A15" s="28"/>
      <c r="B15" s="9"/>
      <c r="C15" s="8"/>
      <c r="D15" s="8"/>
    </row>
    <row r="16" spans="1:18" x14ac:dyDescent="0.25">
      <c r="A16" s="28"/>
      <c r="B16" s="9"/>
      <c r="C16" s="8"/>
      <c r="D16" s="8"/>
    </row>
    <row r="17" spans="1:4" x14ac:dyDescent="0.25">
      <c r="A17" s="28"/>
      <c r="B17" s="9"/>
      <c r="C17" s="8"/>
      <c r="D17" s="8"/>
    </row>
    <row r="18" spans="1:4" x14ac:dyDescent="0.25">
      <c r="A18" s="28"/>
      <c r="B18" s="9"/>
      <c r="C18" s="8"/>
      <c r="D18" s="8"/>
    </row>
    <row r="19" spans="1:4" x14ac:dyDescent="0.25">
      <c r="A19" s="28"/>
      <c r="B19" s="9"/>
      <c r="C19" s="8"/>
      <c r="D19" s="8"/>
    </row>
    <row r="20" spans="1:4" x14ac:dyDescent="0.25">
      <c r="A20" s="28"/>
      <c r="B20" s="9"/>
      <c r="C20" s="8"/>
      <c r="D20" s="8"/>
    </row>
    <row r="21" spans="1:4" x14ac:dyDescent="0.25">
      <c r="A21" s="28"/>
      <c r="B21" s="9"/>
      <c r="C21" s="8"/>
      <c r="D21" s="8"/>
    </row>
    <row r="22" spans="1:4" x14ac:dyDescent="0.25">
      <c r="A22" s="28"/>
      <c r="B22" s="9"/>
      <c r="C22" s="8"/>
      <c r="D22" s="8"/>
    </row>
    <row r="23" spans="1:4" x14ac:dyDescent="0.25">
      <c r="A23" s="28"/>
      <c r="B23" s="9"/>
      <c r="C23" s="8"/>
      <c r="D23" s="8"/>
    </row>
    <row r="24" spans="1:4" x14ac:dyDescent="0.25">
      <c r="A24" s="28"/>
      <c r="B24" s="9"/>
      <c r="C24" s="8"/>
      <c r="D24" s="8"/>
    </row>
    <row r="25" spans="1:4" x14ac:dyDescent="0.25">
      <c r="A25" s="28"/>
      <c r="B25" s="9"/>
      <c r="C25" s="8"/>
      <c r="D25" s="8"/>
    </row>
    <row r="26" spans="1:4" x14ac:dyDescent="0.25">
      <c r="A26" s="28"/>
      <c r="B26" s="9"/>
      <c r="C26" s="8"/>
      <c r="D26" s="8"/>
    </row>
    <row r="27" spans="1:4" x14ac:dyDescent="0.25">
      <c r="A27" s="28"/>
      <c r="B27" s="9"/>
      <c r="C27" s="8"/>
      <c r="D27" s="8"/>
    </row>
    <row r="28" spans="1:4" x14ac:dyDescent="0.25">
      <c r="A28" s="28"/>
      <c r="B28" s="9"/>
      <c r="C28" s="8"/>
      <c r="D28" s="8"/>
    </row>
    <row r="29" spans="1:4" x14ac:dyDescent="0.25">
      <c r="A29" s="28"/>
      <c r="B29" s="9"/>
      <c r="C29" s="8"/>
      <c r="D29" s="8"/>
    </row>
    <row r="30" spans="1:4" x14ac:dyDescent="0.25">
      <c r="A30" s="28"/>
      <c r="B30" s="9"/>
      <c r="C30" s="8"/>
      <c r="D30" s="8"/>
    </row>
    <row r="31" spans="1:4" x14ac:dyDescent="0.25">
      <c r="A31" s="28"/>
      <c r="B31" s="9"/>
      <c r="C31" s="8"/>
      <c r="D31" s="8"/>
    </row>
    <row r="32" spans="1:4" x14ac:dyDescent="0.25">
      <c r="A32" s="28"/>
      <c r="B32" s="9"/>
      <c r="C32" s="8"/>
      <c r="D32" s="8"/>
    </row>
    <row r="33" spans="1:4" x14ac:dyDescent="0.25">
      <c r="A33" s="28"/>
      <c r="B33" s="9"/>
      <c r="C33" s="8"/>
      <c r="D33" s="8"/>
    </row>
    <row r="34" spans="1:4" x14ac:dyDescent="0.25">
      <c r="A34" s="28"/>
      <c r="B34" s="9"/>
      <c r="C34" s="8"/>
      <c r="D34" s="8"/>
    </row>
    <row r="35" spans="1:4" x14ac:dyDescent="0.25">
      <c r="A35" s="28"/>
      <c r="B35" s="9"/>
      <c r="C35" s="8"/>
      <c r="D35" s="8"/>
    </row>
    <row r="36" spans="1:4" x14ac:dyDescent="0.25">
      <c r="A36" s="28"/>
      <c r="B36" s="9"/>
      <c r="C36" s="8"/>
      <c r="D36" s="8"/>
    </row>
    <row r="37" spans="1:4" x14ac:dyDescent="0.25">
      <c r="A37" s="28"/>
      <c r="B37" s="9"/>
      <c r="C37" s="8"/>
      <c r="D37" s="8"/>
    </row>
    <row r="38" spans="1:4" x14ac:dyDescent="0.25">
      <c r="A38" s="28"/>
      <c r="B38" s="9"/>
      <c r="C38" s="8"/>
      <c r="D38" s="8"/>
    </row>
    <row r="39" spans="1:4" x14ac:dyDescent="0.25">
      <c r="A39" s="28"/>
      <c r="B39" s="9"/>
      <c r="C39" s="8"/>
      <c r="D39" s="8"/>
    </row>
    <row r="40" spans="1:4" x14ac:dyDescent="0.25">
      <c r="A40" s="28"/>
      <c r="B40" s="9"/>
      <c r="C40" s="8"/>
      <c r="D40" s="8"/>
    </row>
    <row r="41" spans="1:4" x14ac:dyDescent="0.25">
      <c r="A41" s="28"/>
      <c r="B41" s="9"/>
      <c r="C41" s="8"/>
      <c r="D41" s="8"/>
    </row>
    <row r="42" spans="1:4" x14ac:dyDescent="0.25">
      <c r="A42" s="28"/>
      <c r="B42" s="9"/>
      <c r="C42" s="8"/>
      <c r="D42" s="8"/>
    </row>
    <row r="43" spans="1:4" x14ac:dyDescent="0.25">
      <c r="A43" s="28"/>
      <c r="B43" s="9"/>
      <c r="C43" s="8"/>
      <c r="D43" s="8"/>
    </row>
    <row r="44" spans="1:4" x14ac:dyDescent="0.25">
      <c r="A44" s="28"/>
      <c r="B44" s="9"/>
      <c r="C44" s="8"/>
      <c r="D44" s="8"/>
    </row>
    <row r="45" spans="1:4" x14ac:dyDescent="0.25">
      <c r="A45" s="28"/>
      <c r="B45" s="9"/>
      <c r="C45" s="8"/>
      <c r="D45" s="8"/>
    </row>
    <row r="46" spans="1:4" x14ac:dyDescent="0.25">
      <c r="A46" s="28"/>
      <c r="B46" s="9"/>
      <c r="C46" s="8"/>
      <c r="D46" s="8"/>
    </row>
    <row r="47" spans="1:4" x14ac:dyDescent="0.25">
      <c r="A47" s="28"/>
      <c r="B47" s="9"/>
      <c r="C47" s="8"/>
      <c r="D47" s="8"/>
    </row>
    <row r="48" spans="1:4" x14ac:dyDescent="0.25">
      <c r="A48" s="28"/>
      <c r="B48" s="9"/>
      <c r="C48" s="8"/>
      <c r="D48" s="8"/>
    </row>
    <row r="49" spans="1:4" x14ac:dyDescent="0.25">
      <c r="A49" s="28"/>
      <c r="B49" s="9"/>
      <c r="C49" s="8"/>
      <c r="D49" s="8"/>
    </row>
    <row r="50" spans="1:4" x14ac:dyDescent="0.25">
      <c r="A50" s="28"/>
      <c r="B50" s="9"/>
      <c r="C50" s="8"/>
      <c r="D50" s="8"/>
    </row>
    <row r="51" spans="1:4" x14ac:dyDescent="0.25">
      <c r="A51" s="28"/>
      <c r="B51" s="9"/>
      <c r="C51" s="8"/>
      <c r="D51" s="8"/>
    </row>
    <row r="52" spans="1:4" x14ac:dyDescent="0.25">
      <c r="A52" s="28"/>
      <c r="B52" s="9"/>
      <c r="C52" s="8"/>
      <c r="D52" s="8"/>
    </row>
    <row r="53" spans="1:4" x14ac:dyDescent="0.25">
      <c r="A53" s="28"/>
      <c r="B53" s="9"/>
      <c r="C53" s="8"/>
      <c r="D53" s="8"/>
    </row>
    <row r="54" spans="1:4" x14ac:dyDescent="0.25">
      <c r="A54" s="28"/>
      <c r="B54" s="9"/>
      <c r="C54" s="8"/>
      <c r="D54" s="8"/>
    </row>
    <row r="55" spans="1:4" x14ac:dyDescent="0.25">
      <c r="A55" s="28"/>
      <c r="B55" s="9"/>
      <c r="C55" s="8"/>
      <c r="D55" s="8"/>
    </row>
    <row r="56" spans="1:4" x14ac:dyDescent="0.25">
      <c r="A56" s="28"/>
      <c r="B56" s="9"/>
      <c r="C56" s="8"/>
      <c r="D56" s="8"/>
    </row>
    <row r="57" spans="1:4" x14ac:dyDescent="0.25">
      <c r="A57" s="28"/>
      <c r="B57" s="9"/>
      <c r="C57" s="8"/>
      <c r="D57" s="8"/>
    </row>
    <row r="58" spans="1:4" x14ac:dyDescent="0.25">
      <c r="A58" s="28"/>
      <c r="B58" s="9"/>
      <c r="C58" s="8"/>
      <c r="D58" s="8"/>
    </row>
    <row r="59" spans="1:4" x14ac:dyDescent="0.25">
      <c r="A59" s="28"/>
      <c r="B59" s="9"/>
      <c r="C59" s="8"/>
      <c r="D59" s="8"/>
    </row>
    <row r="60" spans="1:4" x14ac:dyDescent="0.25">
      <c r="A60" s="28"/>
      <c r="B60" s="9"/>
      <c r="C60" s="8"/>
      <c r="D60" s="8"/>
    </row>
    <row r="61" spans="1:4" x14ac:dyDescent="0.25">
      <c r="A61" s="28"/>
      <c r="B61" s="9"/>
      <c r="C61" s="8"/>
      <c r="D61" s="8"/>
    </row>
    <row r="62" spans="1:4" x14ac:dyDescent="0.25">
      <c r="A62" s="28"/>
      <c r="B62" s="9"/>
      <c r="C62" s="8"/>
      <c r="D62" s="8"/>
    </row>
    <row r="63" spans="1:4" x14ac:dyDescent="0.25">
      <c r="A63" s="28"/>
      <c r="B63" s="9"/>
      <c r="C63" s="8"/>
      <c r="D63" s="8"/>
    </row>
    <row r="64" spans="1:4" x14ac:dyDescent="0.25">
      <c r="A64" s="28"/>
      <c r="B64" s="9"/>
      <c r="C64" s="8"/>
      <c r="D64" s="8"/>
    </row>
    <row r="65" spans="1:4" x14ac:dyDescent="0.25">
      <c r="A65" s="28"/>
      <c r="B65" s="9"/>
      <c r="C65" s="8"/>
      <c r="D65" s="8"/>
    </row>
    <row r="66" spans="1:4" x14ac:dyDescent="0.25">
      <c r="A66" s="28"/>
      <c r="B66" s="9"/>
      <c r="C66" s="8"/>
      <c r="D66" s="8"/>
    </row>
    <row r="67" spans="1:4" x14ac:dyDescent="0.25">
      <c r="A67" s="28"/>
      <c r="B67" s="9"/>
      <c r="C67" s="8"/>
      <c r="D67" s="8"/>
    </row>
    <row r="68" spans="1:4" x14ac:dyDescent="0.25">
      <c r="A68" s="28"/>
      <c r="B68" s="9"/>
      <c r="C68" s="8"/>
      <c r="D68" s="8"/>
    </row>
    <row r="69" spans="1:4" x14ac:dyDescent="0.25">
      <c r="A69" s="28"/>
      <c r="B69" s="9"/>
      <c r="C69" s="8"/>
      <c r="D69" s="8"/>
    </row>
    <row r="70" spans="1:4" x14ac:dyDescent="0.25">
      <c r="A70" s="28"/>
      <c r="B70" s="9"/>
      <c r="C70" s="8"/>
      <c r="D70" s="8"/>
    </row>
    <row r="71" spans="1:4" x14ac:dyDescent="0.25">
      <c r="A71" s="28"/>
      <c r="B71" s="9"/>
      <c r="C71" s="8"/>
      <c r="D71" s="8"/>
    </row>
    <row r="72" spans="1:4" x14ac:dyDescent="0.25">
      <c r="A72" s="28"/>
      <c r="B72" s="9"/>
      <c r="C72" s="8"/>
      <c r="D72" s="8"/>
    </row>
    <row r="73" spans="1:4" x14ac:dyDescent="0.25">
      <c r="A73" s="28"/>
      <c r="B73" s="9"/>
      <c r="C73" s="8"/>
      <c r="D73" s="8"/>
    </row>
    <row r="74" spans="1:4" x14ac:dyDescent="0.25">
      <c r="A74" s="28"/>
      <c r="B74" s="9"/>
      <c r="C74" s="8"/>
      <c r="D74" s="8"/>
    </row>
    <row r="75" spans="1:4" x14ac:dyDescent="0.25">
      <c r="A75" s="28"/>
      <c r="B75" s="9"/>
      <c r="C75" s="8"/>
      <c r="D75" s="8"/>
    </row>
    <row r="76" spans="1:4" x14ac:dyDescent="0.25">
      <c r="A76" s="28"/>
      <c r="B76" s="9"/>
      <c r="C76" s="8"/>
      <c r="D76" s="8"/>
    </row>
    <row r="77" spans="1:4" x14ac:dyDescent="0.25">
      <c r="A77" s="28"/>
      <c r="B77" s="9"/>
      <c r="C77" s="8"/>
      <c r="D77" s="8"/>
    </row>
    <row r="78" spans="1:4" x14ac:dyDescent="0.25">
      <c r="A78" s="28"/>
      <c r="B78" s="9"/>
      <c r="C78" s="8"/>
      <c r="D78" s="8"/>
    </row>
    <row r="79" spans="1:4" x14ac:dyDescent="0.25">
      <c r="A79" s="28"/>
      <c r="B79" s="9"/>
      <c r="C79" s="8"/>
      <c r="D79" s="8"/>
    </row>
    <row r="80" spans="1:4" x14ac:dyDescent="0.25">
      <c r="A80" s="28"/>
      <c r="B80" s="9"/>
      <c r="C80" s="8"/>
      <c r="D80" s="8"/>
    </row>
    <row r="81" spans="1:4" x14ac:dyDescent="0.25">
      <c r="A81" s="28"/>
      <c r="B81" s="9"/>
      <c r="C81" s="8"/>
      <c r="D81" s="8"/>
    </row>
    <row r="82" spans="1:4" x14ac:dyDescent="0.25">
      <c r="A82" s="28"/>
      <c r="B82" s="9"/>
      <c r="C82" s="8"/>
      <c r="D82" s="8"/>
    </row>
    <row r="83" spans="1:4" x14ac:dyDescent="0.25">
      <c r="A83" s="28"/>
      <c r="B83" s="9"/>
      <c r="C83" s="8"/>
      <c r="D83" s="8"/>
    </row>
    <row r="84" spans="1:4" x14ac:dyDescent="0.25">
      <c r="A84" s="28"/>
      <c r="B84" s="9"/>
      <c r="C84" s="8"/>
      <c r="D84" s="8"/>
    </row>
    <row r="85" spans="1:4" x14ac:dyDescent="0.25">
      <c r="A85" s="28"/>
      <c r="B85" s="9"/>
      <c r="C85" s="8"/>
      <c r="D85" s="8"/>
    </row>
    <row r="86" spans="1:4" x14ac:dyDescent="0.25">
      <c r="A86" s="28"/>
      <c r="B86" s="9"/>
      <c r="C86" s="8"/>
      <c r="D86" s="8"/>
    </row>
    <row r="87" spans="1:4" x14ac:dyDescent="0.25">
      <c r="A87" s="28"/>
      <c r="B87" s="9"/>
      <c r="C87" s="8"/>
      <c r="D87" s="8"/>
    </row>
    <row r="88" spans="1:4" x14ac:dyDescent="0.25">
      <c r="A88" s="28"/>
      <c r="B88" s="9"/>
      <c r="C88" s="8"/>
      <c r="D88" s="8"/>
    </row>
    <row r="89" spans="1:4" x14ac:dyDescent="0.25">
      <c r="A89" s="28"/>
      <c r="B89" s="9"/>
      <c r="C89" s="8"/>
      <c r="D89" s="8"/>
    </row>
    <row r="90" spans="1:4" x14ac:dyDescent="0.25">
      <c r="A90" s="28"/>
      <c r="B90" s="9"/>
      <c r="C90" s="8"/>
      <c r="D90" s="8"/>
    </row>
    <row r="91" spans="1:4" x14ac:dyDescent="0.25">
      <c r="A91" s="28"/>
      <c r="B91" s="9"/>
      <c r="C91" s="8"/>
      <c r="D91" s="8"/>
    </row>
    <row r="92" spans="1:4" x14ac:dyDescent="0.25">
      <c r="A92" s="28"/>
      <c r="B92" s="9"/>
      <c r="C92" s="8"/>
      <c r="D92" s="8"/>
    </row>
    <row r="93" spans="1:4" x14ac:dyDescent="0.25">
      <c r="A93" s="28"/>
      <c r="B93" s="9"/>
      <c r="C93" s="8"/>
      <c r="D93" s="8"/>
    </row>
    <row r="94" spans="1:4" x14ac:dyDescent="0.25">
      <c r="A94" s="28"/>
      <c r="B94" s="9"/>
      <c r="C94" s="8"/>
      <c r="D94" s="8"/>
    </row>
    <row r="95" spans="1:4" x14ac:dyDescent="0.25">
      <c r="A95" s="28"/>
      <c r="B95" s="9"/>
      <c r="C95" s="8"/>
      <c r="D95" s="8"/>
    </row>
    <row r="96" spans="1:4" x14ac:dyDescent="0.25">
      <c r="A96" s="28"/>
      <c r="B96" s="9"/>
      <c r="C96" s="8"/>
      <c r="D96" s="8"/>
    </row>
    <row r="97" spans="1:4" x14ac:dyDescent="0.25">
      <c r="A97" s="28"/>
      <c r="B97" s="9"/>
      <c r="C97" s="8"/>
      <c r="D97" s="8"/>
    </row>
    <row r="98" spans="1:4" x14ac:dyDescent="0.25">
      <c r="A98" s="28"/>
      <c r="B98" s="9"/>
      <c r="C98" s="8"/>
      <c r="D98" s="8"/>
    </row>
    <row r="99" spans="1:4" x14ac:dyDescent="0.25">
      <c r="A99" s="28"/>
      <c r="B99" s="9"/>
      <c r="C99" s="8"/>
      <c r="D99" s="8"/>
    </row>
    <row r="100" spans="1:4" x14ac:dyDescent="0.25">
      <c r="A100" s="28"/>
      <c r="B100" s="9"/>
      <c r="C100" s="8"/>
      <c r="D100" s="8"/>
    </row>
  </sheetData>
  <mergeCells count="6">
    <mergeCell ref="A1:A2"/>
    <mergeCell ref="F1:R1"/>
    <mergeCell ref="C1:C2"/>
    <mergeCell ref="B1:B2"/>
    <mergeCell ref="D1:D2"/>
    <mergeCell ref="E1:E2"/>
  </mergeCells>
  <dataValidations count="4">
    <dataValidation type="list" allowBlank="1" showInputMessage="1" showErrorMessage="1" sqref="B3:B100" xr:uid="{00000000-0002-0000-0900-000000000000}">
      <formula1>"Accident Year, UW Year, Treaty Year"</formula1>
    </dataValidation>
    <dataValidation type="list" allowBlank="1" showInputMessage="1" showErrorMessage="1" sqref="C3:C100" xr:uid="{00000000-0002-0000-0900-000001000000}">
      <formula1>"Incurred,Paid,Outstanding, Earned Gross Premium, Earned Net Premium, Gross Written Premium, Net Written Premium"</formula1>
    </dataValidation>
    <dataValidation type="list" allowBlank="1" showInputMessage="1" showErrorMessage="1" sqref="A3:A100" xr:uid="{00000000-0002-0000-0900-000002000000}">
      <formula1>Development_classes</formula1>
    </dataValidation>
    <dataValidation type="list" allowBlank="1" showInputMessage="1" showErrorMessage="1" sqref="D3:D100" xr:uid="{00000000-0002-0000-0900-000003000000}">
      <formula1>LDF_type_options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2"/>
  <sheetViews>
    <sheetView topLeftCell="E1" workbookViewId="0">
      <selection activeCell="D4" sqref="D4"/>
    </sheetView>
  </sheetViews>
  <sheetFormatPr defaultColWidth="8.85546875" defaultRowHeight="15" x14ac:dyDescent="0.25"/>
  <cols>
    <col min="1" max="1" width="10.42578125" customWidth="1"/>
    <col min="2" max="6" width="13.85546875" style="3" customWidth="1"/>
    <col min="7" max="7" width="14.85546875" style="3" customWidth="1"/>
    <col min="8" max="8" width="13.85546875" style="3" customWidth="1"/>
    <col min="9" max="9" width="10" style="19" customWidth="1"/>
    <col min="10" max="12" width="16.42578125" style="19" customWidth="1"/>
    <col min="13" max="14" width="17.42578125" customWidth="1"/>
    <col min="16" max="16" width="10.85546875" customWidth="1"/>
  </cols>
  <sheetData>
    <row r="1" spans="1:16" ht="60" customHeight="1" x14ac:dyDescent="0.25">
      <c r="A1" s="6" t="s">
        <v>81</v>
      </c>
      <c r="B1" s="20" t="s">
        <v>119</v>
      </c>
      <c r="C1" s="20" t="s">
        <v>120</v>
      </c>
      <c r="D1" s="20" t="s">
        <v>121</v>
      </c>
      <c r="E1" s="20" t="s">
        <v>122</v>
      </c>
      <c r="F1" s="20" t="s">
        <v>123</v>
      </c>
      <c r="G1" s="20" t="s">
        <v>124</v>
      </c>
      <c r="H1" s="20" t="s">
        <v>125</v>
      </c>
      <c r="I1" s="18" t="s">
        <v>126</v>
      </c>
      <c r="J1" s="18" t="s">
        <v>127</v>
      </c>
      <c r="K1" s="18" t="s">
        <v>128</v>
      </c>
      <c r="L1" s="18" t="s">
        <v>129</v>
      </c>
      <c r="M1" s="18" t="s">
        <v>130</v>
      </c>
      <c r="N1" s="18" t="s">
        <v>131</v>
      </c>
      <c r="O1" s="18" t="s">
        <v>132</v>
      </c>
      <c r="P1" s="18" t="s">
        <v>133</v>
      </c>
    </row>
    <row r="2" spans="1:16" x14ac:dyDescent="0.25">
      <c r="A2" t="s">
        <v>134</v>
      </c>
      <c r="B2" s="3" t="s">
        <v>78</v>
      </c>
      <c r="H2" t="s">
        <v>135</v>
      </c>
      <c r="I2" s="19">
        <v>0.65</v>
      </c>
      <c r="J2" s="19">
        <v>-2.1000000000000001E-2</v>
      </c>
      <c r="L2" t="s">
        <v>135</v>
      </c>
      <c r="N2" t="s">
        <v>135</v>
      </c>
    </row>
  </sheetData>
  <dataValidations count="1">
    <dataValidation type="list" allowBlank="1" showInputMessage="1" showErrorMessage="1" sqref="H2 L2 N2" xr:uid="{00000000-0002-0000-0A00-000000000000}">
      <formula1>"Gross Gross, Gross Net, Net Gross, Net Net"</formula1>
    </dataValidation>
  </dataValidations>
  <pageMargins left="0.7" right="0.7" top="0.75" bottom="0.75" header="0.3" footer="0.3"/>
  <headerFooter>
    <oddFooter>&amp;C&amp;"Calibri"&amp;8 &amp;K000000_x000D_#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252"/>
  <sheetViews>
    <sheetView topLeftCell="B1" workbookViewId="0">
      <selection activeCell="D4" sqref="D4"/>
    </sheetView>
  </sheetViews>
  <sheetFormatPr defaultColWidth="8.85546875" defaultRowHeight="15" x14ac:dyDescent="0.25"/>
  <cols>
    <col min="2" max="2" width="26.28515625" customWidth="1"/>
    <col min="3" max="3" width="2.42578125" style="24" customWidth="1"/>
    <col min="4" max="4" width="5.28515625" customWidth="1"/>
    <col min="5" max="5" width="17.28515625" customWidth="1"/>
    <col min="6" max="6" width="2.42578125" style="24" customWidth="1"/>
    <col min="7" max="7" width="11.140625" customWidth="1"/>
    <col min="8" max="8" width="25.140625" customWidth="1"/>
    <col min="9" max="9" width="2.42578125" style="24" customWidth="1"/>
    <col min="12" max="12" width="2.42578125" style="24" customWidth="1"/>
    <col min="15" max="15" width="2.42578125" style="24" customWidth="1"/>
    <col min="16" max="16" width="11.42578125" bestFit="1" customWidth="1"/>
    <col min="17" max="17" width="2.42578125" style="24" customWidth="1"/>
    <col min="18" max="18" width="23.7109375" bestFit="1" customWidth="1"/>
    <col min="19" max="19" width="2.42578125" style="24" customWidth="1"/>
  </cols>
  <sheetData>
    <row r="1" spans="1:18" ht="30" customHeight="1" x14ac:dyDescent="0.3">
      <c r="A1" s="79" t="s">
        <v>136</v>
      </c>
      <c r="B1" s="78"/>
      <c r="D1" s="79" t="s">
        <v>137</v>
      </c>
      <c r="E1" s="78"/>
      <c r="G1" s="79" t="s">
        <v>25</v>
      </c>
      <c r="H1" s="78"/>
      <c r="J1" s="80" t="s">
        <v>24</v>
      </c>
      <c r="K1" s="78"/>
      <c r="M1" s="80" t="s">
        <v>26</v>
      </c>
      <c r="N1" s="78"/>
      <c r="P1" s="32" t="s">
        <v>38</v>
      </c>
      <c r="R1" s="32" t="s">
        <v>138</v>
      </c>
    </row>
    <row r="2" spans="1:18" x14ac:dyDescent="0.25">
      <c r="A2" s="23" t="s">
        <v>139</v>
      </c>
      <c r="B2" s="21" t="s">
        <v>140</v>
      </c>
      <c r="D2" s="23" t="s">
        <v>139</v>
      </c>
      <c r="E2" s="21" t="s">
        <v>140</v>
      </c>
      <c r="G2" s="23" t="s">
        <v>139</v>
      </c>
      <c r="H2" s="21" t="s">
        <v>141</v>
      </c>
      <c r="J2" s="23" t="s">
        <v>139</v>
      </c>
      <c r="K2" s="21" t="s">
        <v>141</v>
      </c>
      <c r="M2" s="23" t="s">
        <v>139</v>
      </c>
      <c r="N2" s="21" t="s">
        <v>141</v>
      </c>
      <c r="P2" s="21" t="s">
        <v>141</v>
      </c>
      <c r="R2" s="21" t="s">
        <v>141</v>
      </c>
    </row>
    <row r="3" spans="1:18" x14ac:dyDescent="0.25">
      <c r="A3" s="22">
        <v>1</v>
      </c>
      <c r="B3" t="s">
        <v>142</v>
      </c>
      <c r="D3" s="22">
        <v>1</v>
      </c>
      <c r="E3" t="s">
        <v>50</v>
      </c>
      <c r="G3" s="22" t="s">
        <v>143</v>
      </c>
      <c r="H3" t="s">
        <v>99</v>
      </c>
      <c r="J3">
        <v>1</v>
      </c>
      <c r="K3" t="s">
        <v>98</v>
      </c>
      <c r="M3">
        <v>1</v>
      </c>
      <c r="N3" t="s">
        <v>144</v>
      </c>
      <c r="P3" t="s">
        <v>78</v>
      </c>
      <c r="R3" t="s">
        <v>145</v>
      </c>
    </row>
    <row r="4" spans="1:18" x14ac:dyDescent="0.25">
      <c r="A4" s="22">
        <v>2</v>
      </c>
      <c r="B4" t="s">
        <v>52</v>
      </c>
      <c r="D4" s="22">
        <v>2</v>
      </c>
      <c r="E4" t="s">
        <v>60</v>
      </c>
      <c r="G4" s="22" t="s">
        <v>146</v>
      </c>
      <c r="H4" t="s">
        <v>147</v>
      </c>
      <c r="J4">
        <v>2</v>
      </c>
      <c r="K4" t="s">
        <v>106</v>
      </c>
      <c r="M4">
        <v>2</v>
      </c>
      <c r="N4" t="s">
        <v>148</v>
      </c>
      <c r="P4" t="s">
        <v>149</v>
      </c>
      <c r="R4" t="s">
        <v>117</v>
      </c>
    </row>
    <row r="5" spans="1:18" x14ac:dyDescent="0.25">
      <c r="A5" s="22">
        <v>3</v>
      </c>
      <c r="B5" t="s">
        <v>150</v>
      </c>
      <c r="D5" s="22">
        <v>3</v>
      </c>
      <c r="E5" t="s">
        <v>97</v>
      </c>
      <c r="G5" s="22" t="s">
        <v>151</v>
      </c>
      <c r="H5" t="s">
        <v>152</v>
      </c>
      <c r="J5">
        <v>3</v>
      </c>
      <c r="K5" t="s">
        <v>51</v>
      </c>
      <c r="M5">
        <v>3</v>
      </c>
      <c r="N5" t="s">
        <v>100</v>
      </c>
      <c r="P5" t="s">
        <v>153</v>
      </c>
      <c r="R5" t="s">
        <v>53</v>
      </c>
    </row>
    <row r="6" spans="1:18" x14ac:dyDescent="0.25">
      <c r="A6" s="22">
        <v>4</v>
      </c>
      <c r="B6" t="s">
        <v>109</v>
      </c>
      <c r="D6" s="22">
        <v>4</v>
      </c>
      <c r="E6" t="s">
        <v>147</v>
      </c>
      <c r="G6" s="22" t="s">
        <v>154</v>
      </c>
      <c r="H6" t="s">
        <v>155</v>
      </c>
      <c r="J6">
        <v>4</v>
      </c>
      <c r="K6" t="s">
        <v>156</v>
      </c>
      <c r="P6" t="s">
        <v>157</v>
      </c>
      <c r="R6" t="s">
        <v>158</v>
      </c>
    </row>
    <row r="7" spans="1:18" x14ac:dyDescent="0.25">
      <c r="A7" s="22">
        <v>5</v>
      </c>
      <c r="B7" t="s">
        <v>134</v>
      </c>
      <c r="D7" s="22"/>
      <c r="G7" s="22" t="s">
        <v>159</v>
      </c>
      <c r="H7" t="s">
        <v>160</v>
      </c>
      <c r="J7">
        <v>5</v>
      </c>
      <c r="K7" t="s">
        <v>161</v>
      </c>
      <c r="P7" t="s">
        <v>162</v>
      </c>
    </row>
    <row r="8" spans="1:18" x14ac:dyDescent="0.25">
      <c r="A8" s="22">
        <v>6</v>
      </c>
      <c r="B8" t="s">
        <v>163</v>
      </c>
      <c r="D8" s="22"/>
      <c r="G8" s="22" t="s">
        <v>164</v>
      </c>
      <c r="H8" t="s">
        <v>165</v>
      </c>
      <c r="J8">
        <v>6</v>
      </c>
      <c r="K8" t="s">
        <v>166</v>
      </c>
      <c r="P8" t="s">
        <v>167</v>
      </c>
    </row>
    <row r="9" spans="1:18" x14ac:dyDescent="0.25">
      <c r="A9" s="22">
        <v>7</v>
      </c>
      <c r="B9" t="s">
        <v>168</v>
      </c>
      <c r="D9" s="22"/>
      <c r="G9" s="22" t="s">
        <v>169</v>
      </c>
      <c r="H9" t="s">
        <v>170</v>
      </c>
      <c r="P9" t="s">
        <v>171</v>
      </c>
    </row>
    <row r="10" spans="1:18" x14ac:dyDescent="0.25">
      <c r="A10" s="22">
        <v>8</v>
      </c>
      <c r="B10" t="s">
        <v>172</v>
      </c>
      <c r="D10" s="22"/>
      <c r="G10" s="22" t="s">
        <v>173</v>
      </c>
      <c r="H10" t="s">
        <v>174</v>
      </c>
      <c r="P10" t="s">
        <v>175</v>
      </c>
    </row>
    <row r="11" spans="1:18" x14ac:dyDescent="0.25">
      <c r="A11" s="22">
        <v>9</v>
      </c>
      <c r="B11" t="s">
        <v>104</v>
      </c>
      <c r="D11" s="22"/>
      <c r="G11" s="22" t="s">
        <v>176</v>
      </c>
      <c r="H11" t="s">
        <v>177</v>
      </c>
      <c r="P11" t="s">
        <v>178</v>
      </c>
    </row>
    <row r="12" spans="1:18" x14ac:dyDescent="0.25">
      <c r="A12" s="22">
        <v>10</v>
      </c>
      <c r="B12" t="s">
        <v>179</v>
      </c>
      <c r="D12" s="22"/>
      <c r="G12" s="22" t="s">
        <v>180</v>
      </c>
      <c r="H12" t="s">
        <v>181</v>
      </c>
      <c r="P12" t="s">
        <v>182</v>
      </c>
    </row>
    <row r="13" spans="1:18" x14ac:dyDescent="0.25">
      <c r="A13" s="22">
        <v>11</v>
      </c>
      <c r="B13" t="s">
        <v>183</v>
      </c>
      <c r="G13" s="22" t="s">
        <v>184</v>
      </c>
      <c r="H13" t="s">
        <v>185</v>
      </c>
      <c r="P13" t="s">
        <v>186</v>
      </c>
    </row>
    <row r="14" spans="1:18" x14ac:dyDescent="0.25">
      <c r="A14" s="22">
        <v>12</v>
      </c>
      <c r="B14" t="s">
        <v>187</v>
      </c>
      <c r="G14" s="22" t="s">
        <v>188</v>
      </c>
      <c r="H14" t="s">
        <v>189</v>
      </c>
      <c r="P14" t="s">
        <v>190</v>
      </c>
    </row>
    <row r="15" spans="1:18" x14ac:dyDescent="0.25">
      <c r="A15" s="22">
        <v>13</v>
      </c>
      <c r="B15" t="s">
        <v>107</v>
      </c>
      <c r="G15" s="22" t="s">
        <v>191</v>
      </c>
      <c r="H15" t="s">
        <v>192</v>
      </c>
      <c r="P15" t="s">
        <v>193</v>
      </c>
    </row>
    <row r="16" spans="1:18" x14ac:dyDescent="0.25">
      <c r="A16" s="22">
        <v>14</v>
      </c>
      <c r="B16" t="s">
        <v>194</v>
      </c>
      <c r="G16" s="22" t="s">
        <v>195</v>
      </c>
      <c r="H16" t="s">
        <v>196</v>
      </c>
      <c r="P16" t="s">
        <v>197</v>
      </c>
    </row>
    <row r="17" spans="1:16" x14ac:dyDescent="0.25">
      <c r="A17" s="22">
        <v>15</v>
      </c>
      <c r="B17" t="s">
        <v>198</v>
      </c>
      <c r="G17" s="22" t="s">
        <v>199</v>
      </c>
      <c r="H17" t="s">
        <v>200</v>
      </c>
      <c r="P17" t="s">
        <v>201</v>
      </c>
    </row>
    <row r="18" spans="1:16" x14ac:dyDescent="0.25">
      <c r="A18" s="22">
        <v>16</v>
      </c>
      <c r="B18" t="s">
        <v>202</v>
      </c>
      <c r="G18" s="22" t="s">
        <v>203</v>
      </c>
      <c r="H18" t="s">
        <v>204</v>
      </c>
      <c r="P18" t="s">
        <v>205</v>
      </c>
    </row>
    <row r="19" spans="1:16" x14ac:dyDescent="0.25">
      <c r="A19" s="22">
        <v>17</v>
      </c>
      <c r="B19" t="s">
        <v>206</v>
      </c>
      <c r="G19" s="22" t="s">
        <v>207</v>
      </c>
      <c r="H19" t="s">
        <v>208</v>
      </c>
      <c r="P19" t="s">
        <v>209</v>
      </c>
    </row>
    <row r="20" spans="1:16" x14ac:dyDescent="0.25">
      <c r="A20" s="22">
        <v>18</v>
      </c>
      <c r="B20" t="s">
        <v>101</v>
      </c>
      <c r="G20" s="22" t="s">
        <v>210</v>
      </c>
      <c r="H20" t="s">
        <v>211</v>
      </c>
      <c r="P20" t="s">
        <v>212</v>
      </c>
    </row>
    <row r="21" spans="1:16" x14ac:dyDescent="0.25">
      <c r="A21" s="22">
        <v>23</v>
      </c>
      <c r="B21" t="s">
        <v>213</v>
      </c>
      <c r="G21" s="22" t="s">
        <v>214</v>
      </c>
      <c r="H21" t="s">
        <v>215</v>
      </c>
      <c r="P21" t="s">
        <v>216</v>
      </c>
    </row>
    <row r="22" spans="1:16" x14ac:dyDescent="0.25">
      <c r="A22" s="22">
        <v>19</v>
      </c>
      <c r="B22" t="s">
        <v>217</v>
      </c>
      <c r="G22" s="22" t="s">
        <v>218</v>
      </c>
      <c r="H22" t="s">
        <v>219</v>
      </c>
      <c r="P22" t="s">
        <v>220</v>
      </c>
    </row>
    <row r="23" spans="1:16" x14ac:dyDescent="0.25">
      <c r="A23" s="22">
        <v>20</v>
      </c>
      <c r="B23" t="s">
        <v>221</v>
      </c>
      <c r="G23" s="22" t="s">
        <v>222</v>
      </c>
      <c r="H23" t="s">
        <v>223</v>
      </c>
      <c r="P23" t="s">
        <v>224</v>
      </c>
    </row>
    <row r="24" spans="1:16" x14ac:dyDescent="0.25">
      <c r="A24" s="22">
        <v>21</v>
      </c>
      <c r="B24" t="s">
        <v>225</v>
      </c>
      <c r="G24" s="22" t="s">
        <v>226</v>
      </c>
      <c r="H24" t="s">
        <v>227</v>
      </c>
      <c r="P24" t="s">
        <v>228</v>
      </c>
    </row>
    <row r="25" spans="1:16" x14ac:dyDescent="0.25">
      <c r="A25" s="22">
        <v>22</v>
      </c>
      <c r="B25" t="s">
        <v>229</v>
      </c>
      <c r="G25" s="22" t="s">
        <v>230</v>
      </c>
      <c r="H25" t="s">
        <v>231</v>
      </c>
      <c r="P25" t="s">
        <v>232</v>
      </c>
    </row>
    <row r="26" spans="1:16" x14ac:dyDescent="0.25">
      <c r="A26" s="22"/>
      <c r="G26" s="22" t="s">
        <v>233</v>
      </c>
      <c r="H26" t="s">
        <v>234</v>
      </c>
      <c r="P26" t="s">
        <v>235</v>
      </c>
    </row>
    <row r="27" spans="1:16" x14ac:dyDescent="0.25">
      <c r="A27" s="22"/>
      <c r="G27" s="22" t="s">
        <v>236</v>
      </c>
      <c r="H27" t="s">
        <v>237</v>
      </c>
      <c r="P27" t="s">
        <v>238</v>
      </c>
    </row>
    <row r="28" spans="1:16" x14ac:dyDescent="0.25">
      <c r="A28" s="22"/>
      <c r="G28" s="22" t="s">
        <v>239</v>
      </c>
      <c r="H28" t="s">
        <v>240</v>
      </c>
      <c r="P28" t="s">
        <v>241</v>
      </c>
    </row>
    <row r="29" spans="1:16" x14ac:dyDescent="0.25">
      <c r="A29" s="22"/>
      <c r="G29" s="22" t="s">
        <v>242</v>
      </c>
      <c r="H29" t="s">
        <v>243</v>
      </c>
      <c r="P29" t="s">
        <v>244</v>
      </c>
    </row>
    <row r="30" spans="1:16" x14ac:dyDescent="0.25">
      <c r="A30" s="22"/>
      <c r="G30" s="22" t="s">
        <v>245</v>
      </c>
      <c r="H30" t="s">
        <v>246</v>
      </c>
      <c r="P30" t="s">
        <v>247</v>
      </c>
    </row>
    <row r="31" spans="1:16" x14ac:dyDescent="0.25">
      <c r="A31" s="22"/>
      <c r="G31" s="22" t="s">
        <v>248</v>
      </c>
      <c r="H31" t="s">
        <v>249</v>
      </c>
      <c r="P31" t="s">
        <v>250</v>
      </c>
    </row>
    <row r="32" spans="1:16" x14ac:dyDescent="0.25">
      <c r="A32" s="22"/>
      <c r="G32" s="22" t="s">
        <v>251</v>
      </c>
      <c r="H32" t="s">
        <v>252</v>
      </c>
      <c r="P32" t="s">
        <v>253</v>
      </c>
    </row>
    <row r="33" spans="1:16" x14ac:dyDescent="0.25">
      <c r="A33" s="22"/>
      <c r="G33" s="22" t="s">
        <v>254</v>
      </c>
      <c r="H33" t="s">
        <v>255</v>
      </c>
      <c r="P33" t="s">
        <v>256</v>
      </c>
    </row>
    <row r="34" spans="1:16" x14ac:dyDescent="0.25">
      <c r="A34" s="22"/>
      <c r="G34" s="22" t="s">
        <v>257</v>
      </c>
      <c r="H34" t="s">
        <v>258</v>
      </c>
      <c r="P34" t="s">
        <v>259</v>
      </c>
    </row>
    <row r="35" spans="1:16" x14ac:dyDescent="0.25">
      <c r="A35" s="22"/>
      <c r="G35" s="22" t="s">
        <v>260</v>
      </c>
      <c r="H35" t="s">
        <v>261</v>
      </c>
      <c r="P35" t="s">
        <v>262</v>
      </c>
    </row>
    <row r="36" spans="1:16" x14ac:dyDescent="0.25">
      <c r="A36" s="22"/>
      <c r="G36" s="22" t="s">
        <v>263</v>
      </c>
      <c r="H36" t="s">
        <v>264</v>
      </c>
      <c r="P36" t="s">
        <v>265</v>
      </c>
    </row>
    <row r="37" spans="1:16" x14ac:dyDescent="0.25">
      <c r="A37" s="22"/>
      <c r="G37" s="22" t="s">
        <v>266</v>
      </c>
      <c r="H37" t="s">
        <v>267</v>
      </c>
      <c r="P37" t="s">
        <v>268</v>
      </c>
    </row>
    <row r="38" spans="1:16" x14ac:dyDescent="0.25">
      <c r="A38" s="22"/>
      <c r="G38" s="22" t="s">
        <v>269</v>
      </c>
      <c r="H38" t="s">
        <v>270</v>
      </c>
      <c r="P38" t="s">
        <v>271</v>
      </c>
    </row>
    <row r="39" spans="1:16" x14ac:dyDescent="0.25">
      <c r="A39" s="22"/>
      <c r="G39" s="22" t="s">
        <v>272</v>
      </c>
      <c r="H39" t="s">
        <v>273</v>
      </c>
      <c r="P39" t="s">
        <v>274</v>
      </c>
    </row>
    <row r="40" spans="1:16" x14ac:dyDescent="0.25">
      <c r="A40" s="22"/>
      <c r="G40" s="22" t="s">
        <v>275</v>
      </c>
      <c r="H40" t="s">
        <v>276</v>
      </c>
      <c r="P40" t="s">
        <v>277</v>
      </c>
    </row>
    <row r="41" spans="1:16" x14ac:dyDescent="0.25">
      <c r="A41" s="22"/>
      <c r="G41" s="22" t="s">
        <v>278</v>
      </c>
      <c r="H41" t="s">
        <v>279</v>
      </c>
      <c r="P41" t="s">
        <v>280</v>
      </c>
    </row>
    <row r="42" spans="1:16" x14ac:dyDescent="0.25">
      <c r="A42" s="22"/>
      <c r="G42" s="22" t="s">
        <v>281</v>
      </c>
      <c r="H42" t="s">
        <v>282</v>
      </c>
      <c r="P42" t="s">
        <v>283</v>
      </c>
    </row>
    <row r="43" spans="1:16" x14ac:dyDescent="0.25">
      <c r="A43" s="22"/>
      <c r="G43" s="22" t="s">
        <v>284</v>
      </c>
      <c r="H43" t="s">
        <v>285</v>
      </c>
      <c r="P43" t="s">
        <v>286</v>
      </c>
    </row>
    <row r="44" spans="1:16" x14ac:dyDescent="0.25">
      <c r="A44" s="22"/>
      <c r="G44" s="22" t="s">
        <v>287</v>
      </c>
      <c r="H44" t="s">
        <v>288</v>
      </c>
      <c r="P44" t="s">
        <v>289</v>
      </c>
    </row>
    <row r="45" spans="1:16" x14ac:dyDescent="0.25">
      <c r="A45" s="22"/>
      <c r="G45" s="22" t="s">
        <v>290</v>
      </c>
      <c r="H45" t="s">
        <v>291</v>
      </c>
      <c r="P45" t="s">
        <v>292</v>
      </c>
    </row>
    <row r="46" spans="1:16" x14ac:dyDescent="0.25">
      <c r="G46" s="22" t="s">
        <v>154</v>
      </c>
      <c r="H46" t="s">
        <v>155</v>
      </c>
      <c r="P46" t="s">
        <v>293</v>
      </c>
    </row>
    <row r="47" spans="1:16" x14ac:dyDescent="0.25">
      <c r="G47" s="22" t="s">
        <v>294</v>
      </c>
      <c r="H47" t="s">
        <v>295</v>
      </c>
      <c r="P47" t="s">
        <v>296</v>
      </c>
    </row>
    <row r="48" spans="1:16" x14ac:dyDescent="0.25">
      <c r="G48" s="22" t="s">
        <v>297</v>
      </c>
      <c r="H48" t="s">
        <v>298</v>
      </c>
      <c r="P48" t="s">
        <v>299</v>
      </c>
    </row>
    <row r="49" spans="7:16" x14ac:dyDescent="0.25">
      <c r="G49" s="22" t="s">
        <v>300</v>
      </c>
      <c r="H49" t="s">
        <v>301</v>
      </c>
      <c r="P49" t="s">
        <v>302</v>
      </c>
    </row>
    <row r="50" spans="7:16" x14ac:dyDescent="0.25">
      <c r="G50" s="22" t="s">
        <v>303</v>
      </c>
      <c r="H50" t="s">
        <v>304</v>
      </c>
      <c r="P50" t="s">
        <v>305</v>
      </c>
    </row>
    <row r="51" spans="7:16" x14ac:dyDescent="0.25">
      <c r="G51" s="22" t="s">
        <v>306</v>
      </c>
      <c r="H51" t="s">
        <v>307</v>
      </c>
      <c r="P51" t="s">
        <v>308</v>
      </c>
    </row>
    <row r="52" spans="7:16" x14ac:dyDescent="0.25">
      <c r="G52" s="22" t="s">
        <v>309</v>
      </c>
      <c r="H52" t="s">
        <v>310</v>
      </c>
      <c r="P52" t="s">
        <v>311</v>
      </c>
    </row>
    <row r="53" spans="7:16" x14ac:dyDescent="0.25">
      <c r="G53" s="22" t="s">
        <v>312</v>
      </c>
      <c r="H53" t="s">
        <v>313</v>
      </c>
      <c r="P53" t="s">
        <v>314</v>
      </c>
    </row>
    <row r="54" spans="7:16" x14ac:dyDescent="0.25">
      <c r="G54" s="22" t="s">
        <v>315</v>
      </c>
      <c r="H54" t="s">
        <v>316</v>
      </c>
      <c r="P54" t="s">
        <v>317</v>
      </c>
    </row>
    <row r="55" spans="7:16" x14ac:dyDescent="0.25">
      <c r="G55" s="22" t="s">
        <v>318</v>
      </c>
      <c r="H55" t="s">
        <v>319</v>
      </c>
      <c r="P55" t="s">
        <v>149</v>
      </c>
    </row>
    <row r="56" spans="7:16" x14ac:dyDescent="0.25">
      <c r="G56" s="22" t="s">
        <v>320</v>
      </c>
      <c r="H56" t="s">
        <v>321</v>
      </c>
      <c r="P56" t="s">
        <v>322</v>
      </c>
    </row>
    <row r="57" spans="7:16" x14ac:dyDescent="0.25">
      <c r="G57" s="22" t="s">
        <v>323</v>
      </c>
      <c r="H57" t="s">
        <v>324</v>
      </c>
      <c r="P57" t="s">
        <v>325</v>
      </c>
    </row>
    <row r="58" spans="7:16" x14ac:dyDescent="0.25">
      <c r="G58" s="22" t="s">
        <v>326</v>
      </c>
      <c r="H58" t="s">
        <v>327</v>
      </c>
      <c r="P58" t="s">
        <v>153</v>
      </c>
    </row>
    <row r="59" spans="7:16" x14ac:dyDescent="0.25">
      <c r="G59" s="22" t="s">
        <v>328</v>
      </c>
      <c r="H59" t="s">
        <v>329</v>
      </c>
      <c r="P59" t="s">
        <v>330</v>
      </c>
    </row>
    <row r="60" spans="7:16" x14ac:dyDescent="0.25">
      <c r="G60" s="22" t="s">
        <v>331</v>
      </c>
      <c r="H60" t="s">
        <v>332</v>
      </c>
      <c r="P60" t="s">
        <v>333</v>
      </c>
    </row>
    <row r="61" spans="7:16" x14ac:dyDescent="0.25">
      <c r="G61" s="22" t="s">
        <v>334</v>
      </c>
      <c r="H61" t="s">
        <v>335</v>
      </c>
      <c r="P61" t="s">
        <v>336</v>
      </c>
    </row>
    <row r="62" spans="7:16" x14ac:dyDescent="0.25">
      <c r="G62" s="22" t="s">
        <v>337</v>
      </c>
      <c r="H62" t="s">
        <v>338</v>
      </c>
      <c r="P62" t="s">
        <v>339</v>
      </c>
    </row>
    <row r="63" spans="7:16" x14ac:dyDescent="0.25">
      <c r="G63" s="22" t="s">
        <v>340</v>
      </c>
      <c r="H63" t="s">
        <v>341</v>
      </c>
      <c r="P63" t="s">
        <v>342</v>
      </c>
    </row>
    <row r="64" spans="7:16" x14ac:dyDescent="0.25">
      <c r="G64" s="22" t="s">
        <v>343</v>
      </c>
      <c r="H64" t="s">
        <v>344</v>
      </c>
      <c r="P64" t="s">
        <v>345</v>
      </c>
    </row>
    <row r="65" spans="7:16" x14ac:dyDescent="0.25">
      <c r="G65" s="22" t="s">
        <v>346</v>
      </c>
      <c r="H65" t="s">
        <v>347</v>
      </c>
      <c r="P65" t="s">
        <v>348</v>
      </c>
    </row>
    <row r="66" spans="7:16" x14ac:dyDescent="0.25">
      <c r="G66" s="22" t="s">
        <v>349</v>
      </c>
      <c r="H66" t="s">
        <v>350</v>
      </c>
      <c r="P66" t="s">
        <v>351</v>
      </c>
    </row>
    <row r="67" spans="7:16" x14ac:dyDescent="0.25">
      <c r="G67" s="22" t="s">
        <v>352</v>
      </c>
      <c r="H67" t="s">
        <v>353</v>
      </c>
      <c r="P67" t="s">
        <v>354</v>
      </c>
    </row>
    <row r="68" spans="7:16" x14ac:dyDescent="0.25">
      <c r="G68" s="22" t="s">
        <v>355</v>
      </c>
      <c r="H68" t="s">
        <v>356</v>
      </c>
      <c r="P68" t="s">
        <v>357</v>
      </c>
    </row>
    <row r="69" spans="7:16" x14ac:dyDescent="0.25">
      <c r="G69" s="22" t="s">
        <v>358</v>
      </c>
      <c r="H69" t="s">
        <v>359</v>
      </c>
      <c r="P69" t="s">
        <v>360</v>
      </c>
    </row>
    <row r="70" spans="7:16" x14ac:dyDescent="0.25">
      <c r="G70" s="22" t="s">
        <v>361</v>
      </c>
      <c r="H70" t="s">
        <v>362</v>
      </c>
      <c r="P70" t="s">
        <v>363</v>
      </c>
    </row>
    <row r="71" spans="7:16" x14ac:dyDescent="0.25">
      <c r="G71" s="22" t="s">
        <v>364</v>
      </c>
      <c r="H71" t="s">
        <v>365</v>
      </c>
      <c r="P71" t="s">
        <v>366</v>
      </c>
    </row>
    <row r="72" spans="7:16" x14ac:dyDescent="0.25">
      <c r="G72" s="22" t="s">
        <v>367</v>
      </c>
      <c r="H72" t="s">
        <v>368</v>
      </c>
      <c r="P72" t="s">
        <v>369</v>
      </c>
    </row>
    <row r="73" spans="7:16" x14ac:dyDescent="0.25">
      <c r="G73" s="22" t="s">
        <v>370</v>
      </c>
      <c r="H73" t="s">
        <v>371</v>
      </c>
      <c r="P73" t="s">
        <v>372</v>
      </c>
    </row>
    <row r="74" spans="7:16" x14ac:dyDescent="0.25">
      <c r="G74" s="22" t="s">
        <v>373</v>
      </c>
      <c r="H74" t="s">
        <v>374</v>
      </c>
      <c r="P74" t="s">
        <v>375</v>
      </c>
    </row>
    <row r="75" spans="7:16" x14ac:dyDescent="0.25">
      <c r="G75" s="22" t="s">
        <v>376</v>
      </c>
      <c r="H75" t="s">
        <v>377</v>
      </c>
      <c r="P75" t="s">
        <v>378</v>
      </c>
    </row>
    <row r="76" spans="7:16" x14ac:dyDescent="0.25">
      <c r="G76" s="22" t="s">
        <v>379</v>
      </c>
      <c r="H76" t="s">
        <v>380</v>
      </c>
      <c r="P76" t="s">
        <v>381</v>
      </c>
    </row>
    <row r="77" spans="7:16" x14ac:dyDescent="0.25">
      <c r="G77" s="22" t="s">
        <v>382</v>
      </c>
      <c r="H77" t="s">
        <v>383</v>
      </c>
      <c r="P77" t="s">
        <v>384</v>
      </c>
    </row>
    <row r="78" spans="7:16" x14ac:dyDescent="0.25">
      <c r="G78" s="22" t="s">
        <v>385</v>
      </c>
      <c r="H78" t="s">
        <v>386</v>
      </c>
      <c r="P78" t="s">
        <v>387</v>
      </c>
    </row>
    <row r="79" spans="7:16" x14ac:dyDescent="0.25">
      <c r="G79" s="22" t="s">
        <v>388</v>
      </c>
      <c r="H79" t="s">
        <v>389</v>
      </c>
      <c r="P79" t="s">
        <v>390</v>
      </c>
    </row>
    <row r="80" spans="7:16" x14ac:dyDescent="0.25">
      <c r="G80" s="22" t="s">
        <v>391</v>
      </c>
      <c r="H80" t="s">
        <v>392</v>
      </c>
      <c r="P80" t="s">
        <v>393</v>
      </c>
    </row>
    <row r="81" spans="7:16" x14ac:dyDescent="0.25">
      <c r="G81" s="22" t="s">
        <v>394</v>
      </c>
      <c r="H81" t="s">
        <v>395</v>
      </c>
      <c r="P81" t="s">
        <v>396</v>
      </c>
    </row>
    <row r="82" spans="7:16" x14ac:dyDescent="0.25">
      <c r="G82" s="22" t="s">
        <v>397</v>
      </c>
      <c r="H82" t="s">
        <v>398</v>
      </c>
      <c r="P82" t="s">
        <v>399</v>
      </c>
    </row>
    <row r="83" spans="7:16" x14ac:dyDescent="0.25">
      <c r="G83" s="22" t="s">
        <v>400</v>
      </c>
      <c r="H83" t="s">
        <v>401</v>
      </c>
      <c r="P83" t="s">
        <v>402</v>
      </c>
    </row>
    <row r="84" spans="7:16" x14ac:dyDescent="0.25">
      <c r="G84" s="22" t="s">
        <v>403</v>
      </c>
      <c r="H84" t="s">
        <v>404</v>
      </c>
      <c r="P84" t="s">
        <v>405</v>
      </c>
    </row>
    <row r="85" spans="7:16" x14ac:dyDescent="0.25">
      <c r="G85" s="22" t="s">
        <v>406</v>
      </c>
      <c r="H85" t="s">
        <v>407</v>
      </c>
      <c r="P85" t="s">
        <v>408</v>
      </c>
    </row>
    <row r="86" spans="7:16" x14ac:dyDescent="0.25">
      <c r="G86" s="22" t="s">
        <v>409</v>
      </c>
      <c r="H86" t="s">
        <v>410</v>
      </c>
      <c r="P86" t="s">
        <v>411</v>
      </c>
    </row>
    <row r="87" spans="7:16" x14ac:dyDescent="0.25">
      <c r="G87" s="22" t="s">
        <v>412</v>
      </c>
      <c r="H87" t="s">
        <v>413</v>
      </c>
      <c r="P87" t="s">
        <v>414</v>
      </c>
    </row>
    <row r="88" spans="7:16" x14ac:dyDescent="0.25">
      <c r="G88" s="22" t="s">
        <v>415</v>
      </c>
      <c r="H88" t="s">
        <v>416</v>
      </c>
      <c r="P88" t="s">
        <v>417</v>
      </c>
    </row>
    <row r="89" spans="7:16" x14ac:dyDescent="0.25">
      <c r="G89" s="22" t="s">
        <v>418</v>
      </c>
      <c r="H89" t="s">
        <v>419</v>
      </c>
      <c r="P89" t="s">
        <v>420</v>
      </c>
    </row>
    <row r="90" spans="7:16" x14ac:dyDescent="0.25">
      <c r="G90" s="22" t="s">
        <v>421</v>
      </c>
      <c r="H90" t="s">
        <v>422</v>
      </c>
      <c r="P90" t="s">
        <v>423</v>
      </c>
    </row>
    <row r="91" spans="7:16" x14ac:dyDescent="0.25">
      <c r="G91" s="22" t="s">
        <v>424</v>
      </c>
      <c r="H91" t="s">
        <v>425</v>
      </c>
      <c r="P91" t="s">
        <v>426</v>
      </c>
    </row>
    <row r="92" spans="7:16" x14ac:dyDescent="0.25">
      <c r="G92" s="22" t="s">
        <v>427</v>
      </c>
      <c r="H92" t="s">
        <v>428</v>
      </c>
      <c r="P92" t="s">
        <v>429</v>
      </c>
    </row>
    <row r="93" spans="7:16" x14ac:dyDescent="0.25">
      <c r="G93" s="22" t="s">
        <v>430</v>
      </c>
      <c r="H93" t="s">
        <v>431</v>
      </c>
      <c r="P93" t="s">
        <v>432</v>
      </c>
    </row>
    <row r="94" spans="7:16" x14ac:dyDescent="0.25">
      <c r="G94" s="22" t="s">
        <v>433</v>
      </c>
      <c r="H94" t="s">
        <v>434</v>
      </c>
      <c r="P94" t="s">
        <v>435</v>
      </c>
    </row>
    <row r="95" spans="7:16" x14ac:dyDescent="0.25">
      <c r="G95" s="22" t="s">
        <v>436</v>
      </c>
      <c r="H95" t="s">
        <v>437</v>
      </c>
      <c r="P95" t="s">
        <v>438</v>
      </c>
    </row>
    <row r="96" spans="7:16" x14ac:dyDescent="0.25">
      <c r="G96" s="22" t="s">
        <v>439</v>
      </c>
      <c r="H96" t="s">
        <v>440</v>
      </c>
      <c r="P96" t="s">
        <v>441</v>
      </c>
    </row>
    <row r="97" spans="7:16" x14ac:dyDescent="0.25">
      <c r="G97" s="22" t="s">
        <v>442</v>
      </c>
      <c r="H97" t="s">
        <v>443</v>
      </c>
      <c r="P97" t="s">
        <v>444</v>
      </c>
    </row>
    <row r="98" spans="7:16" x14ac:dyDescent="0.25">
      <c r="G98" s="22" t="s">
        <v>445</v>
      </c>
      <c r="H98" t="s">
        <v>446</v>
      </c>
      <c r="P98" t="s">
        <v>447</v>
      </c>
    </row>
    <row r="99" spans="7:16" x14ac:dyDescent="0.25">
      <c r="G99" s="22" t="s">
        <v>448</v>
      </c>
      <c r="H99" t="s">
        <v>449</v>
      </c>
      <c r="P99" t="s">
        <v>450</v>
      </c>
    </row>
    <row r="100" spans="7:16" x14ac:dyDescent="0.25">
      <c r="G100" s="22" t="s">
        <v>451</v>
      </c>
      <c r="H100" t="s">
        <v>452</v>
      </c>
      <c r="P100" t="s">
        <v>453</v>
      </c>
    </row>
    <row r="101" spans="7:16" x14ac:dyDescent="0.25">
      <c r="G101" s="22" t="s">
        <v>454</v>
      </c>
      <c r="H101" t="s">
        <v>455</v>
      </c>
      <c r="P101" t="s">
        <v>456</v>
      </c>
    </row>
    <row r="102" spans="7:16" x14ac:dyDescent="0.25">
      <c r="G102" s="22" t="s">
        <v>457</v>
      </c>
      <c r="H102" t="s">
        <v>458</v>
      </c>
      <c r="P102" t="s">
        <v>459</v>
      </c>
    </row>
    <row r="103" spans="7:16" x14ac:dyDescent="0.25">
      <c r="G103" s="22" t="s">
        <v>460</v>
      </c>
      <c r="H103" t="s">
        <v>461</v>
      </c>
      <c r="P103" t="s">
        <v>462</v>
      </c>
    </row>
    <row r="104" spans="7:16" x14ac:dyDescent="0.25">
      <c r="G104" s="22" t="s">
        <v>463</v>
      </c>
      <c r="H104" t="s">
        <v>464</v>
      </c>
      <c r="P104" t="s">
        <v>465</v>
      </c>
    </row>
    <row r="105" spans="7:16" x14ac:dyDescent="0.25">
      <c r="G105" s="22" t="s">
        <v>466</v>
      </c>
      <c r="H105" t="s">
        <v>467</v>
      </c>
      <c r="P105" t="s">
        <v>468</v>
      </c>
    </row>
    <row r="106" spans="7:16" x14ac:dyDescent="0.25">
      <c r="G106" s="22" t="s">
        <v>469</v>
      </c>
      <c r="H106" t="s">
        <v>470</v>
      </c>
      <c r="P106" t="s">
        <v>471</v>
      </c>
    </row>
    <row r="107" spans="7:16" x14ac:dyDescent="0.25">
      <c r="G107" s="22" t="s">
        <v>472</v>
      </c>
      <c r="H107" t="s">
        <v>473</v>
      </c>
      <c r="P107" t="s">
        <v>474</v>
      </c>
    </row>
    <row r="108" spans="7:16" x14ac:dyDescent="0.25">
      <c r="G108" s="22" t="s">
        <v>475</v>
      </c>
      <c r="H108" t="s">
        <v>476</v>
      </c>
      <c r="P108" t="s">
        <v>477</v>
      </c>
    </row>
    <row r="109" spans="7:16" x14ac:dyDescent="0.25">
      <c r="G109" s="22" t="s">
        <v>478</v>
      </c>
      <c r="H109" t="s">
        <v>479</v>
      </c>
      <c r="P109" t="s">
        <v>480</v>
      </c>
    </row>
    <row r="110" spans="7:16" x14ac:dyDescent="0.25">
      <c r="G110" s="22" t="s">
        <v>481</v>
      </c>
      <c r="H110" t="s">
        <v>482</v>
      </c>
      <c r="P110" t="s">
        <v>483</v>
      </c>
    </row>
    <row r="111" spans="7:16" x14ac:dyDescent="0.25">
      <c r="G111" s="22" t="s">
        <v>484</v>
      </c>
      <c r="H111" t="s">
        <v>485</v>
      </c>
      <c r="P111" t="s">
        <v>486</v>
      </c>
    </row>
    <row r="112" spans="7:16" x14ac:dyDescent="0.25">
      <c r="G112" s="22" t="s">
        <v>487</v>
      </c>
      <c r="H112" t="s">
        <v>488</v>
      </c>
      <c r="P112" t="s">
        <v>489</v>
      </c>
    </row>
    <row r="113" spans="7:16" x14ac:dyDescent="0.25">
      <c r="G113" s="22" t="s">
        <v>490</v>
      </c>
      <c r="H113" t="s">
        <v>491</v>
      </c>
      <c r="P113" t="s">
        <v>492</v>
      </c>
    </row>
    <row r="114" spans="7:16" x14ac:dyDescent="0.25">
      <c r="G114" s="22" t="s">
        <v>493</v>
      </c>
      <c r="H114" t="s">
        <v>494</v>
      </c>
      <c r="P114" t="s">
        <v>495</v>
      </c>
    </row>
    <row r="115" spans="7:16" x14ac:dyDescent="0.25">
      <c r="G115" s="22" t="s">
        <v>496</v>
      </c>
      <c r="H115" t="s">
        <v>497</v>
      </c>
      <c r="P115" t="s">
        <v>498</v>
      </c>
    </row>
    <row r="116" spans="7:16" x14ac:dyDescent="0.25">
      <c r="G116" s="22" t="s">
        <v>499</v>
      </c>
      <c r="H116" t="s">
        <v>500</v>
      </c>
      <c r="P116" t="s">
        <v>501</v>
      </c>
    </row>
    <row r="117" spans="7:16" x14ac:dyDescent="0.25">
      <c r="G117" s="22" t="s">
        <v>502</v>
      </c>
      <c r="H117" t="s">
        <v>503</v>
      </c>
      <c r="P117" t="s">
        <v>504</v>
      </c>
    </row>
    <row r="118" spans="7:16" x14ac:dyDescent="0.25">
      <c r="G118" s="22" t="s">
        <v>505</v>
      </c>
      <c r="H118" t="s">
        <v>506</v>
      </c>
      <c r="P118" t="s">
        <v>507</v>
      </c>
    </row>
    <row r="119" spans="7:16" x14ac:dyDescent="0.25">
      <c r="G119" s="22" t="s">
        <v>508</v>
      </c>
      <c r="H119" t="s">
        <v>509</v>
      </c>
      <c r="P119" t="s">
        <v>510</v>
      </c>
    </row>
    <row r="120" spans="7:16" x14ac:dyDescent="0.25">
      <c r="G120" s="22" t="s">
        <v>511</v>
      </c>
      <c r="H120" t="s">
        <v>512</v>
      </c>
      <c r="P120" t="s">
        <v>513</v>
      </c>
    </row>
    <row r="121" spans="7:16" x14ac:dyDescent="0.25">
      <c r="G121" s="22" t="s">
        <v>514</v>
      </c>
      <c r="H121" t="s">
        <v>515</v>
      </c>
      <c r="P121" t="s">
        <v>516</v>
      </c>
    </row>
    <row r="122" spans="7:16" x14ac:dyDescent="0.25">
      <c r="G122" s="22" t="s">
        <v>517</v>
      </c>
      <c r="H122" t="s">
        <v>518</v>
      </c>
      <c r="P122" t="s">
        <v>519</v>
      </c>
    </row>
    <row r="123" spans="7:16" x14ac:dyDescent="0.25">
      <c r="G123" s="22" t="s">
        <v>520</v>
      </c>
      <c r="H123" t="s">
        <v>521</v>
      </c>
      <c r="P123" t="s">
        <v>522</v>
      </c>
    </row>
    <row r="124" spans="7:16" x14ac:dyDescent="0.25">
      <c r="G124" s="22" t="s">
        <v>523</v>
      </c>
      <c r="H124" t="s">
        <v>524</v>
      </c>
      <c r="P124" t="s">
        <v>525</v>
      </c>
    </row>
    <row r="125" spans="7:16" x14ac:dyDescent="0.25">
      <c r="G125" s="22" t="s">
        <v>526</v>
      </c>
      <c r="H125" t="s">
        <v>527</v>
      </c>
      <c r="P125" t="s">
        <v>528</v>
      </c>
    </row>
    <row r="126" spans="7:16" x14ac:dyDescent="0.25">
      <c r="G126" s="22" t="s">
        <v>529</v>
      </c>
      <c r="H126" t="s">
        <v>530</v>
      </c>
      <c r="P126" t="s">
        <v>531</v>
      </c>
    </row>
    <row r="127" spans="7:16" x14ac:dyDescent="0.25">
      <c r="G127" s="22" t="s">
        <v>532</v>
      </c>
      <c r="H127" t="s">
        <v>533</v>
      </c>
      <c r="P127" t="s">
        <v>534</v>
      </c>
    </row>
    <row r="128" spans="7:16" x14ac:dyDescent="0.25">
      <c r="G128" s="22" t="s">
        <v>535</v>
      </c>
      <c r="H128" t="s">
        <v>536</v>
      </c>
      <c r="P128" t="s">
        <v>537</v>
      </c>
    </row>
    <row r="129" spans="7:16" x14ac:dyDescent="0.25">
      <c r="G129" s="22" t="s">
        <v>538</v>
      </c>
      <c r="H129" t="s">
        <v>539</v>
      </c>
      <c r="P129" t="s">
        <v>540</v>
      </c>
    </row>
    <row r="130" spans="7:16" x14ac:dyDescent="0.25">
      <c r="G130" s="22" t="s">
        <v>541</v>
      </c>
      <c r="H130" t="s">
        <v>542</v>
      </c>
      <c r="P130" t="s">
        <v>543</v>
      </c>
    </row>
    <row r="131" spans="7:16" x14ac:dyDescent="0.25">
      <c r="G131" s="22" t="s">
        <v>544</v>
      </c>
      <c r="H131" t="s">
        <v>545</v>
      </c>
      <c r="P131" t="s">
        <v>546</v>
      </c>
    </row>
    <row r="132" spans="7:16" x14ac:dyDescent="0.25">
      <c r="G132" s="22" t="s">
        <v>547</v>
      </c>
      <c r="H132" t="s">
        <v>548</v>
      </c>
      <c r="P132" t="s">
        <v>549</v>
      </c>
    </row>
    <row r="133" spans="7:16" x14ac:dyDescent="0.25">
      <c r="G133" s="22" t="s">
        <v>550</v>
      </c>
      <c r="H133" t="s">
        <v>551</v>
      </c>
      <c r="P133" t="s">
        <v>552</v>
      </c>
    </row>
    <row r="134" spans="7:16" x14ac:dyDescent="0.25">
      <c r="G134" s="22" t="s">
        <v>553</v>
      </c>
      <c r="H134" t="s">
        <v>554</v>
      </c>
      <c r="P134" t="s">
        <v>555</v>
      </c>
    </row>
    <row r="135" spans="7:16" x14ac:dyDescent="0.25">
      <c r="G135" s="22" t="s">
        <v>556</v>
      </c>
      <c r="H135" t="s">
        <v>557</v>
      </c>
      <c r="P135" t="s">
        <v>558</v>
      </c>
    </row>
    <row r="136" spans="7:16" x14ac:dyDescent="0.25">
      <c r="G136" s="22" t="s">
        <v>559</v>
      </c>
      <c r="H136" t="s">
        <v>560</v>
      </c>
      <c r="P136" t="s">
        <v>561</v>
      </c>
    </row>
    <row r="137" spans="7:16" x14ac:dyDescent="0.25">
      <c r="G137" s="22" t="s">
        <v>562</v>
      </c>
      <c r="H137" t="s">
        <v>563</v>
      </c>
      <c r="P137" t="s">
        <v>564</v>
      </c>
    </row>
    <row r="138" spans="7:16" x14ac:dyDescent="0.25">
      <c r="G138" s="22" t="s">
        <v>565</v>
      </c>
      <c r="H138" t="s">
        <v>566</v>
      </c>
      <c r="P138" t="s">
        <v>567</v>
      </c>
    </row>
    <row r="139" spans="7:16" x14ac:dyDescent="0.25">
      <c r="G139" s="22" t="s">
        <v>568</v>
      </c>
      <c r="H139" t="s">
        <v>569</v>
      </c>
      <c r="P139" t="s">
        <v>570</v>
      </c>
    </row>
    <row r="140" spans="7:16" x14ac:dyDescent="0.25">
      <c r="G140" s="22" t="s">
        <v>571</v>
      </c>
      <c r="H140" t="s">
        <v>572</v>
      </c>
      <c r="P140" t="s">
        <v>573</v>
      </c>
    </row>
    <row r="141" spans="7:16" x14ac:dyDescent="0.25">
      <c r="G141" s="22" t="s">
        <v>574</v>
      </c>
      <c r="H141" t="s">
        <v>575</v>
      </c>
      <c r="P141" t="s">
        <v>576</v>
      </c>
    </row>
    <row r="142" spans="7:16" x14ac:dyDescent="0.25">
      <c r="G142" s="22" t="s">
        <v>577</v>
      </c>
      <c r="H142" t="s">
        <v>578</v>
      </c>
      <c r="P142" t="s">
        <v>579</v>
      </c>
    </row>
    <row r="143" spans="7:16" x14ac:dyDescent="0.25">
      <c r="G143" s="22" t="s">
        <v>580</v>
      </c>
      <c r="H143" t="s">
        <v>581</v>
      </c>
      <c r="P143" t="s">
        <v>582</v>
      </c>
    </row>
    <row r="144" spans="7:16" x14ac:dyDescent="0.25">
      <c r="G144" s="22" t="s">
        <v>583</v>
      </c>
      <c r="H144" t="s">
        <v>584</v>
      </c>
      <c r="P144" t="s">
        <v>585</v>
      </c>
    </row>
    <row r="145" spans="7:16" x14ac:dyDescent="0.25">
      <c r="G145" s="22" t="s">
        <v>586</v>
      </c>
      <c r="H145" t="s">
        <v>587</v>
      </c>
      <c r="P145" t="s">
        <v>588</v>
      </c>
    </row>
    <row r="146" spans="7:16" x14ac:dyDescent="0.25">
      <c r="G146" s="22" t="s">
        <v>589</v>
      </c>
      <c r="H146" t="s">
        <v>590</v>
      </c>
      <c r="P146" t="s">
        <v>591</v>
      </c>
    </row>
    <row r="147" spans="7:16" x14ac:dyDescent="0.25">
      <c r="G147" s="22" t="s">
        <v>592</v>
      </c>
      <c r="H147" t="s">
        <v>593</v>
      </c>
      <c r="P147" t="s">
        <v>594</v>
      </c>
    </row>
    <row r="148" spans="7:16" x14ac:dyDescent="0.25">
      <c r="G148" s="22" t="s">
        <v>595</v>
      </c>
      <c r="H148" t="s">
        <v>596</v>
      </c>
      <c r="P148" t="s">
        <v>597</v>
      </c>
    </row>
    <row r="149" spans="7:16" x14ac:dyDescent="0.25">
      <c r="G149" s="22" t="s">
        <v>598</v>
      </c>
      <c r="H149" t="s">
        <v>599</v>
      </c>
      <c r="P149" t="s">
        <v>600</v>
      </c>
    </row>
    <row r="150" spans="7:16" x14ac:dyDescent="0.25">
      <c r="G150" s="22" t="s">
        <v>601</v>
      </c>
      <c r="H150" t="s">
        <v>602</v>
      </c>
      <c r="P150" t="s">
        <v>603</v>
      </c>
    </row>
    <row r="151" spans="7:16" x14ac:dyDescent="0.25">
      <c r="G151" s="22" t="s">
        <v>604</v>
      </c>
      <c r="H151" t="s">
        <v>605</v>
      </c>
      <c r="P151" t="s">
        <v>606</v>
      </c>
    </row>
    <row r="152" spans="7:16" x14ac:dyDescent="0.25">
      <c r="G152" s="22" t="s">
        <v>607</v>
      </c>
      <c r="H152" t="s">
        <v>608</v>
      </c>
      <c r="P152" t="s">
        <v>609</v>
      </c>
    </row>
    <row r="153" spans="7:16" x14ac:dyDescent="0.25">
      <c r="G153" s="22" t="s">
        <v>610</v>
      </c>
      <c r="H153" t="s">
        <v>611</v>
      </c>
      <c r="P153" t="s">
        <v>612</v>
      </c>
    </row>
    <row r="154" spans="7:16" x14ac:dyDescent="0.25">
      <c r="G154" s="22" t="s">
        <v>613</v>
      </c>
      <c r="H154" t="s">
        <v>614</v>
      </c>
      <c r="P154" t="s">
        <v>615</v>
      </c>
    </row>
    <row r="155" spans="7:16" x14ac:dyDescent="0.25">
      <c r="G155" s="22" t="s">
        <v>616</v>
      </c>
      <c r="H155" t="s">
        <v>617</v>
      </c>
      <c r="P155" t="s">
        <v>618</v>
      </c>
    </row>
    <row r="156" spans="7:16" x14ac:dyDescent="0.25">
      <c r="G156" s="22" t="s">
        <v>619</v>
      </c>
      <c r="H156" t="s">
        <v>620</v>
      </c>
      <c r="P156" t="s">
        <v>621</v>
      </c>
    </row>
    <row r="157" spans="7:16" x14ac:dyDescent="0.25">
      <c r="G157" s="22" t="s">
        <v>622</v>
      </c>
      <c r="H157" t="s">
        <v>623</v>
      </c>
      <c r="P157" t="s">
        <v>78</v>
      </c>
    </row>
    <row r="158" spans="7:16" x14ac:dyDescent="0.25">
      <c r="G158" s="22" t="s">
        <v>624</v>
      </c>
      <c r="H158" t="s">
        <v>625</v>
      </c>
      <c r="P158" t="s">
        <v>626</v>
      </c>
    </row>
    <row r="159" spans="7:16" x14ac:dyDescent="0.25">
      <c r="G159" s="22" t="s">
        <v>627</v>
      </c>
      <c r="H159" t="s">
        <v>628</v>
      </c>
      <c r="P159" t="s">
        <v>629</v>
      </c>
    </row>
    <row r="160" spans="7:16" x14ac:dyDescent="0.25">
      <c r="G160" s="22" t="s">
        <v>630</v>
      </c>
      <c r="H160" t="s">
        <v>631</v>
      </c>
      <c r="P160" t="s">
        <v>632</v>
      </c>
    </row>
    <row r="161" spans="7:16" x14ac:dyDescent="0.25">
      <c r="G161" s="22" t="s">
        <v>633</v>
      </c>
      <c r="H161" t="s">
        <v>634</v>
      </c>
      <c r="P161" t="s">
        <v>635</v>
      </c>
    </row>
    <row r="162" spans="7:16" x14ac:dyDescent="0.25">
      <c r="G162" s="22" t="s">
        <v>636</v>
      </c>
      <c r="H162" t="s">
        <v>637</v>
      </c>
      <c r="P162" t="s">
        <v>638</v>
      </c>
    </row>
    <row r="163" spans="7:16" x14ac:dyDescent="0.25">
      <c r="G163" s="22" t="s">
        <v>639</v>
      </c>
      <c r="H163" t="s">
        <v>640</v>
      </c>
      <c r="P163" t="s">
        <v>641</v>
      </c>
    </row>
    <row r="164" spans="7:16" x14ac:dyDescent="0.25">
      <c r="G164" s="22" t="s">
        <v>642</v>
      </c>
      <c r="H164" t="s">
        <v>643</v>
      </c>
    </row>
    <row r="165" spans="7:16" x14ac:dyDescent="0.25">
      <c r="G165" s="22" t="s">
        <v>644</v>
      </c>
      <c r="H165" t="s">
        <v>645</v>
      </c>
    </row>
    <row r="166" spans="7:16" x14ac:dyDescent="0.25">
      <c r="G166" s="22" t="s">
        <v>646</v>
      </c>
      <c r="H166" t="s">
        <v>647</v>
      </c>
    </row>
    <row r="167" spans="7:16" x14ac:dyDescent="0.25">
      <c r="G167" s="22" t="s">
        <v>648</v>
      </c>
      <c r="H167" t="s">
        <v>649</v>
      </c>
    </row>
    <row r="168" spans="7:16" x14ac:dyDescent="0.25">
      <c r="G168" s="22" t="s">
        <v>650</v>
      </c>
      <c r="H168" t="s">
        <v>651</v>
      </c>
    </row>
    <row r="169" spans="7:16" x14ac:dyDescent="0.25">
      <c r="G169" s="22" t="s">
        <v>652</v>
      </c>
      <c r="H169" t="s">
        <v>653</v>
      </c>
    </row>
    <row r="170" spans="7:16" x14ac:dyDescent="0.25">
      <c r="G170" s="22" t="s">
        <v>654</v>
      </c>
      <c r="H170" t="s">
        <v>655</v>
      </c>
    </row>
    <row r="171" spans="7:16" x14ac:dyDescent="0.25">
      <c r="G171" s="22" t="s">
        <v>656</v>
      </c>
      <c r="H171" t="s">
        <v>657</v>
      </c>
    </row>
    <row r="172" spans="7:16" x14ac:dyDescent="0.25">
      <c r="G172" s="22" t="s">
        <v>658</v>
      </c>
      <c r="H172" t="s">
        <v>659</v>
      </c>
    </row>
    <row r="173" spans="7:16" x14ac:dyDescent="0.25">
      <c r="G173" s="22" t="s">
        <v>660</v>
      </c>
      <c r="H173" t="s">
        <v>661</v>
      </c>
    </row>
    <row r="174" spans="7:16" x14ac:dyDescent="0.25">
      <c r="G174" s="22" t="s">
        <v>662</v>
      </c>
      <c r="H174" t="s">
        <v>663</v>
      </c>
    </row>
    <row r="175" spans="7:16" x14ac:dyDescent="0.25">
      <c r="G175" s="22" t="s">
        <v>664</v>
      </c>
      <c r="H175" t="s">
        <v>665</v>
      </c>
    </row>
    <row r="176" spans="7:16" x14ac:dyDescent="0.25">
      <c r="G176" s="22" t="s">
        <v>666</v>
      </c>
      <c r="H176" t="s">
        <v>667</v>
      </c>
    </row>
    <row r="177" spans="7:8" x14ac:dyDescent="0.25">
      <c r="G177" s="22" t="s">
        <v>668</v>
      </c>
      <c r="H177" t="s">
        <v>669</v>
      </c>
    </row>
    <row r="178" spans="7:8" x14ac:dyDescent="0.25">
      <c r="G178" s="22" t="s">
        <v>670</v>
      </c>
      <c r="H178" t="s">
        <v>671</v>
      </c>
    </row>
    <row r="179" spans="7:8" x14ac:dyDescent="0.25">
      <c r="G179" s="22" t="s">
        <v>672</v>
      </c>
      <c r="H179" t="s">
        <v>673</v>
      </c>
    </row>
    <row r="180" spans="7:8" x14ac:dyDescent="0.25">
      <c r="G180" s="22" t="s">
        <v>674</v>
      </c>
      <c r="H180" t="s">
        <v>675</v>
      </c>
    </row>
    <row r="181" spans="7:8" x14ac:dyDescent="0.25">
      <c r="G181" s="22" t="s">
        <v>676</v>
      </c>
      <c r="H181" t="s">
        <v>677</v>
      </c>
    </row>
    <row r="182" spans="7:8" x14ac:dyDescent="0.25">
      <c r="G182" s="22" t="s">
        <v>678</v>
      </c>
      <c r="H182" t="s">
        <v>679</v>
      </c>
    </row>
    <row r="183" spans="7:8" x14ac:dyDescent="0.25">
      <c r="G183" s="22" t="s">
        <v>680</v>
      </c>
      <c r="H183" t="s">
        <v>681</v>
      </c>
    </row>
    <row r="184" spans="7:8" x14ac:dyDescent="0.25">
      <c r="G184" s="22" t="s">
        <v>682</v>
      </c>
      <c r="H184" t="s">
        <v>683</v>
      </c>
    </row>
    <row r="185" spans="7:8" x14ac:dyDescent="0.25">
      <c r="G185" s="22" t="s">
        <v>684</v>
      </c>
      <c r="H185" t="s">
        <v>685</v>
      </c>
    </row>
    <row r="186" spans="7:8" x14ac:dyDescent="0.25">
      <c r="G186" s="22" t="s">
        <v>686</v>
      </c>
      <c r="H186" t="s">
        <v>687</v>
      </c>
    </row>
    <row r="187" spans="7:8" x14ac:dyDescent="0.25">
      <c r="G187" s="22" t="s">
        <v>688</v>
      </c>
      <c r="H187" t="s">
        <v>689</v>
      </c>
    </row>
    <row r="188" spans="7:8" x14ac:dyDescent="0.25">
      <c r="G188" s="22" t="s">
        <v>690</v>
      </c>
      <c r="H188" t="s">
        <v>691</v>
      </c>
    </row>
    <row r="189" spans="7:8" x14ac:dyDescent="0.25">
      <c r="G189" s="22" t="s">
        <v>692</v>
      </c>
      <c r="H189" t="s">
        <v>693</v>
      </c>
    </row>
    <row r="190" spans="7:8" x14ac:dyDescent="0.25">
      <c r="G190" s="22" t="s">
        <v>694</v>
      </c>
      <c r="H190" t="s">
        <v>695</v>
      </c>
    </row>
    <row r="191" spans="7:8" x14ac:dyDescent="0.25">
      <c r="G191" s="22" t="s">
        <v>696</v>
      </c>
      <c r="H191" t="s">
        <v>697</v>
      </c>
    </row>
    <row r="192" spans="7:8" x14ac:dyDescent="0.25">
      <c r="G192" s="22" t="s">
        <v>698</v>
      </c>
      <c r="H192" t="s">
        <v>699</v>
      </c>
    </row>
    <row r="193" spans="7:8" x14ac:dyDescent="0.25">
      <c r="G193" s="22" t="s">
        <v>700</v>
      </c>
      <c r="H193" t="s">
        <v>701</v>
      </c>
    </row>
    <row r="194" spans="7:8" x14ac:dyDescent="0.25">
      <c r="G194" s="22" t="s">
        <v>702</v>
      </c>
      <c r="H194" t="s">
        <v>703</v>
      </c>
    </row>
    <row r="195" spans="7:8" x14ac:dyDescent="0.25">
      <c r="G195" s="22" t="s">
        <v>704</v>
      </c>
      <c r="H195" t="s">
        <v>705</v>
      </c>
    </row>
    <row r="196" spans="7:8" x14ac:dyDescent="0.25">
      <c r="G196" s="22" t="s">
        <v>706</v>
      </c>
      <c r="H196" t="s">
        <v>707</v>
      </c>
    </row>
    <row r="197" spans="7:8" x14ac:dyDescent="0.25">
      <c r="G197" s="22" t="s">
        <v>708</v>
      </c>
      <c r="H197" t="s">
        <v>709</v>
      </c>
    </row>
    <row r="198" spans="7:8" x14ac:dyDescent="0.25">
      <c r="G198" s="22" t="s">
        <v>710</v>
      </c>
      <c r="H198" t="s">
        <v>711</v>
      </c>
    </row>
    <row r="199" spans="7:8" x14ac:dyDescent="0.25">
      <c r="G199" s="22" t="s">
        <v>712</v>
      </c>
      <c r="H199" t="s">
        <v>713</v>
      </c>
    </row>
    <row r="200" spans="7:8" x14ac:dyDescent="0.25">
      <c r="G200" s="22" t="s">
        <v>714</v>
      </c>
      <c r="H200" t="s">
        <v>715</v>
      </c>
    </row>
    <row r="201" spans="7:8" x14ac:dyDescent="0.25">
      <c r="G201" s="22" t="s">
        <v>716</v>
      </c>
      <c r="H201" t="s">
        <v>717</v>
      </c>
    </row>
    <row r="202" spans="7:8" x14ac:dyDescent="0.25">
      <c r="G202" s="22" t="s">
        <v>718</v>
      </c>
      <c r="H202" t="s">
        <v>719</v>
      </c>
    </row>
    <row r="203" spans="7:8" x14ac:dyDescent="0.25">
      <c r="G203" s="22" t="s">
        <v>720</v>
      </c>
      <c r="H203" t="s">
        <v>721</v>
      </c>
    </row>
    <row r="204" spans="7:8" x14ac:dyDescent="0.25">
      <c r="G204" s="22" t="s">
        <v>722</v>
      </c>
      <c r="H204" t="s">
        <v>723</v>
      </c>
    </row>
    <row r="205" spans="7:8" x14ac:dyDescent="0.25">
      <c r="G205" s="22" t="s">
        <v>724</v>
      </c>
      <c r="H205" t="s">
        <v>725</v>
      </c>
    </row>
    <row r="206" spans="7:8" x14ac:dyDescent="0.25">
      <c r="G206" s="22" t="s">
        <v>726</v>
      </c>
      <c r="H206" t="s">
        <v>727</v>
      </c>
    </row>
    <row r="207" spans="7:8" x14ac:dyDescent="0.25">
      <c r="G207" s="22" t="s">
        <v>728</v>
      </c>
      <c r="H207" t="s">
        <v>729</v>
      </c>
    </row>
    <row r="208" spans="7:8" x14ac:dyDescent="0.25">
      <c r="G208" s="22" t="s">
        <v>730</v>
      </c>
      <c r="H208" t="s">
        <v>731</v>
      </c>
    </row>
    <row r="209" spans="7:8" x14ac:dyDescent="0.25">
      <c r="G209" s="22" t="s">
        <v>732</v>
      </c>
      <c r="H209" t="s">
        <v>733</v>
      </c>
    </row>
    <row r="210" spans="7:8" x14ac:dyDescent="0.25">
      <c r="G210" s="22" t="s">
        <v>734</v>
      </c>
      <c r="H210" t="s">
        <v>735</v>
      </c>
    </row>
    <row r="211" spans="7:8" x14ac:dyDescent="0.25">
      <c r="G211" s="22" t="s">
        <v>736</v>
      </c>
      <c r="H211" t="s">
        <v>737</v>
      </c>
    </row>
    <row r="212" spans="7:8" x14ac:dyDescent="0.25">
      <c r="G212" s="22" t="s">
        <v>738</v>
      </c>
      <c r="H212" t="s">
        <v>739</v>
      </c>
    </row>
    <row r="213" spans="7:8" x14ac:dyDescent="0.25">
      <c r="G213" s="22" t="s">
        <v>740</v>
      </c>
      <c r="H213" t="s">
        <v>741</v>
      </c>
    </row>
    <row r="214" spans="7:8" x14ac:dyDescent="0.25">
      <c r="G214" s="22" t="s">
        <v>742</v>
      </c>
      <c r="H214" t="s">
        <v>743</v>
      </c>
    </row>
    <row r="215" spans="7:8" x14ac:dyDescent="0.25">
      <c r="G215" s="22" t="s">
        <v>744</v>
      </c>
      <c r="H215" t="s">
        <v>745</v>
      </c>
    </row>
    <row r="216" spans="7:8" x14ac:dyDescent="0.25">
      <c r="G216" s="22" t="s">
        <v>746</v>
      </c>
      <c r="H216" t="s">
        <v>747</v>
      </c>
    </row>
    <row r="217" spans="7:8" x14ac:dyDescent="0.25">
      <c r="G217" s="22" t="s">
        <v>748</v>
      </c>
      <c r="H217" t="s">
        <v>749</v>
      </c>
    </row>
    <row r="218" spans="7:8" x14ac:dyDescent="0.25">
      <c r="G218" s="22" t="s">
        <v>750</v>
      </c>
      <c r="H218" t="s">
        <v>751</v>
      </c>
    </row>
    <row r="219" spans="7:8" x14ac:dyDescent="0.25">
      <c r="G219" s="22" t="s">
        <v>752</v>
      </c>
      <c r="H219" t="s">
        <v>753</v>
      </c>
    </row>
    <row r="220" spans="7:8" x14ac:dyDescent="0.25">
      <c r="G220" s="22" t="s">
        <v>754</v>
      </c>
      <c r="H220" t="s">
        <v>755</v>
      </c>
    </row>
    <row r="221" spans="7:8" x14ac:dyDescent="0.25">
      <c r="G221" s="22" t="s">
        <v>756</v>
      </c>
      <c r="H221" t="s">
        <v>757</v>
      </c>
    </row>
    <row r="222" spans="7:8" x14ac:dyDescent="0.25">
      <c r="G222" s="22" t="s">
        <v>758</v>
      </c>
      <c r="H222" t="s">
        <v>759</v>
      </c>
    </row>
    <row r="223" spans="7:8" x14ac:dyDescent="0.25">
      <c r="G223" s="22" t="s">
        <v>760</v>
      </c>
      <c r="H223" t="s">
        <v>761</v>
      </c>
    </row>
    <row r="224" spans="7:8" x14ac:dyDescent="0.25">
      <c r="G224" s="22" t="s">
        <v>762</v>
      </c>
      <c r="H224" t="s">
        <v>763</v>
      </c>
    </row>
    <row r="225" spans="7:8" x14ac:dyDescent="0.25">
      <c r="G225" s="22" t="s">
        <v>764</v>
      </c>
      <c r="H225" t="s">
        <v>765</v>
      </c>
    </row>
    <row r="226" spans="7:8" x14ac:dyDescent="0.25">
      <c r="G226" s="22" t="s">
        <v>766</v>
      </c>
      <c r="H226" t="s">
        <v>767</v>
      </c>
    </row>
    <row r="227" spans="7:8" x14ac:dyDescent="0.25">
      <c r="G227" s="22" t="s">
        <v>768</v>
      </c>
      <c r="H227" t="s">
        <v>769</v>
      </c>
    </row>
    <row r="228" spans="7:8" x14ac:dyDescent="0.25">
      <c r="G228" s="22" t="s">
        <v>770</v>
      </c>
      <c r="H228" t="s">
        <v>771</v>
      </c>
    </row>
    <row r="229" spans="7:8" x14ac:dyDescent="0.25">
      <c r="G229" s="22" t="s">
        <v>772</v>
      </c>
      <c r="H229" t="s">
        <v>773</v>
      </c>
    </row>
    <row r="230" spans="7:8" x14ac:dyDescent="0.25">
      <c r="G230" s="22" t="s">
        <v>774</v>
      </c>
      <c r="H230" t="s">
        <v>775</v>
      </c>
    </row>
    <row r="231" spans="7:8" x14ac:dyDescent="0.25">
      <c r="G231" s="22" t="s">
        <v>776</v>
      </c>
      <c r="H231" t="s">
        <v>777</v>
      </c>
    </row>
    <row r="232" spans="7:8" x14ac:dyDescent="0.25">
      <c r="G232" s="22" t="s">
        <v>778</v>
      </c>
      <c r="H232" t="s">
        <v>779</v>
      </c>
    </row>
    <row r="233" spans="7:8" x14ac:dyDescent="0.25">
      <c r="G233" s="22" t="s">
        <v>780</v>
      </c>
      <c r="H233" t="s">
        <v>781</v>
      </c>
    </row>
    <row r="234" spans="7:8" x14ac:dyDescent="0.25">
      <c r="G234" s="22" t="s">
        <v>782</v>
      </c>
      <c r="H234" t="s">
        <v>783</v>
      </c>
    </row>
    <row r="235" spans="7:8" x14ac:dyDescent="0.25">
      <c r="G235" s="22" t="s">
        <v>784</v>
      </c>
      <c r="H235" t="s">
        <v>785</v>
      </c>
    </row>
    <row r="236" spans="7:8" x14ac:dyDescent="0.25">
      <c r="G236" s="22" t="s">
        <v>786</v>
      </c>
      <c r="H236" t="s">
        <v>787</v>
      </c>
    </row>
    <row r="237" spans="7:8" x14ac:dyDescent="0.25">
      <c r="G237" s="22" t="s">
        <v>788</v>
      </c>
      <c r="H237" t="s">
        <v>789</v>
      </c>
    </row>
    <row r="238" spans="7:8" x14ac:dyDescent="0.25">
      <c r="G238" s="22" t="s">
        <v>790</v>
      </c>
      <c r="H238" t="s">
        <v>791</v>
      </c>
    </row>
    <row r="239" spans="7:8" x14ac:dyDescent="0.25">
      <c r="G239" s="22" t="s">
        <v>792</v>
      </c>
      <c r="H239" t="s">
        <v>793</v>
      </c>
    </row>
    <row r="240" spans="7:8" x14ac:dyDescent="0.25">
      <c r="G240" s="22" t="s">
        <v>159</v>
      </c>
      <c r="H240" t="s">
        <v>160</v>
      </c>
    </row>
    <row r="241" spans="7:8" x14ac:dyDescent="0.25">
      <c r="G241" s="22" t="s">
        <v>151</v>
      </c>
      <c r="H241" t="s">
        <v>152</v>
      </c>
    </row>
    <row r="242" spans="7:8" x14ac:dyDescent="0.25">
      <c r="G242" s="22" t="s">
        <v>794</v>
      </c>
      <c r="H242" t="s">
        <v>795</v>
      </c>
    </row>
    <row r="243" spans="7:8" x14ac:dyDescent="0.25">
      <c r="G243" s="22" t="s">
        <v>796</v>
      </c>
      <c r="H243" t="s">
        <v>797</v>
      </c>
    </row>
    <row r="244" spans="7:8" x14ac:dyDescent="0.25">
      <c r="G244" s="22" t="s">
        <v>798</v>
      </c>
      <c r="H244" t="s">
        <v>799</v>
      </c>
    </row>
    <row r="245" spans="7:8" x14ac:dyDescent="0.25">
      <c r="G245" s="22" t="s">
        <v>800</v>
      </c>
      <c r="H245" t="s">
        <v>801</v>
      </c>
    </row>
    <row r="246" spans="7:8" x14ac:dyDescent="0.25">
      <c r="G246" s="22" t="s">
        <v>802</v>
      </c>
      <c r="H246" t="s">
        <v>803</v>
      </c>
    </row>
    <row r="247" spans="7:8" x14ac:dyDescent="0.25">
      <c r="G247" s="22" t="s">
        <v>804</v>
      </c>
      <c r="H247" t="s">
        <v>805</v>
      </c>
    </row>
    <row r="248" spans="7:8" x14ac:dyDescent="0.25">
      <c r="G248" s="22" t="s">
        <v>806</v>
      </c>
      <c r="H248" t="s">
        <v>807</v>
      </c>
    </row>
    <row r="249" spans="7:8" x14ac:dyDescent="0.25">
      <c r="G249" s="22" t="s">
        <v>808</v>
      </c>
      <c r="H249" t="s">
        <v>809</v>
      </c>
    </row>
    <row r="250" spans="7:8" x14ac:dyDescent="0.25">
      <c r="G250" s="22" t="s">
        <v>810</v>
      </c>
      <c r="H250" t="s">
        <v>811</v>
      </c>
    </row>
    <row r="251" spans="7:8" x14ac:dyDescent="0.25">
      <c r="G251" s="22" t="s">
        <v>812</v>
      </c>
      <c r="H251" t="s">
        <v>813</v>
      </c>
    </row>
    <row r="252" spans="7:8" x14ac:dyDescent="0.25">
      <c r="G252" s="22" t="s">
        <v>814</v>
      </c>
      <c r="H252" t="s">
        <v>815</v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/>
  <headerFooter>
    <oddFooter>&amp;C&amp;"Calibri"&amp;8 &amp;K000000_x000D_#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2:B5"/>
  <sheetViews>
    <sheetView workbookViewId="0">
      <selection activeCell="B6" sqref="B6"/>
    </sheetView>
  </sheetViews>
  <sheetFormatPr defaultColWidth="8.85546875" defaultRowHeight="15" x14ac:dyDescent="0.25"/>
  <cols>
    <col min="2" max="2" width="130.28515625" bestFit="1" customWidth="1"/>
  </cols>
  <sheetData>
    <row r="2" spans="2:2" x14ac:dyDescent="0.25">
      <c r="B2" t="s">
        <v>816</v>
      </c>
    </row>
    <row r="3" spans="2:2" x14ac:dyDescent="0.25">
      <c r="B3" t="s">
        <v>817</v>
      </c>
    </row>
    <row r="4" spans="2:2" x14ac:dyDescent="0.25">
      <c r="B4" t="s">
        <v>818</v>
      </c>
    </row>
    <row r="5" spans="2:2" x14ac:dyDescent="0.25">
      <c r="B5" t="s">
        <v>819</v>
      </c>
    </row>
  </sheetData>
  <pageMargins left="0.7" right="0.7" top="0.75" bottom="0.75" header="0.3" footer="0.3"/>
  <headerFooter>
    <oddFooter>&amp;C&amp;"Calibri"&amp;8 &amp;K000000_x000D_#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W104"/>
  <sheetViews>
    <sheetView topLeftCell="A17" zoomScale="70" zoomScaleNormal="70" workbookViewId="0">
      <selection activeCell="G60" sqref="G60:P69"/>
    </sheetView>
  </sheetViews>
  <sheetFormatPr defaultColWidth="0" defaultRowHeight="15" x14ac:dyDescent="0.25"/>
  <cols>
    <col min="1" max="1" width="22.28515625" customWidth="1"/>
    <col min="2" max="2" width="19.7109375" style="8" bestFit="1" customWidth="1"/>
    <col min="3" max="3" width="17.42578125" style="8" customWidth="1"/>
    <col min="4" max="5" width="13.42578125" style="9" customWidth="1"/>
    <col min="6" max="6" width="13.42578125" style="12" customWidth="1"/>
    <col min="7" max="7" width="14.42578125" style="3" customWidth="1"/>
    <col min="8" max="10" width="14.42578125" style="14" customWidth="1"/>
    <col min="11" max="25" width="14.42578125" style="3" customWidth="1"/>
    <col min="26" max="157" width="13.7109375" style="3" customWidth="1"/>
    <col min="158" max="179" width="0" hidden="1" customWidth="1"/>
    <col min="180" max="180" width="9.140625" hidden="1" customWidth="1"/>
    <col min="181" max="16384" width="9.140625" hidden="1"/>
  </cols>
  <sheetData>
    <row r="1" spans="1:157" s="1" customFormat="1" x14ac:dyDescent="0.25">
      <c r="B1" s="4"/>
      <c r="C1" s="4"/>
      <c r="D1" s="5"/>
      <c r="E1" s="5"/>
      <c r="F1" s="10"/>
      <c r="G1" s="74" t="s">
        <v>69</v>
      </c>
      <c r="H1" s="75"/>
      <c r="I1" s="75"/>
      <c r="J1" s="7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60" customHeight="1" x14ac:dyDescent="0.25">
      <c r="A2" s="6" t="s">
        <v>70</v>
      </c>
      <c r="B2" s="6" t="s">
        <v>71</v>
      </c>
      <c r="C2" s="6" t="s">
        <v>72</v>
      </c>
      <c r="D2" s="7" t="s">
        <v>73</v>
      </c>
      <c r="E2" s="7" t="s">
        <v>74</v>
      </c>
      <c r="F2" s="11" t="s">
        <v>75</v>
      </c>
      <c r="G2" s="13">
        <f>month_first_development</f>
        <v>6</v>
      </c>
      <c r="H2" s="13">
        <f t="shared" ref="H2:AE2" si="0">G2+triangle_increments_months</f>
        <v>18</v>
      </c>
      <c r="I2" s="13">
        <f t="shared" si="0"/>
        <v>30</v>
      </c>
      <c r="J2" s="13">
        <f t="shared" si="0"/>
        <v>42</v>
      </c>
      <c r="K2" s="13">
        <f t="shared" si="0"/>
        <v>54</v>
      </c>
      <c r="L2" s="13">
        <f t="shared" si="0"/>
        <v>66</v>
      </c>
      <c r="M2" s="13">
        <f t="shared" si="0"/>
        <v>78</v>
      </c>
      <c r="N2" s="13">
        <f t="shared" si="0"/>
        <v>90</v>
      </c>
      <c r="O2" s="13">
        <f t="shared" si="0"/>
        <v>102</v>
      </c>
      <c r="P2" s="13">
        <f t="shared" si="0"/>
        <v>114</v>
      </c>
      <c r="Q2" s="13">
        <f t="shared" si="0"/>
        <v>126</v>
      </c>
      <c r="R2" s="13">
        <f t="shared" si="0"/>
        <v>138</v>
      </c>
      <c r="S2" s="13">
        <f t="shared" si="0"/>
        <v>150</v>
      </c>
      <c r="T2" s="13">
        <f t="shared" si="0"/>
        <v>162</v>
      </c>
      <c r="U2" s="13">
        <f t="shared" si="0"/>
        <v>174</v>
      </c>
      <c r="V2" s="13">
        <f t="shared" si="0"/>
        <v>186</v>
      </c>
      <c r="W2" s="13">
        <f t="shared" si="0"/>
        <v>198</v>
      </c>
      <c r="X2" s="13">
        <f t="shared" si="0"/>
        <v>210</v>
      </c>
      <c r="Y2" s="13">
        <f t="shared" si="0"/>
        <v>222</v>
      </c>
      <c r="Z2" s="13">
        <f t="shared" si="0"/>
        <v>234</v>
      </c>
      <c r="AA2" s="13">
        <f t="shared" si="0"/>
        <v>246</v>
      </c>
      <c r="AB2" s="13">
        <f t="shared" si="0"/>
        <v>258</v>
      </c>
      <c r="AC2" s="13">
        <f t="shared" si="0"/>
        <v>270</v>
      </c>
      <c r="AD2" s="13">
        <f t="shared" si="0"/>
        <v>282</v>
      </c>
      <c r="AE2" s="13">
        <f t="shared" si="0"/>
        <v>294</v>
      </c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57" x14ac:dyDescent="0.25">
      <c r="A3" s="28" t="s">
        <v>820</v>
      </c>
      <c r="B3" s="8" t="s">
        <v>76</v>
      </c>
      <c r="C3" s="8" t="s">
        <v>77</v>
      </c>
      <c r="D3" s="9" t="s">
        <v>82</v>
      </c>
      <c r="E3" s="9" t="s">
        <v>78</v>
      </c>
      <c r="F3" s="12">
        <v>2010</v>
      </c>
      <c r="G3" s="3">
        <f t="shared" ref="G3:P3" si="1">G38*1.7</f>
        <v>5256638.5151515165</v>
      </c>
      <c r="H3" s="3">
        <f t="shared" si="1"/>
        <v>7060972.7954545459</v>
      </c>
      <c r="I3" s="3">
        <f t="shared" si="1"/>
        <v>13842679.661582485</v>
      </c>
      <c r="J3" s="3">
        <f t="shared" si="1"/>
        <v>14889483.638855211</v>
      </c>
      <c r="K3" s="3">
        <f t="shared" si="1"/>
        <v>14889483.638855211</v>
      </c>
      <c r="L3" s="3">
        <f t="shared" si="1"/>
        <v>14889483.638855211</v>
      </c>
      <c r="M3" s="3">
        <f t="shared" si="1"/>
        <v>14889483.638855211</v>
      </c>
      <c r="N3" s="3">
        <f t="shared" si="1"/>
        <v>14889483.638855215</v>
      </c>
      <c r="O3" s="3">
        <f t="shared" si="1"/>
        <v>14889483.638855215</v>
      </c>
      <c r="P3" s="3">
        <f t="shared" si="1"/>
        <v>14889483.638855211</v>
      </c>
    </row>
    <row r="4" spans="1:157" x14ac:dyDescent="0.25">
      <c r="A4" s="28" t="s">
        <v>820</v>
      </c>
      <c r="B4" s="8" t="s">
        <v>76</v>
      </c>
      <c r="C4" s="8" t="s">
        <v>77</v>
      </c>
      <c r="D4" s="9" t="s">
        <v>82</v>
      </c>
      <c r="E4" s="9" t="s">
        <v>78</v>
      </c>
      <c r="F4" s="12">
        <v>2011</v>
      </c>
      <c r="G4" s="3">
        <f t="shared" ref="G4:O4" si="2">G39*1.7</f>
        <v>2199597.119038315</v>
      </c>
      <c r="H4" s="3">
        <f t="shared" si="2"/>
        <v>22050071.406851418</v>
      </c>
      <c r="I4" s="3">
        <f t="shared" si="2"/>
        <v>18841725.953354239</v>
      </c>
      <c r="J4" s="3">
        <f t="shared" si="2"/>
        <v>19092958.907899693</v>
      </c>
      <c r="K4" s="3">
        <f t="shared" si="2"/>
        <v>19092958.907899693</v>
      </c>
      <c r="L4" s="3">
        <f t="shared" si="2"/>
        <v>19092958.907899693</v>
      </c>
      <c r="M4" s="3">
        <f t="shared" si="2"/>
        <v>19092958.907899693</v>
      </c>
      <c r="N4" s="3">
        <f t="shared" si="2"/>
        <v>19092958.907899693</v>
      </c>
      <c r="O4" s="3">
        <f t="shared" si="2"/>
        <v>19092958.907899693</v>
      </c>
    </row>
    <row r="5" spans="1:157" x14ac:dyDescent="0.25">
      <c r="A5" s="28" t="s">
        <v>820</v>
      </c>
      <c r="B5" s="8" t="s">
        <v>76</v>
      </c>
      <c r="C5" s="8" t="s">
        <v>77</v>
      </c>
      <c r="D5" s="9" t="s">
        <v>82</v>
      </c>
      <c r="E5" s="9" t="s">
        <v>78</v>
      </c>
      <c r="F5" s="12">
        <v>2012</v>
      </c>
      <c r="G5" s="3">
        <f t="shared" ref="G5:N5" si="3">G40*1.7</f>
        <v>16005597.65278523</v>
      </c>
      <c r="H5" s="3">
        <f t="shared" si="3"/>
        <v>27315027.341419209</v>
      </c>
      <c r="I5" s="3">
        <f t="shared" si="3"/>
        <v>28288322.417176783</v>
      </c>
      <c r="J5" s="3">
        <f t="shared" si="3"/>
        <v>28288322.417176783</v>
      </c>
      <c r="K5" s="3">
        <f t="shared" si="3"/>
        <v>28288322.417176783</v>
      </c>
      <c r="L5" s="3">
        <f t="shared" si="3"/>
        <v>28288322.417176783</v>
      </c>
      <c r="M5" s="3">
        <f t="shared" si="3"/>
        <v>28288322.417176783</v>
      </c>
      <c r="N5" s="3">
        <f t="shared" si="3"/>
        <v>28288322.417176783</v>
      </c>
    </row>
    <row r="6" spans="1:157" x14ac:dyDescent="0.25">
      <c r="A6" s="28" t="s">
        <v>820</v>
      </c>
      <c r="B6" s="8" t="s">
        <v>76</v>
      </c>
      <c r="C6" s="8" t="s">
        <v>77</v>
      </c>
      <c r="D6" s="9" t="s">
        <v>82</v>
      </c>
      <c r="E6" s="9" t="s">
        <v>78</v>
      </c>
      <c r="F6" s="12">
        <v>2013</v>
      </c>
      <c r="G6" s="3">
        <f t="shared" ref="G6:M6" si="4">G41*1.7</f>
        <v>22548448.333414275</v>
      </c>
      <c r="H6" s="3">
        <f t="shared" si="4"/>
        <v>33252241.892396666</v>
      </c>
      <c r="I6" s="3">
        <f t="shared" si="4"/>
        <v>33252241.892396666</v>
      </c>
      <c r="J6" s="3">
        <f t="shared" si="4"/>
        <v>33252241.892396666</v>
      </c>
      <c r="K6" s="3">
        <f t="shared" si="4"/>
        <v>33252241.892396666</v>
      </c>
      <c r="L6" s="3">
        <f t="shared" si="4"/>
        <v>33252241.892396666</v>
      </c>
      <c r="M6" s="3">
        <f t="shared" si="4"/>
        <v>33252241.892396666</v>
      </c>
    </row>
    <row r="7" spans="1:157" x14ac:dyDescent="0.25">
      <c r="A7" s="28" t="s">
        <v>820</v>
      </c>
      <c r="B7" s="8" t="s">
        <v>76</v>
      </c>
      <c r="C7" s="8" t="s">
        <v>77</v>
      </c>
      <c r="D7" s="9" t="s">
        <v>82</v>
      </c>
      <c r="E7" s="9" t="s">
        <v>78</v>
      </c>
      <c r="F7" s="12">
        <v>2014</v>
      </c>
      <c r="G7" s="3">
        <f t="shared" ref="G7:L7" si="5">G42*1.7</f>
        <v>36049874.985933937</v>
      </c>
      <c r="H7" s="3">
        <f t="shared" si="5"/>
        <v>40467031.6038718</v>
      </c>
      <c r="I7" s="3">
        <f t="shared" si="5"/>
        <v>43769075.543265752</v>
      </c>
      <c r="J7" s="3">
        <f t="shared" si="5"/>
        <v>44662746.023865715</v>
      </c>
      <c r="K7" s="3">
        <f t="shared" si="5"/>
        <v>44662746.023865715</v>
      </c>
      <c r="L7" s="3">
        <f t="shared" si="5"/>
        <v>44662746.023865715</v>
      </c>
    </row>
    <row r="8" spans="1:157" x14ac:dyDescent="0.25">
      <c r="A8" s="28" t="s">
        <v>820</v>
      </c>
      <c r="B8" s="8" t="s">
        <v>76</v>
      </c>
      <c r="C8" s="8" t="s">
        <v>77</v>
      </c>
      <c r="D8" s="9" t="s">
        <v>82</v>
      </c>
      <c r="E8" s="9" t="s">
        <v>78</v>
      </c>
      <c r="F8" s="12">
        <v>2015</v>
      </c>
      <c r="G8" s="3">
        <f>G43*1.7</f>
        <v>21752446.961347334</v>
      </c>
      <c r="H8" s="3">
        <f>H43*1.7</f>
        <v>25614170.713676054</v>
      </c>
      <c r="I8" s="3">
        <f>I43*1.7</f>
        <v>24673696.13740487</v>
      </c>
      <c r="J8" s="3">
        <f>J43*1.7</f>
        <v>24673696.13740487</v>
      </c>
      <c r="K8" s="3">
        <f>K43*1.7</f>
        <v>24673696.13740487</v>
      </c>
    </row>
    <row r="9" spans="1:157" x14ac:dyDescent="0.25">
      <c r="A9" s="28" t="s">
        <v>820</v>
      </c>
      <c r="B9" s="8" t="s">
        <v>76</v>
      </c>
      <c r="C9" s="8" t="s">
        <v>77</v>
      </c>
      <c r="D9" s="9" t="s">
        <v>82</v>
      </c>
      <c r="E9" s="9" t="s">
        <v>78</v>
      </c>
      <c r="F9" s="12">
        <v>2016</v>
      </c>
      <c r="G9" s="3">
        <f>G44*1.7</f>
        <v>44756997.003307976</v>
      </c>
      <c r="H9" s="3">
        <f>H44*1.7</f>
        <v>46630749.41603522</v>
      </c>
      <c r="I9" s="3">
        <f>I44*1.7</f>
        <v>47058219.166574843</v>
      </c>
      <c r="J9" s="3">
        <f>J44*1.7</f>
        <v>47058219.347856656</v>
      </c>
    </row>
    <row r="10" spans="1:157" x14ac:dyDescent="0.25">
      <c r="A10" s="28" t="s">
        <v>820</v>
      </c>
      <c r="B10" s="8" t="s">
        <v>76</v>
      </c>
      <c r="C10" s="8" t="s">
        <v>77</v>
      </c>
      <c r="D10" s="9" t="s">
        <v>82</v>
      </c>
      <c r="E10" s="9" t="s">
        <v>78</v>
      </c>
      <c r="F10" s="12">
        <v>2017</v>
      </c>
      <c r="G10" s="3">
        <f>G45*1.7</f>
        <v>63872517.785890467</v>
      </c>
      <c r="H10" s="3">
        <f>H45*1.7</f>
        <v>64074803.487073675</v>
      </c>
      <c r="I10" s="3">
        <f>I45*1.7</f>
        <v>68151466.049261332</v>
      </c>
      <c r="J10" s="3"/>
    </row>
    <row r="11" spans="1:157" x14ac:dyDescent="0.25">
      <c r="A11" s="28" t="s">
        <v>820</v>
      </c>
      <c r="B11" s="8" t="s">
        <v>76</v>
      </c>
      <c r="C11" s="8" t="s">
        <v>77</v>
      </c>
      <c r="D11" s="9" t="s">
        <v>82</v>
      </c>
      <c r="E11" s="9" t="s">
        <v>78</v>
      </c>
      <c r="F11" s="12">
        <v>2018</v>
      </c>
      <c r="G11" s="3">
        <f>G46*1.7</f>
        <v>108928220.74765068</v>
      </c>
      <c r="H11" s="3">
        <f>H46*1.7</f>
        <v>112559410.02855739</v>
      </c>
      <c r="I11" s="3"/>
      <c r="J11" s="3"/>
    </row>
    <row r="12" spans="1:157" x14ac:dyDescent="0.25">
      <c r="A12" s="28" t="s">
        <v>820</v>
      </c>
      <c r="B12" s="8" t="s">
        <v>76</v>
      </c>
      <c r="C12" s="8" t="s">
        <v>77</v>
      </c>
      <c r="D12" s="9" t="s">
        <v>82</v>
      </c>
      <c r="E12" s="9" t="s">
        <v>78</v>
      </c>
      <c r="F12" s="12">
        <v>2019</v>
      </c>
      <c r="G12" s="3">
        <f>G47*1.7</f>
        <v>102806694.39864922</v>
      </c>
      <c r="H12" s="3"/>
      <c r="I12" s="3"/>
      <c r="J12" s="3"/>
    </row>
    <row r="13" spans="1:157" x14ac:dyDescent="0.25">
      <c r="A13" s="28"/>
    </row>
    <row r="14" spans="1:157" x14ac:dyDescent="0.25">
      <c r="A14" s="28" t="s">
        <v>820</v>
      </c>
      <c r="B14" s="8" t="s">
        <v>79</v>
      </c>
      <c r="C14" s="8" t="s">
        <v>77</v>
      </c>
      <c r="D14" s="9" t="s">
        <v>82</v>
      </c>
      <c r="E14" s="9" t="s">
        <v>78</v>
      </c>
      <c r="F14" s="12">
        <v>2010</v>
      </c>
      <c r="G14" s="3">
        <f t="shared" ref="G14:P14" si="6">G49*1.7</f>
        <v>0</v>
      </c>
      <c r="H14" s="3">
        <f t="shared" si="6"/>
        <v>4.378787878787878</v>
      </c>
      <c r="I14" s="3">
        <f t="shared" si="6"/>
        <v>15325.319696969698</v>
      </c>
      <c r="J14" s="3">
        <f t="shared" si="6"/>
        <v>15142.483409090904</v>
      </c>
      <c r="K14" s="3">
        <f t="shared" si="6"/>
        <v>10934.971818181819</v>
      </c>
      <c r="L14" s="3">
        <f t="shared" si="6"/>
        <v>10934.971818181819</v>
      </c>
      <c r="M14" s="3">
        <f t="shared" si="6"/>
        <v>10934.971818181819</v>
      </c>
      <c r="N14" s="3">
        <f t="shared" si="6"/>
        <v>10934.971818181815</v>
      </c>
      <c r="O14" s="3">
        <f t="shared" si="6"/>
        <v>10934.971818181815</v>
      </c>
      <c r="P14" s="3">
        <f t="shared" si="6"/>
        <v>10934.971818181819</v>
      </c>
    </row>
    <row r="15" spans="1:157" x14ac:dyDescent="0.25">
      <c r="A15" s="28" t="s">
        <v>820</v>
      </c>
      <c r="B15" s="8" t="s">
        <v>79</v>
      </c>
      <c r="C15" s="8" t="s">
        <v>77</v>
      </c>
      <c r="D15" s="9" t="s">
        <v>82</v>
      </c>
      <c r="E15" s="9" t="s">
        <v>78</v>
      </c>
      <c r="F15" s="12">
        <v>2011</v>
      </c>
      <c r="G15" s="3">
        <f t="shared" ref="G15:O15" si="7">G50*1.7</f>
        <v>4407.25</v>
      </c>
      <c r="H15" s="3">
        <f t="shared" si="7"/>
        <v>410131.24484282784</v>
      </c>
      <c r="I15" s="3">
        <f t="shared" si="7"/>
        <v>6057531.8735149344</v>
      </c>
      <c r="J15" s="3">
        <f t="shared" si="7"/>
        <v>25489684.851890907</v>
      </c>
      <c r="K15" s="3">
        <f t="shared" si="7"/>
        <v>24386342.556663636</v>
      </c>
      <c r="L15" s="3">
        <f t="shared" si="7"/>
        <v>24049171.511209089</v>
      </c>
      <c r="M15" s="3">
        <f t="shared" si="7"/>
        <v>24049171.511209089</v>
      </c>
      <c r="N15" s="3">
        <f t="shared" si="7"/>
        <v>24049171.511209089</v>
      </c>
      <c r="O15" s="3">
        <f t="shared" si="7"/>
        <v>24049171.511209089</v>
      </c>
    </row>
    <row r="16" spans="1:157" x14ac:dyDescent="0.25">
      <c r="A16" s="28" t="s">
        <v>820</v>
      </c>
      <c r="B16" s="8" t="s">
        <v>79</v>
      </c>
      <c r="C16" s="8" t="s">
        <v>77</v>
      </c>
      <c r="D16" s="9" t="s">
        <v>82</v>
      </c>
      <c r="E16" s="9" t="s">
        <v>78</v>
      </c>
      <c r="F16" s="12">
        <v>2012</v>
      </c>
      <c r="G16" s="3">
        <f t="shared" ref="G16:N16" si="8">G51*1.7</f>
        <v>1764651.5151515149</v>
      </c>
      <c r="H16" s="3">
        <f t="shared" si="8"/>
        <v>1825483.8914393941</v>
      </c>
      <c r="I16" s="3">
        <f t="shared" si="8"/>
        <v>6256439.5784089342</v>
      </c>
      <c r="J16" s="3">
        <f t="shared" si="8"/>
        <v>10451593.355918027</v>
      </c>
      <c r="K16" s="3">
        <f t="shared" si="8"/>
        <v>8832632.3237210549</v>
      </c>
      <c r="L16" s="3">
        <f t="shared" si="8"/>
        <v>10178497.595160451</v>
      </c>
      <c r="M16" s="3">
        <f t="shared" si="8"/>
        <v>10186238.131751359</v>
      </c>
      <c r="N16" s="3">
        <f t="shared" si="8"/>
        <v>10310869.381751362</v>
      </c>
    </row>
    <row r="17" spans="1:16" x14ac:dyDescent="0.25">
      <c r="A17" s="28" t="s">
        <v>820</v>
      </c>
      <c r="B17" s="8" t="s">
        <v>79</v>
      </c>
      <c r="C17" s="8" t="s">
        <v>77</v>
      </c>
      <c r="D17" s="9" t="s">
        <v>82</v>
      </c>
      <c r="E17" s="9" t="s">
        <v>78</v>
      </c>
      <c r="F17" s="12">
        <v>2013</v>
      </c>
      <c r="G17" s="3">
        <f t="shared" ref="G17:M17" si="9">G52*1.7</f>
        <v>32840.909090909081</v>
      </c>
      <c r="H17" s="3">
        <f t="shared" si="9"/>
        <v>845630.92401515157</v>
      </c>
      <c r="I17" s="3">
        <f t="shared" si="9"/>
        <v>1200309.0920393937</v>
      </c>
      <c r="J17" s="3">
        <f t="shared" si="9"/>
        <v>1507677.4267272728</v>
      </c>
      <c r="K17" s="3">
        <f t="shared" si="9"/>
        <v>2513113.5021135081</v>
      </c>
      <c r="L17" s="3">
        <f t="shared" si="9"/>
        <v>2551021.8461545967</v>
      </c>
      <c r="M17" s="3">
        <f t="shared" si="9"/>
        <v>2543254.9151061117</v>
      </c>
    </row>
    <row r="18" spans="1:16" x14ac:dyDescent="0.25">
      <c r="A18" s="28" t="s">
        <v>820</v>
      </c>
      <c r="B18" s="8" t="s">
        <v>79</v>
      </c>
      <c r="C18" s="8" t="s">
        <v>77</v>
      </c>
      <c r="D18" s="9" t="s">
        <v>82</v>
      </c>
      <c r="E18" s="9" t="s">
        <v>78</v>
      </c>
      <c r="F18" s="12">
        <v>2014</v>
      </c>
      <c r="G18" s="3">
        <f t="shared" ref="G18:L18" si="10">G53*1.7</f>
        <v>13136.363636363634</v>
      </c>
      <c r="H18" s="3">
        <f t="shared" si="10"/>
        <v>78818.181818181794</v>
      </c>
      <c r="I18" s="3">
        <f t="shared" si="10"/>
        <v>345920.9583333332</v>
      </c>
      <c r="J18" s="3">
        <f t="shared" si="10"/>
        <v>518881.15287878778</v>
      </c>
      <c r="K18" s="3">
        <f t="shared" si="10"/>
        <v>518880.4303787878</v>
      </c>
      <c r="L18" s="3">
        <f t="shared" si="10"/>
        <v>13541054.036439398</v>
      </c>
    </row>
    <row r="19" spans="1:16" x14ac:dyDescent="0.25">
      <c r="A19" s="28" t="s">
        <v>820</v>
      </c>
      <c r="B19" s="8" t="s">
        <v>79</v>
      </c>
      <c r="C19" s="8" t="s">
        <v>77</v>
      </c>
      <c r="D19" s="9" t="s">
        <v>82</v>
      </c>
      <c r="E19" s="9" t="s">
        <v>78</v>
      </c>
      <c r="F19" s="12">
        <v>2015</v>
      </c>
      <c r="G19" s="3">
        <f>G54*1.7</f>
        <v>164204.54545454541</v>
      </c>
      <c r="H19" s="3">
        <f>H54*1.7</f>
        <v>21893.939393939392</v>
      </c>
      <c r="I19" s="3">
        <f>I54*1.7</f>
        <v>21893.939393939392</v>
      </c>
      <c r="J19" s="3">
        <f>J54*1.7</f>
        <v>97312.277045454524</v>
      </c>
      <c r="K19" s="3">
        <f>K54*1.7</f>
        <v>87051.682348484828</v>
      </c>
    </row>
    <row r="20" spans="1:16" x14ac:dyDescent="0.25">
      <c r="A20" s="28" t="s">
        <v>820</v>
      </c>
      <c r="B20" s="8" t="s">
        <v>79</v>
      </c>
      <c r="C20" s="8" t="s">
        <v>77</v>
      </c>
      <c r="D20" s="9" t="s">
        <v>82</v>
      </c>
      <c r="E20" s="9" t="s">
        <v>78</v>
      </c>
      <c r="F20" s="12">
        <v>2016</v>
      </c>
      <c r="G20" s="3">
        <f>G55*1.7</f>
        <v>0</v>
      </c>
      <c r="H20" s="3">
        <f>H55*1.7</f>
        <v>175151.51515151514</v>
      </c>
      <c r="I20" s="3">
        <f>I55*1.7</f>
        <v>2115063.2488636361</v>
      </c>
      <c r="J20" s="3">
        <f>J55*1.7</f>
        <v>2172468.8514393936</v>
      </c>
    </row>
    <row r="21" spans="1:16" x14ac:dyDescent="0.25">
      <c r="A21" s="28" t="s">
        <v>820</v>
      </c>
      <c r="B21" s="8" t="s">
        <v>79</v>
      </c>
      <c r="C21" s="8" t="s">
        <v>77</v>
      </c>
      <c r="D21" s="9" t="s">
        <v>82</v>
      </c>
      <c r="E21" s="9" t="s">
        <v>78</v>
      </c>
      <c r="F21" s="12">
        <v>2017</v>
      </c>
      <c r="G21" s="3">
        <f>G56*1.7</f>
        <v>421458.33333333326</v>
      </c>
      <c r="H21" s="3">
        <f>H56*1.7</f>
        <v>10678768.939393934</v>
      </c>
      <c r="I21" s="3">
        <f>I56*1.7</f>
        <v>37324307.538893946</v>
      </c>
      <c r="J21" s="3"/>
    </row>
    <row r="22" spans="1:16" x14ac:dyDescent="0.25">
      <c r="A22" s="28" t="s">
        <v>820</v>
      </c>
      <c r="B22" s="8" t="s">
        <v>79</v>
      </c>
      <c r="C22" s="8" t="s">
        <v>77</v>
      </c>
      <c r="D22" s="9" t="s">
        <v>82</v>
      </c>
      <c r="E22" s="9" t="s">
        <v>78</v>
      </c>
      <c r="F22" s="12">
        <v>2018</v>
      </c>
      <c r="G22" s="3">
        <f>G57*1.7</f>
        <v>151341.85606060605</v>
      </c>
      <c r="H22" s="3">
        <f>H57*1.7</f>
        <v>965068.81838268402</v>
      </c>
      <c r="I22" s="3"/>
      <c r="J22" s="3"/>
    </row>
    <row r="23" spans="1:16" x14ac:dyDescent="0.25">
      <c r="A23" s="28" t="s">
        <v>820</v>
      </c>
      <c r="B23" s="8" t="s">
        <v>79</v>
      </c>
      <c r="C23" s="8" t="s">
        <v>77</v>
      </c>
      <c r="D23" s="9" t="s">
        <v>82</v>
      </c>
      <c r="E23" s="9" t="s">
        <v>78</v>
      </c>
      <c r="F23" s="12">
        <v>2019</v>
      </c>
      <c r="G23" s="3">
        <f>G58*1.7</f>
        <v>492613.63636363647</v>
      </c>
      <c r="H23" s="3"/>
      <c r="I23" s="3"/>
      <c r="J23" s="3"/>
    </row>
    <row r="25" spans="1:16" x14ac:dyDescent="0.25">
      <c r="A25" s="28" t="s">
        <v>820</v>
      </c>
      <c r="B25" s="8" t="s">
        <v>80</v>
      </c>
      <c r="C25" s="8" t="s">
        <v>77</v>
      </c>
      <c r="D25" s="9" t="s">
        <v>82</v>
      </c>
      <c r="E25" s="9" t="s">
        <v>78</v>
      </c>
      <c r="F25" s="12">
        <v>2010</v>
      </c>
      <c r="G25" s="3">
        <f t="shared" ref="G25:P25" si="11">G60*1.7</f>
        <v>0</v>
      </c>
      <c r="H25" s="3">
        <f t="shared" si="11"/>
        <v>0</v>
      </c>
      <c r="I25" s="3">
        <f t="shared" si="11"/>
        <v>5245.3499999999995</v>
      </c>
      <c r="J25" s="3">
        <f t="shared" si="11"/>
        <v>6739.5894696969699</v>
      </c>
      <c r="K25" s="3">
        <f t="shared" si="11"/>
        <v>10934.971818181819</v>
      </c>
      <c r="L25" s="3">
        <f t="shared" si="11"/>
        <v>10934.971818181819</v>
      </c>
      <c r="M25" s="3">
        <f t="shared" si="11"/>
        <v>10934.971818181819</v>
      </c>
      <c r="N25" s="3">
        <f t="shared" si="11"/>
        <v>10934.971818181815</v>
      </c>
      <c r="O25" s="3">
        <f t="shared" si="11"/>
        <v>10934.971818181815</v>
      </c>
      <c r="P25" s="3">
        <f t="shared" si="11"/>
        <v>10934.971818181819</v>
      </c>
    </row>
    <row r="26" spans="1:16" x14ac:dyDescent="0.25">
      <c r="A26" s="28" t="s">
        <v>820</v>
      </c>
      <c r="B26" s="8" t="s">
        <v>80</v>
      </c>
      <c r="C26" s="8" t="s">
        <v>77</v>
      </c>
      <c r="D26" s="9" t="s">
        <v>82</v>
      </c>
      <c r="E26" s="9" t="s">
        <v>78</v>
      </c>
      <c r="F26" s="12">
        <v>2011</v>
      </c>
      <c r="G26" s="3">
        <f t="shared" ref="G26:O26" si="12">G61*1.7</f>
        <v>0</v>
      </c>
      <c r="H26" s="3">
        <f t="shared" si="12"/>
        <v>239941.74643939396</v>
      </c>
      <c r="I26" s="3">
        <f t="shared" si="12"/>
        <v>893601.72399696964</v>
      </c>
      <c r="J26" s="3">
        <f t="shared" si="12"/>
        <v>23840228.298860606</v>
      </c>
      <c r="K26" s="3">
        <f t="shared" si="12"/>
        <v>24048481.852118179</v>
      </c>
      <c r="L26" s="3">
        <f t="shared" si="12"/>
        <v>24049171.511209089</v>
      </c>
      <c r="M26" s="3">
        <f t="shared" si="12"/>
        <v>24049171.511209089</v>
      </c>
      <c r="N26" s="3">
        <f t="shared" si="12"/>
        <v>24049171.511209089</v>
      </c>
      <c r="O26" s="3">
        <f t="shared" si="12"/>
        <v>24049171.511209089</v>
      </c>
    </row>
    <row r="27" spans="1:16" x14ac:dyDescent="0.25">
      <c r="A27" s="28" t="s">
        <v>820</v>
      </c>
      <c r="B27" s="8" t="s">
        <v>80</v>
      </c>
      <c r="C27" s="8" t="s">
        <v>77</v>
      </c>
      <c r="D27" s="9" t="s">
        <v>82</v>
      </c>
      <c r="E27" s="9" t="s">
        <v>78</v>
      </c>
      <c r="F27" s="12">
        <v>2012</v>
      </c>
      <c r="G27" s="3">
        <f t="shared" ref="G27:N27" si="13">G62*1.7</f>
        <v>0</v>
      </c>
      <c r="H27" s="3">
        <f t="shared" si="13"/>
        <v>917141.56568181771</v>
      </c>
      <c r="I27" s="3">
        <f t="shared" si="13"/>
        <v>4749380.4190149968</v>
      </c>
      <c r="J27" s="3">
        <f t="shared" si="13"/>
        <v>6855056.2271301514</v>
      </c>
      <c r="K27" s="3">
        <f t="shared" si="13"/>
        <v>8719906.9979634844</v>
      </c>
      <c r="L27" s="3">
        <f t="shared" si="13"/>
        <v>8952248.7012210563</v>
      </c>
      <c r="M27" s="3">
        <f t="shared" si="13"/>
        <v>9005543.9575089365</v>
      </c>
      <c r="N27" s="3">
        <f t="shared" si="13"/>
        <v>9151252.5029634833</v>
      </c>
    </row>
    <row r="28" spans="1:16" x14ac:dyDescent="0.25">
      <c r="A28" s="28" t="s">
        <v>820</v>
      </c>
      <c r="B28" s="8" t="s">
        <v>80</v>
      </c>
      <c r="C28" s="8" t="s">
        <v>77</v>
      </c>
      <c r="D28" s="9" t="s">
        <v>82</v>
      </c>
      <c r="E28" s="9" t="s">
        <v>78</v>
      </c>
      <c r="F28" s="12">
        <v>2013</v>
      </c>
      <c r="G28" s="3">
        <f t="shared" ref="G28:M28" si="14">G63*1.7</f>
        <v>3908.0681818181811</v>
      </c>
      <c r="H28" s="3">
        <f t="shared" si="14"/>
        <v>178091.28007575756</v>
      </c>
      <c r="I28" s="3">
        <f t="shared" si="14"/>
        <v>410248.16082727269</v>
      </c>
      <c r="J28" s="3">
        <f t="shared" si="14"/>
        <v>868212.90672727267</v>
      </c>
      <c r="K28" s="3">
        <f t="shared" si="14"/>
        <v>1484356.8831407288</v>
      </c>
      <c r="L28" s="3">
        <f t="shared" si="14"/>
        <v>1712306.9544956342</v>
      </c>
      <c r="M28" s="3">
        <f t="shared" si="14"/>
        <v>1896199.3061744219</v>
      </c>
    </row>
    <row r="29" spans="1:16" x14ac:dyDescent="0.25">
      <c r="A29" s="28" t="s">
        <v>820</v>
      </c>
      <c r="B29" s="8" t="s">
        <v>80</v>
      </c>
      <c r="C29" s="8" t="s">
        <v>77</v>
      </c>
      <c r="D29" s="9" t="s">
        <v>82</v>
      </c>
      <c r="E29" s="9" t="s">
        <v>78</v>
      </c>
      <c r="F29" s="12">
        <v>2014</v>
      </c>
      <c r="G29" s="3">
        <f t="shared" ref="G29:L29" si="15">G64*1.7</f>
        <v>4378.7878787878781</v>
      </c>
      <c r="H29" s="3">
        <f t="shared" si="15"/>
        <v>68773.242424242431</v>
      </c>
      <c r="I29" s="3">
        <f t="shared" si="15"/>
        <v>118245.88257575755</v>
      </c>
      <c r="J29" s="3">
        <f t="shared" si="15"/>
        <v>430747.09984848485</v>
      </c>
      <c r="K29" s="3">
        <f t="shared" si="15"/>
        <v>470755.36219696939</v>
      </c>
      <c r="L29" s="3">
        <f t="shared" si="15"/>
        <v>13541054.036439398</v>
      </c>
    </row>
    <row r="30" spans="1:16" x14ac:dyDescent="0.25">
      <c r="A30" s="28" t="s">
        <v>820</v>
      </c>
      <c r="B30" s="8" t="s">
        <v>80</v>
      </c>
      <c r="C30" s="8" t="s">
        <v>77</v>
      </c>
      <c r="D30" s="9" t="s">
        <v>82</v>
      </c>
      <c r="E30" s="9" t="s">
        <v>78</v>
      </c>
      <c r="F30" s="12">
        <v>2015</v>
      </c>
      <c r="G30" s="3">
        <f>G65*1.7</f>
        <v>0</v>
      </c>
      <c r="H30" s="3">
        <f>H65*1.7</f>
        <v>2371.1136363636365</v>
      </c>
      <c r="I30" s="3">
        <f>I65*1.7</f>
        <v>10164.261363636362</v>
      </c>
      <c r="J30" s="3">
        <f>J65*1.7</f>
        <v>54659.599015151507</v>
      </c>
      <c r="K30" s="3">
        <f>K65*1.7</f>
        <v>54659.599015151507</v>
      </c>
    </row>
    <row r="31" spans="1:16" x14ac:dyDescent="0.25">
      <c r="A31" s="28" t="s">
        <v>820</v>
      </c>
      <c r="B31" s="8" t="s">
        <v>80</v>
      </c>
      <c r="C31" s="8" t="s">
        <v>77</v>
      </c>
      <c r="D31" s="9" t="s">
        <v>82</v>
      </c>
      <c r="E31" s="9" t="s">
        <v>78</v>
      </c>
      <c r="F31" s="12">
        <v>2016</v>
      </c>
      <c r="G31" s="3">
        <f>G66*1.7</f>
        <v>0</v>
      </c>
      <c r="H31" s="3">
        <f>H66*1.7</f>
        <v>49182.633030303019</v>
      </c>
      <c r="I31" s="3">
        <f>I66*1.7</f>
        <v>2049234.3253030297</v>
      </c>
      <c r="J31" s="3">
        <f>J66*1.7</f>
        <v>2102073.8154545454</v>
      </c>
    </row>
    <row r="32" spans="1:16" x14ac:dyDescent="0.25">
      <c r="A32" s="28" t="s">
        <v>820</v>
      </c>
      <c r="B32" s="8" t="s">
        <v>80</v>
      </c>
      <c r="C32" s="8" t="s">
        <v>77</v>
      </c>
      <c r="D32" s="9" t="s">
        <v>82</v>
      </c>
      <c r="E32" s="9" t="s">
        <v>78</v>
      </c>
      <c r="F32" s="12">
        <v>2017</v>
      </c>
      <c r="G32" s="3">
        <f>G67*1.7</f>
        <v>28385.317272727269</v>
      </c>
      <c r="H32" s="3">
        <f>H67*1.7</f>
        <v>8855723.70439394</v>
      </c>
      <c r="I32" s="3">
        <f>I67*1.7</f>
        <v>36769829.877687886</v>
      </c>
      <c r="J32" s="3"/>
    </row>
    <row r="33" spans="1:16" x14ac:dyDescent="0.25">
      <c r="A33" s="28" t="s">
        <v>820</v>
      </c>
      <c r="B33" s="8" t="s">
        <v>80</v>
      </c>
      <c r="C33" s="8" t="s">
        <v>77</v>
      </c>
      <c r="D33" s="9" t="s">
        <v>82</v>
      </c>
      <c r="E33" s="9" t="s">
        <v>78</v>
      </c>
      <c r="F33" s="12">
        <v>2018</v>
      </c>
      <c r="G33" s="3">
        <f>G68*1.7</f>
        <v>18229.988636363632</v>
      </c>
      <c r="H33" s="3">
        <f>H68*1.7</f>
        <v>171919.52568787878</v>
      </c>
      <c r="I33" s="3"/>
      <c r="J33" s="3"/>
    </row>
    <row r="34" spans="1:16" x14ac:dyDescent="0.25">
      <c r="A34" s="28" t="s">
        <v>820</v>
      </c>
      <c r="B34" s="8" t="s">
        <v>80</v>
      </c>
      <c r="C34" s="8" t="s">
        <v>77</v>
      </c>
      <c r="D34" s="9" t="s">
        <v>82</v>
      </c>
      <c r="E34" s="9" t="s">
        <v>78</v>
      </c>
      <c r="F34" s="12">
        <v>2019</v>
      </c>
      <c r="G34" s="3">
        <f>G69*1.7</f>
        <v>78142.753787878755</v>
      </c>
      <c r="H34" s="3"/>
      <c r="I34" s="3"/>
      <c r="J34" s="3"/>
    </row>
    <row r="38" spans="1:16" x14ac:dyDescent="0.25">
      <c r="A38" s="28" t="s">
        <v>821</v>
      </c>
      <c r="B38" s="8" t="s">
        <v>76</v>
      </c>
      <c r="C38" s="8" t="s">
        <v>77</v>
      </c>
      <c r="D38" s="9" t="s">
        <v>82</v>
      </c>
      <c r="E38" s="9" t="s">
        <v>78</v>
      </c>
      <c r="F38" s="12">
        <v>2010</v>
      </c>
      <c r="G38" s="3">
        <f t="shared" ref="G38:P38" si="16">G73*1.7</f>
        <v>3092140.3030303037</v>
      </c>
      <c r="H38" s="3">
        <f t="shared" si="16"/>
        <v>4153513.4090909096</v>
      </c>
      <c r="I38" s="3">
        <f t="shared" si="16"/>
        <v>8142752.7421073439</v>
      </c>
      <c r="J38" s="3">
        <f t="shared" si="16"/>
        <v>8758519.7875618897</v>
      </c>
      <c r="K38" s="3">
        <f t="shared" si="16"/>
        <v>8758519.7875618897</v>
      </c>
      <c r="L38" s="3">
        <f t="shared" si="16"/>
        <v>8758519.7875618897</v>
      </c>
      <c r="M38" s="3">
        <f t="shared" si="16"/>
        <v>8758519.7875618897</v>
      </c>
      <c r="N38" s="3">
        <f t="shared" si="16"/>
        <v>8758519.7875618916</v>
      </c>
      <c r="O38" s="3">
        <f t="shared" si="16"/>
        <v>8758519.7875618916</v>
      </c>
      <c r="P38" s="3">
        <f t="shared" si="16"/>
        <v>8758519.7875618897</v>
      </c>
    </row>
    <row r="39" spans="1:16" x14ac:dyDescent="0.25">
      <c r="A39" s="28" t="s">
        <v>821</v>
      </c>
      <c r="B39" s="8" t="s">
        <v>76</v>
      </c>
      <c r="C39" s="8" t="s">
        <v>77</v>
      </c>
      <c r="D39" s="9" t="s">
        <v>82</v>
      </c>
      <c r="E39" s="9" t="s">
        <v>78</v>
      </c>
      <c r="F39" s="12">
        <v>2011</v>
      </c>
      <c r="G39" s="3">
        <f t="shared" ref="G39:O39" si="17">G74*1.7</f>
        <v>1293880.6582578325</v>
      </c>
      <c r="H39" s="3">
        <f t="shared" si="17"/>
        <v>12970630.239324365</v>
      </c>
      <c r="I39" s="3">
        <f t="shared" si="17"/>
        <v>11083368.207855435</v>
      </c>
      <c r="J39" s="3">
        <f t="shared" si="17"/>
        <v>11231152.298764525</v>
      </c>
      <c r="K39" s="3">
        <f t="shared" si="17"/>
        <v>11231152.298764525</v>
      </c>
      <c r="L39" s="3">
        <f t="shared" si="17"/>
        <v>11231152.298764525</v>
      </c>
      <c r="M39" s="3">
        <f t="shared" si="17"/>
        <v>11231152.298764525</v>
      </c>
      <c r="N39" s="3">
        <f t="shared" si="17"/>
        <v>11231152.298764525</v>
      </c>
      <c r="O39" s="3">
        <f t="shared" si="17"/>
        <v>11231152.298764525</v>
      </c>
    </row>
    <row r="40" spans="1:16" x14ac:dyDescent="0.25">
      <c r="A40" s="28" t="s">
        <v>821</v>
      </c>
      <c r="B40" s="8" t="s">
        <v>76</v>
      </c>
      <c r="C40" s="8" t="s">
        <v>77</v>
      </c>
      <c r="D40" s="9" t="s">
        <v>82</v>
      </c>
      <c r="E40" s="9" t="s">
        <v>78</v>
      </c>
      <c r="F40" s="12">
        <v>2012</v>
      </c>
      <c r="G40" s="3">
        <f t="shared" ref="G40:N40" si="18">G75*1.7</f>
        <v>9415057.4428148419</v>
      </c>
      <c r="H40" s="3">
        <f t="shared" si="18"/>
        <v>16067663.1420113</v>
      </c>
      <c r="I40" s="3">
        <f t="shared" si="18"/>
        <v>16640189.657162813</v>
      </c>
      <c r="J40" s="3">
        <f t="shared" si="18"/>
        <v>16640189.657162813</v>
      </c>
      <c r="K40" s="3">
        <f t="shared" si="18"/>
        <v>16640189.657162813</v>
      </c>
      <c r="L40" s="3">
        <f t="shared" si="18"/>
        <v>16640189.657162813</v>
      </c>
      <c r="M40" s="3">
        <f t="shared" si="18"/>
        <v>16640189.657162813</v>
      </c>
      <c r="N40" s="3">
        <f t="shared" si="18"/>
        <v>16640189.657162813</v>
      </c>
    </row>
    <row r="41" spans="1:16" x14ac:dyDescent="0.25">
      <c r="A41" s="28" t="s">
        <v>821</v>
      </c>
      <c r="B41" s="8" t="s">
        <v>76</v>
      </c>
      <c r="C41" s="8" t="s">
        <v>77</v>
      </c>
      <c r="D41" s="9" t="s">
        <v>82</v>
      </c>
      <c r="E41" s="9" t="s">
        <v>78</v>
      </c>
      <c r="F41" s="12">
        <v>2013</v>
      </c>
      <c r="G41" s="3">
        <f t="shared" ref="G41:M41" si="19">G76*1.7</f>
        <v>13263793.137302516</v>
      </c>
      <c r="H41" s="3">
        <f t="shared" si="19"/>
        <v>19560142.289645098</v>
      </c>
      <c r="I41" s="3">
        <f t="shared" si="19"/>
        <v>19560142.289645098</v>
      </c>
      <c r="J41" s="3">
        <f t="shared" si="19"/>
        <v>19560142.289645098</v>
      </c>
      <c r="K41" s="3">
        <f t="shared" si="19"/>
        <v>19560142.289645098</v>
      </c>
      <c r="L41" s="3">
        <f t="shared" si="19"/>
        <v>19560142.289645098</v>
      </c>
      <c r="M41" s="3">
        <f t="shared" si="19"/>
        <v>19560142.289645098</v>
      </c>
    </row>
    <row r="42" spans="1:16" x14ac:dyDescent="0.25">
      <c r="A42" s="28" t="s">
        <v>821</v>
      </c>
      <c r="B42" s="8" t="s">
        <v>76</v>
      </c>
      <c r="C42" s="8" t="s">
        <v>77</v>
      </c>
      <c r="D42" s="9" t="s">
        <v>82</v>
      </c>
      <c r="E42" s="9" t="s">
        <v>78</v>
      </c>
      <c r="F42" s="12">
        <v>2014</v>
      </c>
      <c r="G42" s="3">
        <f t="shared" ref="G42:L42" si="20">G77*1.7</f>
        <v>21205808.815255258</v>
      </c>
      <c r="H42" s="3">
        <f t="shared" si="20"/>
        <v>23804136.237571649</v>
      </c>
      <c r="I42" s="3">
        <f t="shared" si="20"/>
        <v>25746515.025450442</v>
      </c>
      <c r="J42" s="3">
        <f t="shared" si="20"/>
        <v>26272203.543450423</v>
      </c>
      <c r="K42" s="3">
        <f t="shared" si="20"/>
        <v>26272203.543450423</v>
      </c>
      <c r="L42" s="3">
        <f t="shared" si="20"/>
        <v>26272203.543450423</v>
      </c>
    </row>
    <row r="43" spans="1:16" x14ac:dyDescent="0.25">
      <c r="A43" s="28" t="s">
        <v>821</v>
      </c>
      <c r="B43" s="8" t="s">
        <v>76</v>
      </c>
      <c r="C43" s="8" t="s">
        <v>77</v>
      </c>
      <c r="D43" s="9" t="s">
        <v>82</v>
      </c>
      <c r="E43" s="9" t="s">
        <v>78</v>
      </c>
      <c r="F43" s="12">
        <v>2015</v>
      </c>
      <c r="G43" s="3">
        <f>G78*1.7</f>
        <v>12795557.036086667</v>
      </c>
      <c r="H43" s="3">
        <f>H78*1.7</f>
        <v>15067159.243338855</v>
      </c>
      <c r="I43" s="3">
        <f>I78*1.7</f>
        <v>14513938.904355805</v>
      </c>
      <c r="J43" s="3">
        <f>J78*1.7</f>
        <v>14513938.904355805</v>
      </c>
      <c r="K43" s="3">
        <f>K78*1.7</f>
        <v>14513938.904355805</v>
      </c>
    </row>
    <row r="44" spans="1:16" x14ac:dyDescent="0.25">
      <c r="A44" s="28" t="s">
        <v>821</v>
      </c>
      <c r="B44" s="8" t="s">
        <v>76</v>
      </c>
      <c r="C44" s="8" t="s">
        <v>77</v>
      </c>
      <c r="D44" s="9" t="s">
        <v>82</v>
      </c>
      <c r="E44" s="9" t="s">
        <v>78</v>
      </c>
      <c r="F44" s="12">
        <v>2016</v>
      </c>
      <c r="G44" s="3">
        <f>G79*1.7</f>
        <v>26327645.296063516</v>
      </c>
      <c r="H44" s="3">
        <f>H79*1.7</f>
        <v>27429852.597667776</v>
      </c>
      <c r="I44" s="3">
        <f>I79*1.7</f>
        <v>27681305.392102849</v>
      </c>
      <c r="J44" s="3">
        <f>J79*1.7</f>
        <v>27681305.498739209</v>
      </c>
    </row>
    <row r="45" spans="1:16" x14ac:dyDescent="0.25">
      <c r="A45" s="28" t="s">
        <v>821</v>
      </c>
      <c r="B45" s="8" t="s">
        <v>76</v>
      </c>
      <c r="C45" s="8" t="s">
        <v>77</v>
      </c>
      <c r="D45" s="9" t="s">
        <v>82</v>
      </c>
      <c r="E45" s="9" t="s">
        <v>78</v>
      </c>
      <c r="F45" s="12">
        <v>2017</v>
      </c>
      <c r="G45" s="3">
        <f>G80*1.7</f>
        <v>37572069.285817921</v>
      </c>
      <c r="H45" s="3">
        <f>H80*1.7</f>
        <v>37691060.874749221</v>
      </c>
      <c r="I45" s="3">
        <f>I80*1.7</f>
        <v>40089097.676036075</v>
      </c>
      <c r="J45" s="3"/>
    </row>
    <row r="46" spans="1:16" x14ac:dyDescent="0.25">
      <c r="A46" s="28" t="s">
        <v>821</v>
      </c>
      <c r="B46" s="8" t="s">
        <v>76</v>
      </c>
      <c r="C46" s="8" t="s">
        <v>77</v>
      </c>
      <c r="D46" s="9" t="s">
        <v>82</v>
      </c>
      <c r="E46" s="9" t="s">
        <v>78</v>
      </c>
      <c r="F46" s="12">
        <v>2018</v>
      </c>
      <c r="G46" s="3">
        <f>G81*1.7</f>
        <v>64075423.969206288</v>
      </c>
      <c r="H46" s="3">
        <f>H81*1.7</f>
        <v>66211417.663857289</v>
      </c>
      <c r="I46" s="3"/>
      <c r="J46" s="3"/>
    </row>
    <row r="47" spans="1:16" x14ac:dyDescent="0.25">
      <c r="A47" s="28" t="s">
        <v>821</v>
      </c>
      <c r="B47" s="8" t="s">
        <v>76</v>
      </c>
      <c r="C47" s="8" t="s">
        <v>77</v>
      </c>
      <c r="D47" s="9" t="s">
        <v>82</v>
      </c>
      <c r="E47" s="9" t="s">
        <v>78</v>
      </c>
      <c r="F47" s="12">
        <v>2019</v>
      </c>
      <c r="G47" s="3">
        <f>G82*1.7</f>
        <v>60474526.116852485</v>
      </c>
      <c r="H47" s="3"/>
      <c r="I47" s="3"/>
      <c r="J47" s="3"/>
    </row>
    <row r="49" spans="1:16" x14ac:dyDescent="0.25">
      <c r="A49" s="28" t="s">
        <v>821</v>
      </c>
      <c r="B49" s="8" t="s">
        <v>79</v>
      </c>
      <c r="C49" s="8" t="s">
        <v>77</v>
      </c>
      <c r="D49" s="9" t="s">
        <v>82</v>
      </c>
      <c r="E49" s="9" t="s">
        <v>78</v>
      </c>
      <c r="F49" s="12">
        <v>2010</v>
      </c>
      <c r="G49" s="3">
        <f t="shared" ref="G49:P49" si="21">G84*1.7</f>
        <v>0</v>
      </c>
      <c r="H49" s="3">
        <f t="shared" si="21"/>
        <v>2.5757575757575752</v>
      </c>
      <c r="I49" s="3">
        <f t="shared" si="21"/>
        <v>9014.8939393939399</v>
      </c>
      <c r="J49" s="3">
        <f t="shared" si="21"/>
        <v>8907.3431818181798</v>
      </c>
      <c r="K49" s="3">
        <f t="shared" si="21"/>
        <v>6432.3363636363638</v>
      </c>
      <c r="L49" s="3">
        <f t="shared" si="21"/>
        <v>6432.3363636363638</v>
      </c>
      <c r="M49" s="3">
        <f t="shared" si="21"/>
        <v>6432.3363636363638</v>
      </c>
      <c r="N49" s="3">
        <f t="shared" si="21"/>
        <v>6432.336363636362</v>
      </c>
      <c r="O49" s="3">
        <f t="shared" si="21"/>
        <v>6432.336363636362</v>
      </c>
      <c r="P49" s="3">
        <f t="shared" si="21"/>
        <v>6432.3363636363638</v>
      </c>
    </row>
    <row r="50" spans="1:16" x14ac:dyDescent="0.25">
      <c r="A50" s="28" t="s">
        <v>821</v>
      </c>
      <c r="B50" s="8" t="s">
        <v>79</v>
      </c>
      <c r="C50" s="8" t="s">
        <v>77</v>
      </c>
      <c r="D50" s="9" t="s">
        <v>82</v>
      </c>
      <c r="E50" s="9" t="s">
        <v>78</v>
      </c>
      <c r="F50" s="12">
        <v>2011</v>
      </c>
      <c r="G50" s="3">
        <f t="shared" ref="G50:O50" si="22">G85*1.7</f>
        <v>2592.5</v>
      </c>
      <c r="H50" s="3">
        <f t="shared" si="22"/>
        <v>241253.67343695756</v>
      </c>
      <c r="I50" s="3">
        <f t="shared" si="22"/>
        <v>3563254.0432440792</v>
      </c>
      <c r="J50" s="3">
        <f t="shared" si="22"/>
        <v>14993932.265818181</v>
      </c>
      <c r="K50" s="3">
        <f t="shared" si="22"/>
        <v>14344907.386272728</v>
      </c>
      <c r="L50" s="3">
        <f t="shared" si="22"/>
        <v>14146571.477181818</v>
      </c>
      <c r="M50" s="3">
        <f t="shared" si="22"/>
        <v>14146571.477181818</v>
      </c>
      <c r="N50" s="3">
        <f t="shared" si="22"/>
        <v>14146571.477181818</v>
      </c>
      <c r="O50" s="3">
        <f t="shared" si="22"/>
        <v>14146571.477181818</v>
      </c>
    </row>
    <row r="51" spans="1:16" x14ac:dyDescent="0.25">
      <c r="A51" s="28" t="s">
        <v>821</v>
      </c>
      <c r="B51" s="8" t="s">
        <v>79</v>
      </c>
      <c r="C51" s="8" t="s">
        <v>77</v>
      </c>
      <c r="D51" s="9" t="s">
        <v>82</v>
      </c>
      <c r="E51" s="9" t="s">
        <v>78</v>
      </c>
      <c r="F51" s="12">
        <v>2012</v>
      </c>
      <c r="G51" s="3">
        <f t="shared" ref="G51:N51" si="23">G86*1.7</f>
        <v>1038030.3030303029</v>
      </c>
      <c r="H51" s="3">
        <f t="shared" si="23"/>
        <v>1073814.0537878789</v>
      </c>
      <c r="I51" s="3">
        <f t="shared" si="23"/>
        <v>3680258.5755346674</v>
      </c>
      <c r="J51" s="3">
        <f t="shared" si="23"/>
        <v>6147996.091716487</v>
      </c>
      <c r="K51" s="3">
        <f t="shared" si="23"/>
        <v>5195666.0727770915</v>
      </c>
      <c r="L51" s="3">
        <f t="shared" si="23"/>
        <v>5987351.5265649715</v>
      </c>
      <c r="M51" s="3">
        <f t="shared" si="23"/>
        <v>5991904.7833831524</v>
      </c>
      <c r="N51" s="3">
        <f t="shared" si="23"/>
        <v>6065217.2833831543</v>
      </c>
    </row>
    <row r="52" spans="1:16" x14ac:dyDescent="0.25">
      <c r="A52" s="28" t="s">
        <v>821</v>
      </c>
      <c r="B52" s="8" t="s">
        <v>79</v>
      </c>
      <c r="C52" s="8" t="s">
        <v>77</v>
      </c>
      <c r="D52" s="9" t="s">
        <v>82</v>
      </c>
      <c r="E52" s="9" t="s">
        <v>78</v>
      </c>
      <c r="F52" s="12">
        <v>2013</v>
      </c>
      <c r="G52" s="3">
        <f t="shared" ref="G52:M52" si="24">G87*1.7</f>
        <v>19318.181818181813</v>
      </c>
      <c r="H52" s="3">
        <f t="shared" si="24"/>
        <v>497429.95530303032</v>
      </c>
      <c r="I52" s="3">
        <f t="shared" si="24"/>
        <v>706064.17178787873</v>
      </c>
      <c r="J52" s="3">
        <f t="shared" si="24"/>
        <v>886869.07454545458</v>
      </c>
      <c r="K52" s="3">
        <f t="shared" si="24"/>
        <v>1478302.0600667694</v>
      </c>
      <c r="L52" s="3">
        <f t="shared" si="24"/>
        <v>1500601.0859732921</v>
      </c>
      <c r="M52" s="3">
        <f t="shared" si="24"/>
        <v>1496032.3030035952</v>
      </c>
    </row>
    <row r="53" spans="1:16" x14ac:dyDescent="0.25">
      <c r="A53" s="28" t="s">
        <v>821</v>
      </c>
      <c r="B53" s="8" t="s">
        <v>79</v>
      </c>
      <c r="C53" s="8" t="s">
        <v>77</v>
      </c>
      <c r="D53" s="9" t="s">
        <v>82</v>
      </c>
      <c r="E53" s="9" t="s">
        <v>78</v>
      </c>
      <c r="F53" s="12">
        <v>2014</v>
      </c>
      <c r="G53" s="3">
        <f t="shared" ref="G53:L53" si="25">G88*1.7</f>
        <v>7727.2727272727261</v>
      </c>
      <c r="H53" s="3">
        <f t="shared" si="25"/>
        <v>46363.636363636353</v>
      </c>
      <c r="I53" s="3">
        <f t="shared" si="25"/>
        <v>203482.9166666666</v>
      </c>
      <c r="J53" s="3">
        <f t="shared" si="25"/>
        <v>305224.20757575752</v>
      </c>
      <c r="K53" s="3">
        <f t="shared" si="25"/>
        <v>305223.78257575753</v>
      </c>
      <c r="L53" s="3">
        <f t="shared" si="25"/>
        <v>7965325.9037878811</v>
      </c>
    </row>
    <row r="54" spans="1:16" x14ac:dyDescent="0.25">
      <c r="A54" s="28" t="s">
        <v>821</v>
      </c>
      <c r="B54" s="8" t="s">
        <v>79</v>
      </c>
      <c r="C54" s="8" t="s">
        <v>77</v>
      </c>
      <c r="D54" s="9" t="s">
        <v>82</v>
      </c>
      <c r="E54" s="9" t="s">
        <v>78</v>
      </c>
      <c r="F54" s="12">
        <v>2015</v>
      </c>
      <c r="G54" s="3">
        <f>G89*1.7</f>
        <v>96590.909090909074</v>
      </c>
      <c r="H54" s="3">
        <f>H89*1.7</f>
        <v>12878.787878787878</v>
      </c>
      <c r="I54" s="3">
        <f>I89*1.7</f>
        <v>12878.787878787878</v>
      </c>
      <c r="J54" s="3">
        <f>J89*1.7</f>
        <v>57242.5159090909</v>
      </c>
      <c r="K54" s="3">
        <f>K89*1.7</f>
        <v>51206.871969696957</v>
      </c>
    </row>
    <row r="55" spans="1:16" x14ac:dyDescent="0.25">
      <c r="A55" s="28" t="s">
        <v>821</v>
      </c>
      <c r="B55" s="8" t="s">
        <v>79</v>
      </c>
      <c r="C55" s="8" t="s">
        <v>77</v>
      </c>
      <c r="D55" s="9" t="s">
        <v>82</v>
      </c>
      <c r="E55" s="9" t="s">
        <v>78</v>
      </c>
      <c r="F55" s="12">
        <v>2016</v>
      </c>
      <c r="G55" s="3">
        <f>G90*1.7</f>
        <v>0</v>
      </c>
      <c r="H55" s="3">
        <f>H90*1.7</f>
        <v>103030.30303030302</v>
      </c>
      <c r="I55" s="3">
        <f>I90*1.7</f>
        <v>1244154.8522727271</v>
      </c>
      <c r="J55" s="3">
        <f>J90*1.7</f>
        <v>1277922.8537878785</v>
      </c>
    </row>
    <row r="56" spans="1:16" x14ac:dyDescent="0.25">
      <c r="A56" s="28" t="s">
        <v>821</v>
      </c>
      <c r="B56" s="8" t="s">
        <v>79</v>
      </c>
      <c r="C56" s="8" t="s">
        <v>77</v>
      </c>
      <c r="D56" s="9" t="s">
        <v>82</v>
      </c>
      <c r="E56" s="9" t="s">
        <v>78</v>
      </c>
      <c r="F56" s="12">
        <v>2017</v>
      </c>
      <c r="G56" s="3">
        <f>G91*1.7</f>
        <v>247916.66666666663</v>
      </c>
      <c r="H56" s="3">
        <f>H91*1.7</f>
        <v>6281628.7878787853</v>
      </c>
      <c r="I56" s="3">
        <f>I91*1.7</f>
        <v>21955475.022878792</v>
      </c>
      <c r="J56" s="3"/>
    </row>
    <row r="57" spans="1:16" x14ac:dyDescent="0.25">
      <c r="A57" s="28" t="s">
        <v>821</v>
      </c>
      <c r="B57" s="8" t="s">
        <v>79</v>
      </c>
      <c r="C57" s="8" t="s">
        <v>77</v>
      </c>
      <c r="D57" s="9" t="s">
        <v>82</v>
      </c>
      <c r="E57" s="9" t="s">
        <v>78</v>
      </c>
      <c r="F57" s="12">
        <v>2018</v>
      </c>
      <c r="G57" s="3">
        <f>G92*1.7</f>
        <v>89024.621212121201</v>
      </c>
      <c r="H57" s="3">
        <f>H92*1.7</f>
        <v>567687.54022510827</v>
      </c>
      <c r="I57" s="3"/>
      <c r="J57" s="3"/>
    </row>
    <row r="58" spans="1:16" x14ac:dyDescent="0.25">
      <c r="A58" s="28" t="s">
        <v>821</v>
      </c>
      <c r="B58" s="8" t="s">
        <v>79</v>
      </c>
      <c r="C58" s="8" t="s">
        <v>77</v>
      </c>
      <c r="D58" s="9" t="s">
        <v>82</v>
      </c>
      <c r="E58" s="9" t="s">
        <v>78</v>
      </c>
      <c r="F58" s="12">
        <v>2019</v>
      </c>
      <c r="G58" s="3">
        <f>G93*1.7</f>
        <v>289772.72727272735</v>
      </c>
      <c r="H58" s="3"/>
      <c r="I58" s="3"/>
      <c r="J58" s="3"/>
    </row>
    <row r="60" spans="1:16" x14ac:dyDescent="0.25">
      <c r="A60" s="28" t="s">
        <v>821</v>
      </c>
      <c r="B60" s="8" t="s">
        <v>80</v>
      </c>
      <c r="C60" s="8" t="s">
        <v>77</v>
      </c>
      <c r="D60" s="9" t="s">
        <v>82</v>
      </c>
      <c r="E60" s="9" t="s">
        <v>78</v>
      </c>
      <c r="F60" s="12">
        <v>2010</v>
      </c>
      <c r="G60" s="3">
        <f t="shared" ref="G60:P60" si="26">G95*1.7</f>
        <v>0</v>
      </c>
      <c r="H60" s="3">
        <f t="shared" si="26"/>
        <v>0</v>
      </c>
      <c r="I60" s="3">
        <f t="shared" si="26"/>
        <v>3085.5</v>
      </c>
      <c r="J60" s="3">
        <f t="shared" si="26"/>
        <v>3964.4643939393941</v>
      </c>
      <c r="K60" s="3">
        <f t="shared" si="26"/>
        <v>6432.3363636363638</v>
      </c>
      <c r="L60" s="3">
        <f t="shared" si="26"/>
        <v>6432.3363636363638</v>
      </c>
      <c r="M60" s="3">
        <f t="shared" si="26"/>
        <v>6432.3363636363638</v>
      </c>
      <c r="N60" s="3">
        <f t="shared" si="26"/>
        <v>6432.336363636362</v>
      </c>
      <c r="O60" s="3">
        <f t="shared" si="26"/>
        <v>6432.336363636362</v>
      </c>
      <c r="P60" s="3">
        <f t="shared" si="26"/>
        <v>6432.3363636363638</v>
      </c>
    </row>
    <row r="61" spans="1:16" x14ac:dyDescent="0.25">
      <c r="A61" s="28" t="s">
        <v>821</v>
      </c>
      <c r="B61" s="8" t="s">
        <v>80</v>
      </c>
      <c r="C61" s="8" t="s">
        <v>77</v>
      </c>
      <c r="D61" s="9" t="s">
        <v>82</v>
      </c>
      <c r="E61" s="9" t="s">
        <v>78</v>
      </c>
      <c r="F61" s="12">
        <v>2011</v>
      </c>
      <c r="G61" s="3">
        <f t="shared" ref="G61:O61" si="27">G96*1.7</f>
        <v>0</v>
      </c>
      <c r="H61" s="3">
        <f t="shared" si="27"/>
        <v>141142.2037878788</v>
      </c>
      <c r="I61" s="3">
        <f t="shared" si="27"/>
        <v>525648.07293939393</v>
      </c>
      <c r="J61" s="3">
        <f t="shared" si="27"/>
        <v>14023663.705212122</v>
      </c>
      <c r="K61" s="3">
        <f t="shared" si="27"/>
        <v>14146165.795363635</v>
      </c>
      <c r="L61" s="3">
        <f t="shared" si="27"/>
        <v>14146571.477181818</v>
      </c>
      <c r="M61" s="3">
        <f t="shared" si="27"/>
        <v>14146571.477181818</v>
      </c>
      <c r="N61" s="3">
        <f t="shared" si="27"/>
        <v>14146571.477181818</v>
      </c>
      <c r="O61" s="3">
        <f t="shared" si="27"/>
        <v>14146571.477181818</v>
      </c>
    </row>
    <row r="62" spans="1:16" x14ac:dyDescent="0.25">
      <c r="A62" s="28" t="s">
        <v>821</v>
      </c>
      <c r="B62" s="8" t="s">
        <v>80</v>
      </c>
      <c r="C62" s="8" t="s">
        <v>77</v>
      </c>
      <c r="D62" s="9" t="s">
        <v>82</v>
      </c>
      <c r="E62" s="9" t="s">
        <v>78</v>
      </c>
      <c r="F62" s="12">
        <v>2012</v>
      </c>
      <c r="G62" s="3">
        <f t="shared" ref="G62:N62" si="28">G97*1.7</f>
        <v>0</v>
      </c>
      <c r="H62" s="3">
        <f t="shared" si="28"/>
        <v>539495.03863636334</v>
      </c>
      <c r="I62" s="3">
        <f t="shared" si="28"/>
        <v>2793753.1876558806</v>
      </c>
      <c r="J62" s="3">
        <f t="shared" si="28"/>
        <v>4032386.0159589127</v>
      </c>
      <c r="K62" s="3">
        <f t="shared" si="28"/>
        <v>5129357.0576255787</v>
      </c>
      <c r="L62" s="3">
        <f t="shared" si="28"/>
        <v>5266028.6477770917</v>
      </c>
      <c r="M62" s="3">
        <f t="shared" si="28"/>
        <v>5297378.798534669</v>
      </c>
      <c r="N62" s="3">
        <f t="shared" si="28"/>
        <v>5383089.7076255782</v>
      </c>
    </row>
    <row r="63" spans="1:16" x14ac:dyDescent="0.25">
      <c r="A63" s="28" t="s">
        <v>821</v>
      </c>
      <c r="B63" s="8" t="s">
        <v>80</v>
      </c>
      <c r="C63" s="8" t="s">
        <v>77</v>
      </c>
      <c r="D63" s="9" t="s">
        <v>82</v>
      </c>
      <c r="E63" s="9" t="s">
        <v>78</v>
      </c>
      <c r="F63" s="12">
        <v>2013</v>
      </c>
      <c r="G63" s="3">
        <f t="shared" ref="G63:M63" si="29">G98*1.7</f>
        <v>2298.863636363636</v>
      </c>
      <c r="H63" s="3">
        <f t="shared" si="29"/>
        <v>104759.57651515151</v>
      </c>
      <c r="I63" s="3">
        <f t="shared" si="29"/>
        <v>241322.44754545452</v>
      </c>
      <c r="J63" s="3">
        <f t="shared" si="29"/>
        <v>510713.47454545455</v>
      </c>
      <c r="K63" s="3">
        <f t="shared" si="29"/>
        <v>873151.10772984056</v>
      </c>
      <c r="L63" s="3">
        <f t="shared" si="29"/>
        <v>1007239.3849974319</v>
      </c>
      <c r="M63" s="3">
        <f t="shared" si="29"/>
        <v>1115411.3565731894</v>
      </c>
    </row>
    <row r="64" spans="1:16" x14ac:dyDescent="0.25">
      <c r="A64" s="28" t="s">
        <v>821</v>
      </c>
      <c r="B64" s="8" t="s">
        <v>80</v>
      </c>
      <c r="C64" s="8" t="s">
        <v>77</v>
      </c>
      <c r="D64" s="9" t="s">
        <v>82</v>
      </c>
      <c r="E64" s="9" t="s">
        <v>78</v>
      </c>
      <c r="F64" s="12">
        <v>2014</v>
      </c>
      <c r="G64" s="3">
        <f t="shared" ref="G64:L64" si="30">G99*1.7</f>
        <v>2575.7575757575755</v>
      </c>
      <c r="H64" s="3">
        <f t="shared" si="30"/>
        <v>40454.848484848488</v>
      </c>
      <c r="I64" s="3">
        <f t="shared" si="30"/>
        <v>69556.401515151505</v>
      </c>
      <c r="J64" s="3">
        <f t="shared" si="30"/>
        <v>253380.64696969697</v>
      </c>
      <c r="K64" s="3">
        <f t="shared" si="30"/>
        <v>276914.91893939377</v>
      </c>
      <c r="L64" s="3">
        <f t="shared" si="30"/>
        <v>7965325.9037878811</v>
      </c>
    </row>
    <row r="65" spans="1:16" x14ac:dyDescent="0.25">
      <c r="A65" s="28" t="s">
        <v>821</v>
      </c>
      <c r="B65" s="8" t="s">
        <v>80</v>
      </c>
      <c r="C65" s="8" t="s">
        <v>77</v>
      </c>
      <c r="D65" s="9" t="s">
        <v>82</v>
      </c>
      <c r="E65" s="9" t="s">
        <v>78</v>
      </c>
      <c r="F65" s="12">
        <v>2015</v>
      </c>
      <c r="G65" s="3">
        <f>G100*1.7</f>
        <v>0</v>
      </c>
      <c r="H65" s="3">
        <f>H100*1.7</f>
        <v>1394.7727272727273</v>
      </c>
      <c r="I65" s="3">
        <f>I100*1.7</f>
        <v>5978.9772727272721</v>
      </c>
      <c r="J65" s="3">
        <f>J100*1.7</f>
        <v>32152.7053030303</v>
      </c>
      <c r="K65" s="3">
        <f>K100*1.7</f>
        <v>32152.7053030303</v>
      </c>
    </row>
    <row r="66" spans="1:16" x14ac:dyDescent="0.25">
      <c r="A66" s="28" t="s">
        <v>821</v>
      </c>
      <c r="B66" s="8" t="s">
        <v>80</v>
      </c>
      <c r="C66" s="8" t="s">
        <v>77</v>
      </c>
      <c r="D66" s="9" t="s">
        <v>82</v>
      </c>
      <c r="E66" s="9" t="s">
        <v>78</v>
      </c>
      <c r="F66" s="12">
        <v>2016</v>
      </c>
      <c r="G66" s="3">
        <f>G101*1.7</f>
        <v>0</v>
      </c>
      <c r="H66" s="3">
        <f>H101*1.7</f>
        <v>28930.960606060602</v>
      </c>
      <c r="I66" s="3">
        <f>I101*1.7</f>
        <v>1205431.9560606058</v>
      </c>
      <c r="J66" s="3">
        <f>J101*1.7</f>
        <v>1236514.009090909</v>
      </c>
    </row>
    <row r="67" spans="1:16" x14ac:dyDescent="0.25">
      <c r="A67" s="28" t="s">
        <v>821</v>
      </c>
      <c r="B67" s="8" t="s">
        <v>80</v>
      </c>
      <c r="C67" s="8" t="s">
        <v>77</v>
      </c>
      <c r="D67" s="9" t="s">
        <v>82</v>
      </c>
      <c r="E67" s="9" t="s">
        <v>78</v>
      </c>
      <c r="F67" s="12">
        <v>2017</v>
      </c>
      <c r="G67" s="3">
        <f>G102*1.7</f>
        <v>16697.245454545453</v>
      </c>
      <c r="H67" s="3">
        <f>H102*1.7</f>
        <v>5209249.2378787883</v>
      </c>
      <c r="I67" s="3">
        <f>I102*1.7</f>
        <v>21629311.69275758</v>
      </c>
      <c r="J67" s="3"/>
    </row>
    <row r="68" spans="1:16" x14ac:dyDescent="0.25">
      <c r="A68" s="28" t="s">
        <v>821</v>
      </c>
      <c r="B68" s="8" t="s">
        <v>80</v>
      </c>
      <c r="C68" s="8" t="s">
        <v>77</v>
      </c>
      <c r="D68" s="9" t="s">
        <v>82</v>
      </c>
      <c r="E68" s="9" t="s">
        <v>78</v>
      </c>
      <c r="F68" s="12">
        <v>2018</v>
      </c>
      <c r="G68" s="3">
        <f>G103*1.7</f>
        <v>10723.522727272726</v>
      </c>
      <c r="H68" s="3">
        <f>H103*1.7</f>
        <v>101129.13275757576</v>
      </c>
      <c r="I68" s="3"/>
      <c r="J68" s="3"/>
    </row>
    <row r="69" spans="1:16" x14ac:dyDescent="0.25">
      <c r="A69" s="28" t="s">
        <v>821</v>
      </c>
      <c r="B69" s="8" t="s">
        <v>80</v>
      </c>
      <c r="C69" s="8" t="s">
        <v>77</v>
      </c>
      <c r="D69" s="9" t="s">
        <v>82</v>
      </c>
      <c r="E69" s="9" t="s">
        <v>78</v>
      </c>
      <c r="F69" s="12">
        <v>2019</v>
      </c>
      <c r="G69" s="3">
        <f>G104*1.7</f>
        <v>45966.325757575738</v>
      </c>
      <c r="H69" s="3"/>
      <c r="I69" s="3"/>
      <c r="J69" s="3"/>
    </row>
    <row r="73" spans="1:16" x14ac:dyDescent="0.25">
      <c r="A73" s="28" t="s">
        <v>822</v>
      </c>
      <c r="B73" s="8" t="s">
        <v>76</v>
      </c>
      <c r="C73" s="8" t="s">
        <v>77</v>
      </c>
      <c r="D73" s="9" t="s">
        <v>82</v>
      </c>
      <c r="E73" s="9" t="s">
        <v>78</v>
      </c>
      <c r="F73" s="12">
        <v>2010</v>
      </c>
      <c r="G73" s="12">
        <v>1818906.060606061</v>
      </c>
      <c r="H73" s="3">
        <v>2443243.1818181821</v>
      </c>
      <c r="I73" s="14">
        <v>4789854.5541807907</v>
      </c>
      <c r="J73" s="14">
        <v>5152070.4632716998</v>
      </c>
      <c r="K73" s="14">
        <v>5152070.4632716998</v>
      </c>
      <c r="L73" s="3">
        <v>5152070.4632716998</v>
      </c>
      <c r="M73" s="3">
        <v>5152070.4632716998</v>
      </c>
      <c r="N73" s="3">
        <v>5152070.4632717008</v>
      </c>
      <c r="O73" s="3">
        <v>5152070.4632717008</v>
      </c>
      <c r="P73" s="3">
        <v>5152070.4632716998</v>
      </c>
    </row>
    <row r="74" spans="1:16" x14ac:dyDescent="0.25">
      <c r="A74" s="28" t="s">
        <v>822</v>
      </c>
      <c r="B74" s="8" t="s">
        <v>76</v>
      </c>
      <c r="C74" s="8" t="s">
        <v>77</v>
      </c>
      <c r="D74" s="9" t="s">
        <v>82</v>
      </c>
      <c r="E74" s="9" t="s">
        <v>78</v>
      </c>
      <c r="F74" s="12">
        <v>2011</v>
      </c>
      <c r="G74" s="12">
        <v>761106.26956343092</v>
      </c>
      <c r="H74" s="3">
        <v>7629782.4937202148</v>
      </c>
      <c r="I74" s="14">
        <v>6519628.3575620204</v>
      </c>
      <c r="J74" s="14">
        <v>6606560.1757438388</v>
      </c>
      <c r="K74" s="14">
        <v>6606560.1757438388</v>
      </c>
      <c r="L74" s="3">
        <v>6606560.1757438388</v>
      </c>
      <c r="M74" s="3">
        <v>6606560.1757438388</v>
      </c>
      <c r="N74" s="3">
        <v>6606560.1757438388</v>
      </c>
      <c r="O74" s="3">
        <v>6606560.1757438388</v>
      </c>
    </row>
    <row r="75" spans="1:16" x14ac:dyDescent="0.25">
      <c r="A75" s="28" t="s">
        <v>822</v>
      </c>
      <c r="B75" s="8" t="s">
        <v>76</v>
      </c>
      <c r="C75" s="8" t="s">
        <v>77</v>
      </c>
      <c r="D75" s="9" t="s">
        <v>82</v>
      </c>
      <c r="E75" s="9" t="s">
        <v>78</v>
      </c>
      <c r="F75" s="12">
        <v>2012</v>
      </c>
      <c r="G75" s="12">
        <v>5538269.0840087309</v>
      </c>
      <c r="H75" s="3">
        <v>9451566.5541242938</v>
      </c>
      <c r="I75" s="14">
        <v>9788346.8571545966</v>
      </c>
      <c r="J75" s="14">
        <v>9788346.8571545966</v>
      </c>
      <c r="K75" s="14">
        <v>9788346.8571545966</v>
      </c>
      <c r="L75" s="3">
        <v>9788346.8571545966</v>
      </c>
      <c r="M75" s="3">
        <v>9788346.8571545966</v>
      </c>
      <c r="N75" s="3">
        <v>9788346.8571545966</v>
      </c>
    </row>
    <row r="76" spans="1:16" x14ac:dyDescent="0.25">
      <c r="A76" s="28" t="s">
        <v>822</v>
      </c>
      <c r="B76" s="8" t="s">
        <v>76</v>
      </c>
      <c r="C76" s="8" t="s">
        <v>77</v>
      </c>
      <c r="D76" s="9" t="s">
        <v>82</v>
      </c>
      <c r="E76" s="9" t="s">
        <v>78</v>
      </c>
      <c r="F76" s="12">
        <v>2013</v>
      </c>
      <c r="G76" s="12">
        <v>7802231.2572367741</v>
      </c>
      <c r="H76" s="3">
        <v>11505966.05273241</v>
      </c>
      <c r="I76" s="14">
        <v>11505966.05273241</v>
      </c>
      <c r="J76" s="14">
        <v>11505966.05273241</v>
      </c>
      <c r="K76" s="14">
        <v>11505966.05273241</v>
      </c>
      <c r="L76" s="3">
        <v>11505966.05273241</v>
      </c>
      <c r="M76" s="3">
        <v>11505966.05273241</v>
      </c>
    </row>
    <row r="77" spans="1:16" x14ac:dyDescent="0.25">
      <c r="A77" s="28" t="s">
        <v>822</v>
      </c>
      <c r="B77" s="8" t="s">
        <v>76</v>
      </c>
      <c r="C77" s="8" t="s">
        <v>77</v>
      </c>
      <c r="D77" s="9" t="s">
        <v>82</v>
      </c>
      <c r="E77" s="9" t="s">
        <v>78</v>
      </c>
      <c r="F77" s="12">
        <v>2014</v>
      </c>
      <c r="G77" s="12">
        <v>12474005.185444269</v>
      </c>
      <c r="H77" s="3">
        <v>14002433.0809245</v>
      </c>
      <c r="I77" s="14">
        <v>15145008.838500259</v>
      </c>
      <c r="J77" s="14">
        <v>15454237.378500249</v>
      </c>
      <c r="K77" s="14">
        <v>15454237.378500249</v>
      </c>
      <c r="L77" s="3">
        <v>15454237.378500249</v>
      </c>
      <c r="M77" s="3">
        <v>0</v>
      </c>
    </row>
    <row r="78" spans="1:16" x14ac:dyDescent="0.25">
      <c r="A78" s="28" t="s">
        <v>822</v>
      </c>
      <c r="B78" s="8" t="s">
        <v>76</v>
      </c>
      <c r="C78" s="8" t="s">
        <v>77</v>
      </c>
      <c r="D78" s="9" t="s">
        <v>82</v>
      </c>
      <c r="E78" s="9" t="s">
        <v>78</v>
      </c>
      <c r="F78" s="12">
        <v>2015</v>
      </c>
      <c r="G78" s="12">
        <v>7526798.2565215696</v>
      </c>
      <c r="H78" s="3">
        <v>8863034.849022856</v>
      </c>
      <c r="I78" s="14">
        <v>8537611.1202092972</v>
      </c>
      <c r="J78" s="14">
        <v>8537611.1202092972</v>
      </c>
      <c r="K78" s="14">
        <v>8537611.1202092972</v>
      </c>
      <c r="L78" s="3">
        <v>0</v>
      </c>
      <c r="M78" s="3">
        <v>0</v>
      </c>
    </row>
    <row r="79" spans="1:16" x14ac:dyDescent="0.25">
      <c r="A79" s="28" t="s">
        <v>822</v>
      </c>
      <c r="B79" s="8" t="s">
        <v>76</v>
      </c>
      <c r="C79" s="8" t="s">
        <v>77</v>
      </c>
      <c r="D79" s="9" t="s">
        <v>82</v>
      </c>
      <c r="E79" s="9" t="s">
        <v>78</v>
      </c>
      <c r="F79" s="12">
        <v>2016</v>
      </c>
      <c r="G79" s="12">
        <v>15486850.17415501</v>
      </c>
      <c r="H79" s="3">
        <v>16135207.41039281</v>
      </c>
      <c r="I79" s="14">
        <v>16283120.81888403</v>
      </c>
      <c r="J79" s="14">
        <v>16283120.881611301</v>
      </c>
      <c r="K79" s="14">
        <v>0</v>
      </c>
      <c r="L79" s="3">
        <v>0</v>
      </c>
      <c r="M79" s="3">
        <v>0</v>
      </c>
    </row>
    <row r="80" spans="1:16" x14ac:dyDescent="0.25">
      <c r="A80" s="28" t="s">
        <v>822</v>
      </c>
      <c r="B80" s="8" t="s">
        <v>76</v>
      </c>
      <c r="C80" s="8" t="s">
        <v>77</v>
      </c>
      <c r="D80" s="9" t="s">
        <v>82</v>
      </c>
      <c r="E80" s="9" t="s">
        <v>78</v>
      </c>
      <c r="F80" s="12">
        <v>2017</v>
      </c>
      <c r="G80" s="12">
        <v>22101217.226951718</v>
      </c>
      <c r="H80" s="3">
        <v>22171212.279264249</v>
      </c>
      <c r="I80" s="14">
        <v>23581822.162374161</v>
      </c>
      <c r="J80" s="14">
        <v>0</v>
      </c>
      <c r="K80" s="14">
        <v>0</v>
      </c>
      <c r="L80" s="3">
        <v>0</v>
      </c>
      <c r="M80" s="3">
        <v>0</v>
      </c>
    </row>
    <row r="81" spans="1:16" x14ac:dyDescent="0.25">
      <c r="A81" s="28" t="s">
        <v>822</v>
      </c>
      <c r="B81" s="8" t="s">
        <v>76</v>
      </c>
      <c r="C81" s="8" t="s">
        <v>77</v>
      </c>
      <c r="D81" s="9" t="s">
        <v>82</v>
      </c>
      <c r="E81" s="9" t="s">
        <v>78</v>
      </c>
      <c r="F81" s="12">
        <v>2018</v>
      </c>
      <c r="G81" s="12">
        <v>37691425.864238992</v>
      </c>
      <c r="H81" s="3">
        <v>38947892.743445463</v>
      </c>
      <c r="I81" s="14">
        <v>0</v>
      </c>
      <c r="J81" s="14">
        <v>0</v>
      </c>
      <c r="K81" s="14">
        <v>0</v>
      </c>
      <c r="L81" s="3">
        <v>0</v>
      </c>
      <c r="M81" s="3">
        <v>0</v>
      </c>
    </row>
    <row r="82" spans="1:16" x14ac:dyDescent="0.25">
      <c r="A82" s="28" t="s">
        <v>822</v>
      </c>
      <c r="B82" s="8" t="s">
        <v>76</v>
      </c>
      <c r="C82" s="8" t="s">
        <v>77</v>
      </c>
      <c r="D82" s="9" t="s">
        <v>82</v>
      </c>
      <c r="E82" s="9" t="s">
        <v>78</v>
      </c>
      <c r="F82" s="12">
        <v>2019</v>
      </c>
      <c r="G82" s="12">
        <v>35573250.656972051</v>
      </c>
      <c r="H82" s="3">
        <v>0</v>
      </c>
      <c r="I82" s="14">
        <v>0</v>
      </c>
      <c r="J82" s="14">
        <v>0</v>
      </c>
      <c r="K82" s="14">
        <v>0</v>
      </c>
      <c r="L82" s="3">
        <v>0</v>
      </c>
      <c r="M82" s="3">
        <v>0</v>
      </c>
    </row>
    <row r="84" spans="1:16" x14ac:dyDescent="0.25">
      <c r="A84" s="28" t="s">
        <v>822</v>
      </c>
      <c r="B84" s="8" t="s">
        <v>79</v>
      </c>
      <c r="C84" s="8" t="s">
        <v>77</v>
      </c>
      <c r="D84" s="9" t="s">
        <v>82</v>
      </c>
      <c r="E84" s="9" t="s">
        <v>78</v>
      </c>
      <c r="F84" s="12">
        <v>2010</v>
      </c>
      <c r="G84" s="12">
        <v>0</v>
      </c>
      <c r="H84" s="3">
        <v>1.5151515151515149</v>
      </c>
      <c r="I84" s="14">
        <v>5302.878787878788</v>
      </c>
      <c r="J84" s="14">
        <v>5239.6136363636351</v>
      </c>
      <c r="K84" s="14">
        <v>3783.727272727273</v>
      </c>
      <c r="L84" s="3">
        <v>3783.727272727273</v>
      </c>
      <c r="M84" s="3">
        <v>3783.727272727273</v>
      </c>
      <c r="N84" s="3">
        <v>3783.7272727272721</v>
      </c>
      <c r="O84" s="3">
        <v>3783.7272727272721</v>
      </c>
      <c r="P84" s="3">
        <v>3783.727272727273</v>
      </c>
    </row>
    <row r="85" spans="1:16" x14ac:dyDescent="0.25">
      <c r="A85" s="28" t="s">
        <v>822</v>
      </c>
      <c r="B85" s="8" t="s">
        <v>79</v>
      </c>
      <c r="C85" s="8" t="s">
        <v>77</v>
      </c>
      <c r="D85" s="9" t="s">
        <v>82</v>
      </c>
      <c r="E85" s="9" t="s">
        <v>78</v>
      </c>
      <c r="F85" s="12">
        <v>2011</v>
      </c>
      <c r="G85" s="12">
        <v>1525</v>
      </c>
      <c r="H85" s="3">
        <v>141913.92555115151</v>
      </c>
      <c r="I85" s="14">
        <v>2096031.790143576</v>
      </c>
      <c r="J85" s="14">
        <v>8819960.1563636363</v>
      </c>
      <c r="K85" s="14">
        <v>8438180.8154545464</v>
      </c>
      <c r="L85" s="3">
        <v>8321512.6336363638</v>
      </c>
      <c r="M85" s="3">
        <v>8321512.6336363638</v>
      </c>
      <c r="N85" s="3">
        <v>8321512.6336363638</v>
      </c>
      <c r="O85" s="3">
        <v>8321512.6336363638</v>
      </c>
      <c r="P85" s="3">
        <v>0</v>
      </c>
    </row>
    <row r="86" spans="1:16" x14ac:dyDescent="0.25">
      <c r="A86" s="28" t="s">
        <v>822</v>
      </c>
      <c r="B86" s="8" t="s">
        <v>79</v>
      </c>
      <c r="C86" s="8" t="s">
        <v>77</v>
      </c>
      <c r="D86" s="9" t="s">
        <v>82</v>
      </c>
      <c r="E86" s="9" t="s">
        <v>78</v>
      </c>
      <c r="F86" s="12">
        <v>2012</v>
      </c>
      <c r="G86" s="12">
        <v>610606.06060606055</v>
      </c>
      <c r="H86" s="3">
        <v>631655.3257575758</v>
      </c>
      <c r="I86" s="14">
        <v>2164857.985608628</v>
      </c>
      <c r="J86" s="14">
        <v>3616468.2892449922</v>
      </c>
      <c r="K86" s="14">
        <v>3056274.1604571128</v>
      </c>
      <c r="L86" s="3">
        <v>3521971.486214689</v>
      </c>
      <c r="M86" s="3">
        <v>3524649.8725783252</v>
      </c>
      <c r="N86" s="3">
        <v>3567774.8725783261</v>
      </c>
      <c r="O86" s="3">
        <v>0</v>
      </c>
      <c r="P86" s="3">
        <v>0</v>
      </c>
    </row>
    <row r="87" spans="1:16" x14ac:dyDescent="0.25">
      <c r="A87" s="28" t="s">
        <v>822</v>
      </c>
      <c r="B87" s="8" t="s">
        <v>79</v>
      </c>
      <c r="C87" s="8" t="s">
        <v>77</v>
      </c>
      <c r="D87" s="9" t="s">
        <v>82</v>
      </c>
      <c r="E87" s="9" t="s">
        <v>78</v>
      </c>
      <c r="F87" s="12">
        <v>2013</v>
      </c>
      <c r="G87" s="12">
        <v>11363.63636363636</v>
      </c>
      <c r="H87" s="3">
        <v>292605.85606060608</v>
      </c>
      <c r="I87" s="14">
        <v>415331.86575757572</v>
      </c>
      <c r="J87" s="14">
        <v>521687.69090909092</v>
      </c>
      <c r="K87" s="14">
        <v>869589.44709809963</v>
      </c>
      <c r="L87" s="3">
        <v>882706.52116076008</v>
      </c>
      <c r="M87" s="3">
        <v>880019.00176682079</v>
      </c>
      <c r="N87" s="3">
        <v>0</v>
      </c>
      <c r="O87" s="3">
        <v>0</v>
      </c>
      <c r="P87" s="3">
        <v>0</v>
      </c>
    </row>
    <row r="88" spans="1:16" x14ac:dyDescent="0.25">
      <c r="A88" s="28" t="s">
        <v>822</v>
      </c>
      <c r="B88" s="8" t="s">
        <v>79</v>
      </c>
      <c r="C88" s="8" t="s">
        <v>77</v>
      </c>
      <c r="D88" s="9" t="s">
        <v>82</v>
      </c>
      <c r="E88" s="9" t="s">
        <v>78</v>
      </c>
      <c r="F88" s="12">
        <v>2014</v>
      </c>
      <c r="G88" s="12">
        <v>4545.454545454545</v>
      </c>
      <c r="H88" s="3">
        <v>27272.727272727268</v>
      </c>
      <c r="I88" s="14">
        <v>119695.8333333333</v>
      </c>
      <c r="J88" s="14">
        <v>179543.65151515149</v>
      </c>
      <c r="K88" s="14">
        <v>179543.40151515149</v>
      </c>
      <c r="L88" s="3">
        <v>4685485.8257575771</v>
      </c>
      <c r="M88" s="3">
        <v>0</v>
      </c>
      <c r="N88" s="3">
        <v>0</v>
      </c>
      <c r="O88" s="3">
        <v>0</v>
      </c>
      <c r="P88" s="3">
        <v>0</v>
      </c>
    </row>
    <row r="89" spans="1:16" x14ac:dyDescent="0.25">
      <c r="A89" s="28" t="s">
        <v>822</v>
      </c>
      <c r="B89" s="8" t="s">
        <v>79</v>
      </c>
      <c r="C89" s="8" t="s">
        <v>77</v>
      </c>
      <c r="D89" s="9" t="s">
        <v>82</v>
      </c>
      <c r="E89" s="9" t="s">
        <v>78</v>
      </c>
      <c r="F89" s="12">
        <v>2015</v>
      </c>
      <c r="G89" s="12">
        <v>56818.181818181809</v>
      </c>
      <c r="H89" s="3">
        <v>7575.757575757576</v>
      </c>
      <c r="I89" s="14">
        <v>7575.757575757576</v>
      </c>
      <c r="J89" s="14">
        <v>33672.068181818177</v>
      </c>
      <c r="K89" s="14">
        <v>30121.689393939389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1:16" x14ac:dyDescent="0.25">
      <c r="A90" s="28" t="s">
        <v>822</v>
      </c>
      <c r="B90" s="8" t="s">
        <v>79</v>
      </c>
      <c r="C90" s="8" t="s">
        <v>77</v>
      </c>
      <c r="D90" s="9" t="s">
        <v>82</v>
      </c>
      <c r="E90" s="9" t="s">
        <v>78</v>
      </c>
      <c r="F90" s="12">
        <v>2016</v>
      </c>
      <c r="G90" s="12">
        <v>0</v>
      </c>
      <c r="H90" s="3">
        <v>60606.060606060608</v>
      </c>
      <c r="I90" s="14">
        <v>731855.79545454541</v>
      </c>
      <c r="J90" s="14">
        <v>751719.32575757557</v>
      </c>
      <c r="K90" s="14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</row>
    <row r="91" spans="1:16" x14ac:dyDescent="0.25">
      <c r="A91" s="28" t="s">
        <v>822</v>
      </c>
      <c r="B91" s="8" t="s">
        <v>79</v>
      </c>
      <c r="C91" s="8" t="s">
        <v>77</v>
      </c>
      <c r="D91" s="9" t="s">
        <v>82</v>
      </c>
      <c r="E91" s="9" t="s">
        <v>78</v>
      </c>
      <c r="F91" s="12">
        <v>2017</v>
      </c>
      <c r="G91" s="12">
        <v>145833.33333333331</v>
      </c>
      <c r="H91" s="3">
        <v>3695075.7575757559</v>
      </c>
      <c r="I91" s="14">
        <v>12914985.30757576</v>
      </c>
      <c r="J91" s="14">
        <v>0</v>
      </c>
      <c r="K91" s="14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 x14ac:dyDescent="0.25">
      <c r="A92" s="28" t="s">
        <v>822</v>
      </c>
      <c r="B92" s="8" t="s">
        <v>79</v>
      </c>
      <c r="C92" s="8" t="s">
        <v>77</v>
      </c>
      <c r="D92" s="9" t="s">
        <v>82</v>
      </c>
      <c r="E92" s="9" t="s">
        <v>78</v>
      </c>
      <c r="F92" s="12">
        <v>2018</v>
      </c>
      <c r="G92" s="12">
        <v>52367.42424242424</v>
      </c>
      <c r="H92" s="3">
        <v>333933.84719124017</v>
      </c>
      <c r="I92" s="14">
        <v>0</v>
      </c>
      <c r="J92" s="14">
        <v>0</v>
      </c>
      <c r="K92" s="14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1:16" x14ac:dyDescent="0.25">
      <c r="A93" s="28" t="s">
        <v>822</v>
      </c>
      <c r="B93" s="8" t="s">
        <v>79</v>
      </c>
      <c r="C93" s="8" t="s">
        <v>77</v>
      </c>
      <c r="D93" s="9" t="s">
        <v>82</v>
      </c>
      <c r="E93" s="9" t="s">
        <v>78</v>
      </c>
      <c r="F93" s="12">
        <v>2019</v>
      </c>
      <c r="G93" s="12">
        <v>170454.5454545455</v>
      </c>
      <c r="H93" s="3">
        <v>0</v>
      </c>
      <c r="I93" s="14">
        <v>0</v>
      </c>
      <c r="J93" s="14">
        <v>0</v>
      </c>
      <c r="K93" s="14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5" spans="1:16" x14ac:dyDescent="0.25">
      <c r="A95" s="28" t="s">
        <v>822</v>
      </c>
      <c r="B95" s="8" t="s">
        <v>80</v>
      </c>
      <c r="C95" s="8" t="s">
        <v>77</v>
      </c>
      <c r="D95" s="9" t="s">
        <v>82</v>
      </c>
      <c r="E95" s="9" t="s">
        <v>78</v>
      </c>
      <c r="F95" s="12">
        <v>2010</v>
      </c>
      <c r="G95" s="3">
        <v>0</v>
      </c>
      <c r="H95" s="14">
        <v>0</v>
      </c>
      <c r="I95" s="14">
        <v>1815</v>
      </c>
      <c r="J95" s="14">
        <v>2332.037878787879</v>
      </c>
      <c r="K95" s="3">
        <v>3783.727272727273</v>
      </c>
      <c r="L95" s="3">
        <v>3783.727272727273</v>
      </c>
      <c r="M95" s="3">
        <v>3783.727272727273</v>
      </c>
      <c r="N95" s="3">
        <v>3783.7272727272721</v>
      </c>
      <c r="O95" s="3">
        <v>3783.7272727272721</v>
      </c>
      <c r="P95" s="3">
        <v>3783.727272727273</v>
      </c>
    </row>
    <row r="96" spans="1:16" x14ac:dyDescent="0.25">
      <c r="A96" s="28" t="s">
        <v>822</v>
      </c>
      <c r="B96" s="8" t="s">
        <v>80</v>
      </c>
      <c r="C96" s="8" t="s">
        <v>77</v>
      </c>
      <c r="D96" s="9" t="s">
        <v>82</v>
      </c>
      <c r="E96" s="9" t="s">
        <v>78</v>
      </c>
      <c r="F96" s="12">
        <v>2011</v>
      </c>
      <c r="G96" s="3">
        <v>0</v>
      </c>
      <c r="H96" s="14">
        <v>83024.82575757576</v>
      </c>
      <c r="I96" s="14">
        <v>309204.74878787878</v>
      </c>
      <c r="J96" s="14">
        <v>8249213.9442424243</v>
      </c>
      <c r="K96" s="3">
        <v>8321273.9972727271</v>
      </c>
      <c r="L96" s="3">
        <v>8321512.6336363638</v>
      </c>
      <c r="M96" s="3">
        <v>8321512.6336363638</v>
      </c>
      <c r="N96" s="3">
        <v>8321512.6336363638</v>
      </c>
      <c r="O96" s="3">
        <v>8321512.6336363638</v>
      </c>
    </row>
    <row r="97" spans="1:14" x14ac:dyDescent="0.25">
      <c r="A97" s="28" t="s">
        <v>822</v>
      </c>
      <c r="B97" s="8" t="s">
        <v>80</v>
      </c>
      <c r="C97" s="8" t="s">
        <v>77</v>
      </c>
      <c r="D97" s="9" t="s">
        <v>82</v>
      </c>
      <c r="E97" s="9" t="s">
        <v>78</v>
      </c>
      <c r="F97" s="12">
        <v>2012</v>
      </c>
      <c r="G97" s="3">
        <v>0</v>
      </c>
      <c r="H97" s="14">
        <v>317350.02272727259</v>
      </c>
      <c r="I97" s="14">
        <v>1643384.2280328709</v>
      </c>
      <c r="J97" s="14">
        <v>2371991.774093478</v>
      </c>
      <c r="K97" s="3">
        <v>3017268.857426811</v>
      </c>
      <c r="L97" s="3">
        <v>3097663.9104571128</v>
      </c>
      <c r="M97" s="3">
        <v>3116105.1756086289</v>
      </c>
      <c r="N97" s="3">
        <v>3166523.357426811</v>
      </c>
    </row>
    <row r="98" spans="1:14" x14ac:dyDescent="0.25">
      <c r="A98" s="28" t="s">
        <v>822</v>
      </c>
      <c r="B98" s="8" t="s">
        <v>80</v>
      </c>
      <c r="C98" s="8" t="s">
        <v>77</v>
      </c>
      <c r="D98" s="9" t="s">
        <v>82</v>
      </c>
      <c r="E98" s="9" t="s">
        <v>78</v>
      </c>
      <c r="F98" s="12">
        <v>2013</v>
      </c>
      <c r="G98" s="3">
        <v>1352.272727272727</v>
      </c>
      <c r="H98" s="14">
        <v>61623.280303030297</v>
      </c>
      <c r="I98" s="14">
        <v>141954.38090909089</v>
      </c>
      <c r="J98" s="14">
        <v>300419.69090909092</v>
      </c>
      <c r="K98" s="3">
        <v>513618.29866461211</v>
      </c>
      <c r="L98" s="3">
        <v>592493.75588084233</v>
      </c>
      <c r="M98" s="3">
        <v>656124.32739599375</v>
      </c>
    </row>
    <row r="99" spans="1:14" x14ac:dyDescent="0.25">
      <c r="A99" s="28" t="s">
        <v>822</v>
      </c>
      <c r="B99" s="8" t="s">
        <v>80</v>
      </c>
      <c r="C99" s="8" t="s">
        <v>77</v>
      </c>
      <c r="D99" s="9" t="s">
        <v>82</v>
      </c>
      <c r="E99" s="9" t="s">
        <v>78</v>
      </c>
      <c r="F99" s="12">
        <v>2014</v>
      </c>
      <c r="G99" s="3">
        <v>1515.151515151515</v>
      </c>
      <c r="H99" s="14">
        <v>23796.9696969697</v>
      </c>
      <c r="I99" s="14">
        <v>40915.530303030297</v>
      </c>
      <c r="J99" s="14">
        <v>149047.43939393939</v>
      </c>
      <c r="K99" s="3">
        <v>162891.1287878787</v>
      </c>
      <c r="L99" s="3">
        <v>4685485.8257575771</v>
      </c>
    </row>
    <row r="100" spans="1:14" x14ac:dyDescent="0.25">
      <c r="A100" s="28" t="s">
        <v>822</v>
      </c>
      <c r="B100" s="8" t="s">
        <v>80</v>
      </c>
      <c r="C100" s="8" t="s">
        <v>77</v>
      </c>
      <c r="D100" s="9" t="s">
        <v>82</v>
      </c>
      <c r="E100" s="9" t="s">
        <v>78</v>
      </c>
      <c r="F100" s="12">
        <v>2015</v>
      </c>
      <c r="G100" s="3">
        <v>0</v>
      </c>
      <c r="H100" s="14">
        <v>820.4545454545455</v>
      </c>
      <c r="I100" s="14">
        <v>3517.045454545454</v>
      </c>
      <c r="J100" s="14">
        <v>18913.35606060606</v>
      </c>
      <c r="K100" s="3">
        <v>18913.35606060606</v>
      </c>
    </row>
    <row r="101" spans="1:14" x14ac:dyDescent="0.25">
      <c r="A101" s="28" t="s">
        <v>822</v>
      </c>
      <c r="B101" s="8" t="s">
        <v>80</v>
      </c>
      <c r="C101" s="8" t="s">
        <v>77</v>
      </c>
      <c r="D101" s="9" t="s">
        <v>82</v>
      </c>
      <c r="E101" s="9" t="s">
        <v>78</v>
      </c>
      <c r="F101" s="12">
        <v>2016</v>
      </c>
      <c r="G101" s="3">
        <v>0</v>
      </c>
      <c r="H101" s="14">
        <v>17018.21212121212</v>
      </c>
      <c r="I101" s="14">
        <v>709077.6212121211</v>
      </c>
      <c r="J101" s="14">
        <v>727361.18181818177</v>
      </c>
    </row>
    <row r="102" spans="1:14" x14ac:dyDescent="0.25">
      <c r="A102" s="28" t="s">
        <v>822</v>
      </c>
      <c r="B102" s="8" t="s">
        <v>80</v>
      </c>
      <c r="C102" s="8" t="s">
        <v>77</v>
      </c>
      <c r="D102" s="9" t="s">
        <v>82</v>
      </c>
      <c r="E102" s="9" t="s">
        <v>78</v>
      </c>
      <c r="F102" s="12">
        <v>2017</v>
      </c>
      <c r="G102" s="3">
        <v>9821.9090909090901</v>
      </c>
      <c r="H102" s="14">
        <v>3064264.2575757578</v>
      </c>
      <c r="I102" s="14">
        <v>12723124.525151519</v>
      </c>
    </row>
    <row r="103" spans="1:14" x14ac:dyDescent="0.25">
      <c r="A103" s="28" t="s">
        <v>822</v>
      </c>
      <c r="B103" s="8" t="s">
        <v>80</v>
      </c>
      <c r="C103" s="8" t="s">
        <v>77</v>
      </c>
      <c r="D103" s="9" t="s">
        <v>82</v>
      </c>
      <c r="E103" s="9" t="s">
        <v>78</v>
      </c>
      <c r="F103" s="12">
        <v>2018</v>
      </c>
      <c r="G103" s="3">
        <v>6307.954545454545</v>
      </c>
      <c r="H103" s="14">
        <v>59487.725151515151</v>
      </c>
    </row>
    <row r="104" spans="1:14" x14ac:dyDescent="0.25">
      <c r="A104" s="28" t="s">
        <v>822</v>
      </c>
      <c r="B104" s="8" t="s">
        <v>80</v>
      </c>
      <c r="C104" s="8" t="s">
        <v>77</v>
      </c>
      <c r="D104" s="9" t="s">
        <v>82</v>
      </c>
      <c r="E104" s="9" t="s">
        <v>78</v>
      </c>
      <c r="F104" s="12">
        <v>2019</v>
      </c>
      <c r="G104" s="3">
        <v>27039.015151515141</v>
      </c>
    </row>
  </sheetData>
  <mergeCells count="1">
    <mergeCell ref="G1:J1"/>
  </mergeCells>
  <dataValidations count="4">
    <dataValidation type="list" allowBlank="1" showInputMessage="1" showErrorMessage="1" sqref="A3:A23 A25:A34 A38:A47 A49:A58 A60:A69 A73:A82 A84:A93 A95:A104" xr:uid="{00000000-0002-0000-0D00-000000000000}">
      <formula1>Development_classes</formula1>
    </dataValidation>
    <dataValidation type="list" allowBlank="1" showInputMessage="1" showErrorMessage="1" sqref="C3:C12 C14:C23 C25:C34 C38:C47 C49:C58 C60:C69 C73:C82 C84:C93 C95:C104" xr:uid="{00000000-0002-0000-0D00-000001000000}">
      <formula1>"All, Attritional, Large, Non-Cat, Cat"</formula1>
    </dataValidation>
    <dataValidation type="list" allowBlank="1" showInputMessage="1" showErrorMessage="1" sqref="B3:B12 B14:B23 B25:B34 B38:B47 B49:B58 B60:B69 B73:B82 B84:B93 B95:B104" xr:uid="{00000000-0002-0000-0D00-000002000000}">
      <formula1>"Incurred,Paid,Outstanding, Earned Gross Premium, Earned Net Premium, Gross Written Premium, Net Written Premium"</formula1>
    </dataValidation>
    <dataValidation type="list" allowBlank="1" showInputMessage="1" showErrorMessage="1" sqref="D3:D12 D14:D23 D25:D34 D38:D47 D49:D58 D60:D69 D73:D82 D84:D93 D95:D104" xr:uid="{00000000-0002-0000-0D00-000003000000}">
      <formula1>"Accident Year, UW Year, Treaty Year"</formula1>
    </dataValidation>
  </dataValidations>
  <pageMargins left="0.7" right="0.7" top="0.75" bottom="0.75" header="0.3" footer="0.3"/>
  <pageSetup paperSize="9" orientation="portrait"/>
  <headerFooter>
    <oddFooter>&amp;C&amp;"Calibri"&amp;8 &amp;K000000_x000D_# Confidential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15</vt:i4>
      </vt:variant>
    </vt:vector>
  </HeadingPairs>
  <TitlesOfParts>
    <vt:vector size="29" baseType="lpstr">
      <vt:lpstr>Parameters</vt:lpstr>
      <vt:lpstr>Triangles</vt:lpstr>
      <vt:lpstr>Projections</vt:lpstr>
      <vt:lpstr>admin</vt:lpstr>
      <vt:lpstr>Other</vt:lpstr>
      <vt:lpstr>&lt;&gt;</vt:lpstr>
      <vt:lpstr>Example - Parameters</vt:lpstr>
      <vt:lpstr>Example - Triangles</vt:lpstr>
      <vt:lpstr>Example - Projections</vt:lpstr>
      <vt:lpstr>DevelopmentPatterns</vt:lpstr>
      <vt:lpstr>BusinessPlan</vt:lpstr>
      <vt:lpstr>Lookups</vt:lpstr>
      <vt:lpstr>Questions</vt:lpstr>
      <vt:lpstr>Hidden Tab</vt:lpstr>
      <vt:lpstr>Country_list</vt:lpstr>
      <vt:lpstr>Currency_list</vt:lpstr>
      <vt:lpstr>current_date</vt:lpstr>
      <vt:lpstr>Development_classes</vt:lpstr>
      <vt:lpstr>LDF_type_options</vt:lpstr>
      <vt:lpstr>LOBs_names</vt:lpstr>
      <vt:lpstr>month_final_development</vt:lpstr>
      <vt:lpstr>month_first_development</vt:lpstr>
      <vt:lpstr>P_NP_types</vt:lpstr>
      <vt:lpstr>Projection_classes</vt:lpstr>
      <vt:lpstr>re_insurance_list</vt:lpstr>
      <vt:lpstr>Region_list</vt:lpstr>
      <vt:lpstr>triangle_grouping_data</vt:lpstr>
      <vt:lpstr>triangle_increments_months</vt:lpstr>
      <vt:lpstr>triangle_start_date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Bassan</dc:creator>
  <cp:lastModifiedBy>Matthew Evans</cp:lastModifiedBy>
  <dcterms:created xsi:type="dcterms:W3CDTF">2015-06-05T18:17:20Z</dcterms:created>
  <dcterms:modified xsi:type="dcterms:W3CDTF">2026-03-03T16:39:10Z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{FF1B1D99-B6F5-4488-A722-095589A2C1D2}</vt:lpwstr>
  </property>
  <property fmtid="{D5CDD505-2E9C-101B-9397-08002B2CF9AE}" pid="3" name="MSIP_Label_56e731c7-18ee-4e98-9e6d-6e3daf0cfb89_Enabled">
    <vt:lpwstr>true</vt:lpwstr>
  </property>
  <property fmtid="{D5CDD505-2E9C-101B-9397-08002B2CF9AE}" pid="4" name="MSIP_Label_56e731c7-18ee-4e98-9e6d-6e3daf0cfb89_SetDate">
    <vt:lpwstr>2023-11-20T19:34:06Z</vt:lpwstr>
  </property>
  <property fmtid="{D5CDD505-2E9C-101B-9397-08002B2CF9AE}" pid="5" name="MSIP_Label_56e731c7-18ee-4e98-9e6d-6e3daf0cfb89_Method">
    <vt:lpwstr>Standard</vt:lpwstr>
  </property>
  <property fmtid="{D5CDD505-2E9C-101B-9397-08002B2CF9AE}" pid="6" name="MSIP_Label_56e731c7-18ee-4e98-9e6d-6e3daf0cfb89_Name">
    <vt:lpwstr>defa4170-0d19-0005-0004-bc88714345d2</vt:lpwstr>
  </property>
  <property fmtid="{D5CDD505-2E9C-101B-9397-08002B2CF9AE}" pid="7" name="MSIP_Label_56e731c7-18ee-4e98-9e6d-6e3daf0cfb89_SiteId">
    <vt:lpwstr>be2678de-9b13-4afa-8272-f5dcd02fff31</vt:lpwstr>
  </property>
  <property fmtid="{D5CDD505-2E9C-101B-9397-08002B2CF9AE}" pid="8" name="MSIP_Label_56e731c7-18ee-4e98-9e6d-6e3daf0cfb89_ActionId">
    <vt:lpwstr>93ffb052-49ef-46aa-b567-0265d4e75750</vt:lpwstr>
  </property>
  <property fmtid="{D5CDD505-2E9C-101B-9397-08002B2CF9AE}" pid="9" name="MSIP_Label_56e731c7-18ee-4e98-9e6d-6e3daf0cfb89_ContentBits">
    <vt:lpwstr>0</vt:lpwstr>
  </property>
  <property fmtid="{D5CDD505-2E9C-101B-9397-08002B2CF9AE}" pid="10" name="MSIP_Label_5e81f859-eadf-437f-a1a3-6067e738fdd8_Enabled">
    <vt:lpwstr>true</vt:lpwstr>
  </property>
  <property fmtid="{D5CDD505-2E9C-101B-9397-08002B2CF9AE}" pid="11" name="MSIP_Label_5e81f859-eadf-437f-a1a3-6067e738fdd8_SetDate">
    <vt:lpwstr>2024-09-16T21:38:33Z</vt:lpwstr>
  </property>
  <property fmtid="{D5CDD505-2E9C-101B-9397-08002B2CF9AE}" pid="12" name="MSIP_Label_5e81f859-eadf-437f-a1a3-6067e738fdd8_Method">
    <vt:lpwstr>Privileged</vt:lpwstr>
  </property>
  <property fmtid="{D5CDD505-2E9C-101B-9397-08002B2CF9AE}" pid="13" name="MSIP_Label_5e81f859-eadf-437f-a1a3-6067e738fdd8_Name">
    <vt:lpwstr>Confidential</vt:lpwstr>
  </property>
  <property fmtid="{D5CDD505-2E9C-101B-9397-08002B2CF9AE}" pid="14" name="MSIP_Label_5e81f859-eadf-437f-a1a3-6067e738fdd8_SiteId">
    <vt:lpwstr>f3b86b95-b953-40a4-bd3b-a920e54655d1</vt:lpwstr>
  </property>
  <property fmtid="{D5CDD505-2E9C-101B-9397-08002B2CF9AE}" pid="15" name="MSIP_Label_5e81f859-eadf-437f-a1a3-6067e738fdd8_ActionId">
    <vt:lpwstr>ac821f0e-7902-4136-9baa-3e98d669d9fe</vt:lpwstr>
  </property>
  <property fmtid="{D5CDD505-2E9C-101B-9397-08002B2CF9AE}" pid="16" name="MSIP_Label_5e81f859-eadf-437f-a1a3-6067e738fdd8_ContentBits">
    <vt:lpwstr>2</vt:lpwstr>
  </property>
</Properties>
</file>